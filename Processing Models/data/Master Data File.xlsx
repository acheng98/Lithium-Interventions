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pretation" sheetId="1" r:id="rId5"/>
    <sheet state="visible" name="Project-Specific Data" sheetId="2" r:id="rId6"/>
    <sheet state="visible" name="Brine-Evaporation" sheetId="3" r:id="rId7"/>
    <sheet state="visible" name="Blast Mining" sheetId="4" r:id="rId8"/>
    <sheet state="hidden" name="Brine-Solvent Extraction-Boron" sheetId="5" r:id="rId9"/>
    <sheet state="hidden" name="Non-Blast Excavating" sheetId="6" r:id="rId10"/>
    <sheet state="visible" name="Brine-Batch Chemical Purificati" sheetId="7" r:id="rId11"/>
    <sheet state="visible" name="Sulfuric Acid Leach" sheetId="8" r:id="rId12"/>
    <sheet state="visible" name="Sulfate Roast-Water Leach" sheetId="9" r:id="rId13"/>
    <sheet state="visible" name="Solution Processing-Chloride" sheetId="10" r:id="rId14"/>
    <sheet state="visible" name="Solution Processing-Sulfate" sheetId="11" r:id="rId15"/>
    <sheet state="visible" name="Transportation Data" sheetId="12" r:id="rId16"/>
    <sheet state="visible" name="Locational Data" sheetId="13" r:id="rId17"/>
    <sheet state="visible" name="Machine Blocks Data" sheetId="14" r:id="rId18"/>
    <sheet state="visible" name="Material Data" sheetId="15" r:id="rId19"/>
    <sheet state="visible" name="Semi-Simplified Modeling Framew" sheetId="16" r:id="rId20"/>
    <sheet state="visible" name="Conversions" sheetId="17" r:id="rId21"/>
    <sheet state="visible" name="Test Cases and Back-Calculation" sheetId="18" r:id="rId22"/>
  </sheets>
  <definedNames>
    <definedName name="hclm32t">Conversions!$B$2</definedName>
    <definedName name="nm3ng2mmbtu">Conversions!$B$4</definedName>
    <definedName name="mj2mwh">Conversions!$B$6</definedName>
    <definedName name="waterm32t">Conversions!$B$3</definedName>
    <definedName name="m3lng2mmbtu">Conversions!$B$5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O5">
      <text>
        <t xml:space="preserve">23 years total with lower levels</t>
      </text>
    </comment>
    <comment authorId="0" ref="AC5">
      <text>
        <t xml:space="preserve">Assumption based on 2022 report</t>
      </text>
    </comment>
    <comment authorId="0" ref="I9">
      <text>
        <t xml:space="preserve">Both reported numbers calculated from Table 1-1</t>
      </text>
    </comment>
    <comment authorId="0" ref="O9">
      <text>
        <t xml:space="preserve">Need to look again for average value</t>
      </text>
    </comment>
    <comment authorId="0" ref="AB9">
      <text>
        <t xml:space="preserve">Table 14-6, 2024 disclosure</t>
      </text>
    </comment>
    <comment authorId="0" ref="AC9">
      <text>
        <t xml:space="preserve">Li, B from Table 14-7</t>
      </text>
    </comment>
    <comment authorId="0" ref="C11">
      <text>
        <t xml:space="preserve">Table 1-1</t>
      </text>
    </comment>
    <comment authorId="0" ref="D11">
      <text>
        <t xml:space="preserve">Table 7.3</t>
      </text>
    </comment>
    <comment authorId="0" ref="I11">
      <text>
        <t xml:space="preserve">Table 11-15</t>
      </text>
    </comment>
    <comment authorId="0" ref="AB11">
      <text>
        <t xml:space="preserve">Estimate via midpoint of numbers reported in Table 8-3</t>
      </text>
    </comment>
    <comment authorId="0" ref="AJ11">
      <text>
        <t xml:space="preserve">Gao et al., Park et al. </t>
      </text>
    </comment>
    <comment authorId="0" ref="I15">
      <text>
        <t xml:space="preserve">Li number directly calculated from SQM report</t>
      </text>
    </comment>
    <comment authorId="0" ref="AB15">
      <text>
        <t xml:space="preserve">Table 17-1, 2022 disclosure - 4563 PPM from ROM ore with concentration 3270. Use same upgrading ratio to estimate PPM going into acid leaching under 2024 flowsheet.</t>
      </text>
    </comment>
    <comment authorId="0" ref="AD15">
      <text>
        <t xml:space="preserve">Estimated from Diagonistic Leach tests - particularly, Table 13.2 and 13.8</t>
      </text>
    </comment>
    <comment authorId="0" ref="AJ15">
      <text>
        <t xml:space="preserve">The significant presence of sodium seems to indicate that this should be the intermediate concentration after addition of sodium sulfate in the roasting step, but the rough concentration of Li is probably reasonable for an intermediate</t>
      </text>
    </comment>
    <comment authorId="0" ref="I17">
      <text>
        <t xml:space="preserve">Apparently fairly industry-standard density - see Garrett 2004 pg 107
</t>
      </text>
    </comment>
    <comment authorId="0" ref="K17">
      <text>
        <t xml:space="preserve">Apparently fairly industry-standard density - see Garrett 2004 pg 107
</t>
      </text>
    </comment>
    <comment authorId="0" ref="AB21">
      <text>
        <t xml:space="preserve">Estimated from 3542 PPM leach input to PLS, accounting for solids fraction in leach, dilution (31%) and PLS density
3542*(0.34*1/(0.34/2.6+0.66/1)/10^3)/1.31/1.05</t>
      </text>
    </comment>
    <comment authorId="0" ref="K24">
      <text>
        <t xml:space="preserve">From Table 19-7. There is another statement that pond lining could increase recovery by 16% to 59% which is taken to be a percentage not percentage points. </t>
      </text>
    </comment>
    <comment authorId="0" ref="A25">
      <text>
        <t xml:space="preserve">Mass Ratio</t>
      </text>
    </comment>
    <comment authorId="0" ref="T25">
      <text>
        <t xml:space="preserve">Calculated from reported 34.5M tonnes of LOM ore and 132.7M tonnes of LOM waste; Reported strip ratio is 3.6</t>
      </text>
    </comment>
    <comment authorId="0" ref="U25">
      <text>
        <t xml:space="preserve">Page 5</t>
      </text>
    </comment>
    <comment authorId="0" ref="V25">
      <text>
        <t xml:space="preserve">1.5 Mining methods</t>
      </text>
    </comment>
    <comment authorId="0" ref="W25">
      <text>
        <t xml:space="preserve">Calculated from reported 50.5M tonnes of LOM ore and 188.5M tonnes of LOM waste</t>
      </text>
    </comment>
    <comment authorId="0" ref="X25">
      <text>
        <t xml:space="preserve">Calculated from reported 20.1M tonnes of LOM ore and 232.5M tonnes of LOM waste</t>
      </text>
    </comment>
    <comment authorId="0" ref="Y25">
      <text>
        <t xml:space="preserve">Page 23</t>
      </text>
    </comment>
    <comment authorId="0" ref="AB25">
      <text>
        <t xml:space="preserve">22.2 Mining</t>
      </text>
    </comment>
    <comment authorId="0" ref="AJ25">
      <text>
        <t xml:space="preserve">Rounding from Thacker Pass</t>
      </text>
    </comment>
    <comment authorId="0" ref="AB26">
      <text>
        <t xml:space="preserve">Estimate from difference in ROM concentration and reported resource concentration</t>
      </text>
    </comment>
    <comment authorId="0" ref="AJ26">
      <text>
        <t xml:space="preserve">Rounding from Thacker Pass</t>
      </text>
    </comment>
    <comment authorId="0" ref="AB27">
      <text>
        <t xml:space="preserve">Estimate from difference in ROM concentration and reported resource concentration</t>
      </text>
    </comment>
    <comment authorId="0" ref="AJ27">
      <text>
        <t xml:space="preserve">Rounding from Thacker Pass</t>
      </text>
    </comment>
    <comment authorId="0" ref="AB28">
      <text>
        <t xml:space="preserve">Accounted for in reported bulk transport density - Table 17-1</t>
      </text>
    </comment>
    <comment authorId="0" ref="AB29">
      <text>
        <t xml:space="preserve">Based on reported test results, exploratory drill logs, and actual excavation of a test pit, only the basalt is expected to require blasting. However, there are bands of hard ash which may require ripping with a dozer prior to loading. The remaining waste and ore can be free dug with the hydraulic excavators. A third-party contractor will be used for the drilling and blasting on an as needed basis.</t>
      </text>
    </comment>
    <comment authorId="0" ref="K31">
      <text>
        <t xml:space="preserve">0.97</t>
      </text>
    </comment>
    <comment authorId="0" ref="AB31">
      <text>
        <t xml:space="preserve">Default is 0.8 which is admitted a bit low, likely need to recalibrate entire system</t>
      </text>
    </comment>
    <comment authorId="0" ref="AJ31">
      <text>
        <t xml:space="preserve">0.8</t>
      </text>
    </comment>
    <comment authorId="0" ref="AB32">
      <text>
        <t xml:space="preserve">Based on reported test results, exploratory drill logs, and actual excavation of a test pit, only the basalt is expected to require blasting. However, there are bands of hard ash which may require ripping with a dozer prior to loading. The remaining waste and ore can be free dug with the hydraulic excavators. A third-party contractor will be used for the drilling and blasting on an as needed basis.</t>
      </text>
    </comment>
    <comment authorId="0" ref="AB34">
      <text>
        <t xml:space="preserve">Colocation of mine and plants</t>
      </text>
    </comment>
    <comment authorId="0" ref="AC34">
      <text>
        <t xml:space="preserve">Colocation of mine and plants</t>
      </text>
    </comment>
    <comment authorId="0" ref="AD34">
      <text>
        <t xml:space="preserve">Colocation of mine and plants</t>
      </text>
    </comment>
    <comment authorId="0" ref="AJ34">
      <text>
        <t xml:space="preserve">Estimated visually using Google Maps: Jianxiawo to refinery visible in Aobei</t>
      </text>
    </comment>
    <comment authorId="0" ref="AJ43">
      <text>
        <t xml:space="preserve">https://www.procurementresource.com/production-cost-report-store/dodecylamine
https://www.accio.com/plp/industrial_grade_dodecylamine - $1.03/t
https://www.chemicalbook.com/ChemicalProductProperty_EN_CB6161859.htm</t>
      </text>
    </comment>
    <comment authorId="0" ref="AJ44">
      <text>
        <t xml:space="preserve">https://www.procurementresource.com/production-cost-report-store/dodecylamine
https://www.accio.com/plp/industrial_grade_dodecylamine - $1.03/t
https://www.chemicalbook.com/ChemicalProductProperty_EN_CB6161859.htm</t>
      </text>
    </comment>
    <comment authorId="0" ref="AJ45">
      <text>
        <t xml:space="preserve">https://www.procurementresource.com/production-cost-report-store/dodecylamine
https://www.accio.com/plp/industrial_grade_dodecylamine - $1.03/t
https://www.chemicalbook.com/ChemicalProductProperty_EN_CB6161859.htm</t>
      </text>
    </comment>
    <comment authorId="0" ref="AJ46">
      <text>
        <t xml:space="preserve">Made-in-China – $880–1,135/t (https://www.made-in-china.com/products-search/hot-china-products/shmp_price.html)
https://www.chemanalyst.com/Pricing-data/sodium-hexametaphosphate-1615
https://www.procurementresource.com/resource-center/sodium-hexametaphosphate-price-trends</t>
      </text>
    </comment>
    <comment authorId="0" ref="AJ47">
      <text>
        <t xml:space="preserve">Made-in-China – $880–1,135/t (https://www.made-in-china.com/products-search/hot-china-products/shmp_price.html)
https://www.chemanalyst.com/Pricing-data/sodium-hexametaphosphate-1615
https://www.procurementresource.com/resource-center/sodium-hexametaphosphate-price-trends</t>
      </text>
    </comment>
    <comment authorId="0" ref="AJ48">
      <text>
        <t xml:space="preserve">Made-in-China – $880–1,135/t (https://www.made-in-china.com/products-search/hot-china-products/shmp_price.html)
https://www.chemanalyst.com/Pricing-data/sodium-hexametaphosphate-1615
https://www.procurementresource.com/resource-center/sodium-hexametaphosphate-price-trends</t>
      </text>
    </comment>
    <comment authorId="0" ref="AB49">
      <text>
        <t xml:space="preserve">https://rovjok.com/ammonium-nitrate-in-the-mining-industry-changes-since-the-russia-ukraine-conflict/
https://businessanalytiq.com/procurementanalytics/index/ammonium-nitrate-price-index/
https://www.mordorintelligence.com/industry-reports/mining-explosives-market
Pre-2022 AN was ~$250/t; 2022 spike to ~$800/t. Current AN ~$350–500/t. ANFO (94% AN + 6% diesel) + 30–50% for manufacturing, hazmat delivery, and Nevada remote-site premium. Mordor Intelligence flagged 2025 US hazmat driver shortage further lifting costs.
</t>
      </text>
    </comment>
    <comment authorId="0" ref="AJ49">
      <text>
        <t xml:space="preserve">https://rovjok.com/ammonium-nitrate-in-the-mining-industry-changes-since-the-russia-ukraine-conflict/
https://businessanalytiq.com/procurementanalytics/index/ammonium-nitrate-price-index/
https://www.mordorintelligence.com/industry-reports/mining-explosives-market
China is one of the world's largest AN producers (&gt;17 Mt/yr); domestic explosives are state-regulated with controlled pricing. 
Chinese ANFO delivered to mine typically CNY 1,500–3,000/t (~$207–415/t).</t>
      </text>
    </comment>
    <comment authorId="0" ref="AB50">
      <text>
        <t xml:space="preserve">https://rovjok.com/ammonium-nitrate-in-the-mining-industry-changes-since-the-russia-ukraine-conflict/
https://businessanalytiq.com/procurementanalytics/index/ammonium-nitrate-price-index/
https://www.mordorintelligence.com/industry-reports/mining-explosives-market
Pre-2022 AN was ~$250/t; 2022 spike to ~$800/t. Current AN ~$350–500/t. ANFO (94% AN + 6% diesel) + 30–50% for manufacturing, hazmat delivery, and Nevada remote-site premium. Mordor Intelligence flagged 2025 US hazmat driver shortage further lifting costs.
</t>
      </text>
    </comment>
    <comment authorId="0" ref="AJ50">
      <text>
        <t xml:space="preserve">https://rovjok.com/ammonium-nitrate-in-the-mining-industry-changes-since-the-russia-ukraine-conflict/
https://businessanalytiq.com/procurementanalytics/index/ammonium-nitrate-price-index/
https://www.mordorintelligence.com/industry-reports/mining-explosives-market
China is one of the world's largest AN producers (&gt;17 Mt/yr); domestic explosives are state-regulated with controlled pricing. 
Chinese ANFO delivered to mine typically CNY 1,500–3,000/t (~$207–415/t).</t>
      </text>
    </comment>
    <comment authorId="0" ref="AB51">
      <text>
        <t xml:space="preserve">https://rovjok.com/ammonium-nitrate-in-the-mining-industry-changes-since-the-russia-ukraine-conflict/
https://businessanalytiq.com/procurementanalytics/index/ammonium-nitrate-price-index/
https://www.mordorintelligence.com/industry-reports/mining-explosives-market
Pre-2022 AN was ~$250/t; 2022 spike to ~$800/t. Current AN ~$350–500/t. ANFO (94% AN + 6% diesel) + 30–50% for manufacturing, hazmat delivery, and Nevada remote-site premium. Mordor Intelligence flagged 2025 US hazmat driver shortage further lifting costs.
</t>
      </text>
    </comment>
    <comment authorId="0" ref="AJ51">
      <text>
        <t xml:space="preserve">https://rovjok.com/ammonium-nitrate-in-the-mining-industry-changes-since-the-russia-ukraine-conflict/
https://businessanalytiq.com/procurementanalytics/index/ammonium-nitrate-price-index/
https://www.mordorintelligence.com/industry-reports/mining-explosives-market
China is one of the world's largest AN producers (&gt;17 Mt/yr); domestic explosives are state-regulated with controlled pricing. 
Chinese ANFO delivered to mine typically CNY 1,500–3,000/t (~$207–415/t).</t>
      </text>
    </comment>
    <comment authorId="0" ref="K52">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B52">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J52">
      <text>
        <t xml:space="preserve">ChemAnalyst puts China PAM at $820/t (Sep 2025). Made-in-China.com supplier quotes: $1,200-1,300/t. 
https://www.chemanalyst.com/Pricing-data/polyacrylamide-pam-1202
https://www.made-in-china.com/products-search/hot-china-products/Flocculant_Price.html
</t>
      </text>
    </comment>
    <comment authorId="0" ref="K53">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B53">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J53">
      <text>
        <t xml:space="preserve">ChemAnalyst puts China PAM at $820/t (Sep 2025). Made-in-China.com supplier quotes: $1,200-1,300/t. 
https://www.chemanalyst.com/Pricing-data/polyacrylamide-pam-1202
https://www.made-in-china.com/products-search/hot-china-products/Flocculant_Price.html
</t>
      </text>
    </comment>
    <comment authorId="0" ref="K54">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B54">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J54">
      <text>
        <t xml:space="preserve">ChemAnalyst puts China PAM at $820/t (Sep 2025). Made-in-China.com supplier quotes: $1,200-1,300/t. 
https://www.chemanalyst.com/Pricing-data/polyacrylamide-pam-1202
https://www.made-in-china.com/products-search/hot-china-products/Flocculant_Price.html
</t>
      </text>
    </comment>
    <comment authorId="0" ref="K55">
      <text>
        <t xml:space="preserve">IMARC Group - $131/t Dec 2025: https://www.imarcgroup.com/quicklime-pricing-report
ChemAnalyst - $215/t Dec 2025
USGS MCS 2025: https://www.chemanalyst.com/Pricing-data/quicklime-1505
USGS 2024 avg implied ~$200/t. </t>
      </text>
    </comment>
    <comment authorId="0" ref="AB55">
      <text>
        <t xml:space="preserve">IMARC Group - $131/t Dec 2025: https://www.imarcgroup.com/quicklime-pricing-report
ChemAnalyst - $215/t Dec 2025
USGS MCS 2025: https://www.chemanalyst.com/Pricing-data/quicklime-1505
USGS 2024 avg implied ~$200/t. </t>
      </text>
    </comment>
    <comment authorId="0" ref="AJ55">
      <text>
        <t xml:space="preserve">IMARC Group - $153/t Dec 2025: https://www.imarcgroup.com/quicklime-pricing-report
Q4 2024 dipped to ~$127/t. 
Jiangxi is a major limestone producer, so local quicklime costs tend toward the lower end of China's range.</t>
      </text>
    </comment>
    <comment authorId="0" ref="K56">
      <text>
        <t xml:space="preserve">IMARC Group - $131/t Dec 2025: https://www.imarcgroup.com/quicklime-pricing-report
ChemAnalyst - $215/t Dec 2025
USGS MCS 2025: https://www.chemanalyst.com/Pricing-data/quicklime-1505
USGS 2024 avg implied ~$200/t. </t>
      </text>
    </comment>
    <comment authorId="0" ref="AB56">
      <text>
        <t xml:space="preserve">IMARC Group - $131/t Dec 2025: https://www.imarcgroup.com/quicklime-pricing-report
ChemAnalyst - $215/t Dec 2025
USGS MCS 2025: https://www.chemanalyst.com/Pricing-data/quicklime-1505
USGS 2024 avg implied ~$200/t. </t>
      </text>
    </comment>
    <comment authorId="0" ref="AJ56">
      <text>
        <t xml:space="preserve">IMARC Group - $153/t Dec 2025: https://www.imarcgroup.com/quicklime-pricing-report
Q4 2024 dipped to ~$127/t. 
Jiangxi is a major limestone producer, so local quicklime costs tend toward the lower end of China's range.</t>
      </text>
    </comment>
    <comment authorId="0" ref="K57">
      <text>
        <t xml:space="preserve">IMARC Group - $131/t Dec 2025: https://www.imarcgroup.com/quicklime-pricing-report
ChemAnalyst - $215/t Dec 2025
USGS MCS 2025: https://www.chemanalyst.com/Pricing-data/quicklime-1505
USGS 2024 avg implied ~$200/t. </t>
      </text>
    </comment>
    <comment authorId="0" ref="AB57">
      <text>
        <t xml:space="preserve">IMARC Group - $131/t Dec 2025: https://www.imarcgroup.com/quicklime-pricing-report
ChemAnalyst - $215/t Dec 2025
USGS MCS 2025: https://www.chemanalyst.com/Pricing-data/quicklime-1505
USGS 2024 avg implied ~$200/t. </t>
      </text>
    </comment>
    <comment authorId="0" ref="AJ57">
      <text>
        <t xml:space="preserve">IMARC Group - $153/t Dec 2025: https://www.imarcgroup.com/quicklime-pricing-report
Q4 2024 dipped to ~$127/t. 
Jiangxi is a major limestone producer, so local quicklime probably is toward the lower end of China's range.</t>
      </text>
    </comment>
    <comment authorId="0" ref="AB58">
      <text>
        <t xml:space="preserve">https://pubs.usgs.gov/periodicals/mcs2026/mcs2026-stone-crushed.pdf
USGS 2026: US crushed stone avg ~$18/t at quarry; costs have steadily increased over past few years. Add $5-15/t delivery. </t>
      </text>
    </comment>
    <comment authorId="0" ref="AJ58">
      <text>
        <t xml:space="preserve">https://www.indexbox.io/search/price-for-limestone-flux-and-limestone-china/
https://electroiq.com/stats/limestone-statistics-and-facts/
China produces &gt;70% of global limestone. Jiangxi has abundant carbonate geology. Domestic quarry-gate prices are very low: RMB 30–80/t (~$4–11/t). IndexBox notes China's import price was $163/t in 2023 but that is for specialty flux-grade imports; domestic bulk limestone is far cheaper.</t>
      </text>
    </comment>
    <comment authorId="0" ref="AB59">
      <text>
        <t xml:space="preserve">https://pubs.usgs.gov/periodicals/mcs2026/mcs2026-stone-crushed.pdf
USGS 2026: US crushed stone avg ~$18/t at quarry; costs have steadily increased over past few years. Add $5-15/t delivery. </t>
      </text>
    </comment>
    <comment authorId="0" ref="AJ59">
      <text>
        <t xml:space="preserve">https://www.indexbox.io/search/price-for-limestone-flux-and-limestone-china/
https://electroiq.com/stats/limestone-statistics-and-facts/
China produces &gt;70% of global limestone. Jiangxi has abundant carbonate geology. Domestic quarry-gate prices are very low: RMB 30–80/t (~$4–11/t). IndexBox notes China's import price was $163/t in 2023 but that is for specialty flux-grade imports; domestic bulk limestone is far cheaper.</t>
      </text>
    </comment>
    <comment authorId="0" ref="AB60">
      <text>
        <t xml:space="preserve">https://pubs.usgs.gov/periodicals/mcs2026/mcs2026-stone-crushed.pdf
USGS 2026: US crushed stone avg ~$18/t at quarry; costs have steadily increased over past few years. Add $5-15/t delivery. </t>
      </text>
    </comment>
    <comment authorId="0" ref="AJ60">
      <text>
        <t xml:space="preserve">https://www.indexbox.io/search/price-for-limestone-flux-and-limestone-china/
https://electroiq.com/stats/limestone-statistics-and-facts/
China produces &gt;70% of global limestone. Jiangxi has abundant carbonate geology. Domestic quarry-gate prices are very low: RMB 30–80/t (~$4–11/t). IndexBox notes China's import price was $163/t in 2023 but that is for specialty flux-grade imports; domestic bulk limestone is far cheaper.</t>
      </text>
    </comment>
    <comment authorId="0" ref="AJ62">
      <text>
        <t xml:space="preserve">Mix of NaOH and lime, from Made in China</t>
      </text>
    </comment>
    <comment authorId="0" ref="K64">
      <text>
        <t xml:space="preserve">https://ndep.nv.gov/land/mining/reclamation/reclamation-cost-estimator</t>
      </text>
    </comment>
    <comment authorId="0" ref="AB64">
      <text>
        <t xml:space="preserve">https://ndep.nv.gov/land/mining/reclamation/reclamation-cost-estimator</t>
      </text>
    </comment>
    <comment authorId="0" ref="AJ64">
      <text>
        <t xml:space="preserve">https://www.ceicdata.com/en/china/price-monitoring-center-ndrc-36-city-monthly-avg-transaction-price-production-material/cn-usage-price-36-city-avg-tap-water-industrial-use
CEIC data shows China's 36-city average industrial tap water at 4.78 RMB/t ($0.66/m³) as of Nov 2025. HROne/NBS reports a national average of RMB 2.80/m³ (~$0.39/m³) in 2024. Statista/Fibre2Fashion cites 2023 industrial average at $0.34/m³.</t>
      </text>
    </comment>
    <comment authorId="0" ref="K65">
      <text>
        <t xml:space="preserve">https://ndep.nv.gov/land/mining/reclamation/reclamation-cost-estimator</t>
      </text>
    </comment>
    <comment authorId="0" ref="AB65">
      <text>
        <t xml:space="preserve">https://ndep.nv.gov/land/mining/reclamation/reclamation-cost-estimator</t>
      </text>
    </comment>
    <comment authorId="0" ref="AJ65">
      <text>
        <t xml:space="preserve">https://www.ceicdata.com/en/china/price-monitoring-center-ndrc-36-city-monthly-avg-transaction-price-production-material/cn-usage-price-36-city-avg-tap-water-industrial-use
CEIC data shows China's 36-city average industrial tap water at 4.78 RMB/t ($0.66/m³) as of Nov 2025. HROne/NBS reports a national average of RMB 2.80/m³ (~$0.39/m³) in 2024. Statista/Fibre2Fashion cites 2023 industrial average at $0.34/m³.</t>
      </text>
    </comment>
    <comment authorId="0" ref="K66">
      <text>
        <t xml:space="preserve">https://ndep.nv.gov/land/mining/reclamation/reclamation-cost-estimator</t>
      </text>
    </comment>
    <comment authorId="0" ref="AB66">
      <text>
        <t xml:space="preserve">https://ndep.nv.gov/land/mining/reclamation/reclamation-cost-estimator</t>
      </text>
    </comment>
    <comment authorId="0" ref="AJ66">
      <text>
        <t xml:space="preserve">https://www.ceicdata.com/en/china/price-monitoring-center-ndrc-36-city-monthly-avg-transaction-price-production-material/cn-usage-price-36-city-avg-tap-water-industrial-use
CEIC data shows China's 36-city average industrial tap water at 4.78 RMB/t ($0.66/m³) as of Nov 2025. HROne/NBS reports a national average of RMB 2.80/m³ (~$0.39/m³) in 2024. Statista/Fibre2Fashion cites 2023 industrial average at $0.34/m³.</t>
      </text>
    </comment>
    <comment authorId="0" ref="K67">
      <text>
        <t xml:space="preserve">https://www.procurementresource.com/resource-center/soda-ash-price-trends</t>
      </text>
    </comment>
    <comment authorId="0" ref="AB67">
      <text>
        <t xml:space="preserve">https://www.procurementresource.com/resource-center/soda-ash-price-trends</t>
      </text>
    </comment>
    <comment authorId="0" ref="AJ67">
      <text>
        <t xml:space="preserve">Reported max in https://www.procurementresource.com/resource-center/soda-ash-price-trends
Q4 2021</t>
      </text>
    </comment>
    <comment authorId="0" ref="K68">
      <text>
        <t xml:space="preserve">https://www.procurementresource.com/resource-center/soda-ash-price-trends</t>
      </text>
    </comment>
    <comment authorId="0" ref="AB68">
      <text>
        <t xml:space="preserve">https://www.procurementresource.com/resource-center/soda-ash-price-trends</t>
      </text>
    </comment>
    <comment authorId="0" ref="AJ68">
      <text>
        <t xml:space="preserve">Q4 prices, 2024 https://www.procurementresource.com/resource-center/soda-ash-price-trends</t>
      </text>
    </comment>
    <comment authorId="0" ref="K69">
      <text>
        <t xml:space="preserve">Lowest reported cost in disclosure were 0.22 - 2022 prices for Thacker Pass/Silver Peak
Based on historical prices via USGS Commodity Surveys</t>
      </text>
    </comment>
    <comment authorId="0" ref="AB69">
      <text>
        <t xml:space="preserve">Lowest reported cost in disclosure were 0.22 - 2022 prices for Thacker Pass/Silver Peak
Based on historical prices via USGS Commodity Surveys</t>
      </text>
    </comment>
    <comment authorId="0" ref="AJ69">
      <text>
        <t xml:space="preserve">Current prices appear to be in a bit of a lull in comparison to the last five years. https://www.procurementresource.com/resource-center/soda-ash-price-trends</t>
      </text>
    </comment>
    <comment authorId="0" ref="AJ70">
      <text>
        <t xml:space="preserve">Peak in 2022 https://www.procurementresource.com/resource-center/sodium-sulfate-price-trends</t>
      </text>
    </comment>
    <comment authorId="0" ref="AJ71">
      <text>
        <t xml:space="preserve">https://www.globalsources.com/manufacturers/anhydrous-na2so4.html</t>
      </text>
    </comment>
    <comment authorId="0" ref="AJ72">
      <text>
        <t xml:space="preserve">Current prices are low - https://www.chemanalyst.com/Pricing-data/sodium-sulphate-1480</t>
      </text>
    </comment>
    <comment authorId="0" ref="AB73">
      <text>
        <t xml:space="preserve">Merchant cost: 0.219 https://www.procurementresource.com/resource-center/sulfuric-acid-price-trends</t>
      </text>
    </comment>
    <comment authorId="0" ref="AJ73">
      <text>
        <t xml:space="preserve">Max prices reported March 2022 - 800-1400 RMB/MT
https://www.procurementresource.com/resource-center/sulfuric-acid-price-trends</t>
      </text>
    </comment>
    <comment authorId="0" ref="AB74">
      <text>
        <t xml:space="preserve">On-site production cost estimate (high)</t>
      </text>
    </comment>
    <comment authorId="0" ref="AJ74">
      <text>
        <t xml:space="preserve">Reasonable midpoint - Q3 2025. 
https://www.procurementresource.com/resource-center/sulfuric-acid-price-trends</t>
      </text>
    </comment>
    <comment authorId="0" ref="AB75">
      <text>
        <t xml:space="preserve">On-site production cost estimate (reported, 2022 disclosure)</t>
      </text>
    </comment>
    <comment authorId="0" ref="AJ75">
      <text>
        <t xml:space="preserve">Lowest reported prices, Q2/3 2024
https://www.procurementresource.com/resource-center/sulfuric-acid-price-trends</t>
      </text>
    </comment>
    <comment authorId="0" ref="K77">
      <text>
        <t xml:space="preserve">ecoInvent via Roy et al. 2024</t>
      </text>
    </comment>
    <comment authorId="0" ref="AB77">
      <text>
        <t xml:space="preserve">ecoInvent via Roy et al. 2024</t>
      </text>
    </comment>
    <comment authorId="0" ref="AJ77">
      <text>
        <t xml:space="preserve">ecoInvent via Roy et al. 2024</t>
      </text>
    </comment>
    <comment authorId="0" ref="K79">
      <text>
        <t xml:space="preserve">GREET</t>
      </text>
    </comment>
    <comment authorId="0" ref="AB79">
      <text>
        <t xml:space="preserve">GREET</t>
      </text>
    </comment>
    <comment authorId="0" ref="AJ79">
      <text>
        <t xml:space="preserve">GREET</t>
      </text>
    </comment>
    <comment authorId="0" ref="K80">
      <text>
        <t xml:space="preserve">ecoInvent 3.8 via Roy et al. 2024</t>
      </text>
    </comment>
    <comment authorId="0" ref="AB80">
      <text>
        <t xml:space="preserve">ecoInvent 3.8 via Roy et al. 2024</t>
      </text>
    </comment>
    <comment authorId="0" ref="AJ80">
      <text>
        <t xml:space="preserve">ecoInvent 3.8 via Roy et al. 2024</t>
      </text>
    </comment>
    <comment authorId="0" ref="K81">
      <text>
        <t xml:space="preserve">ecoInvent 3.8 via Roy et al. 2024, estimated upper range</t>
      </text>
    </comment>
    <comment authorId="0" ref="AB81">
      <text>
        <t xml:space="preserve">ecoInvent 3.8 via Roy et al. 2024, estimated upper range</t>
      </text>
    </comment>
    <comment authorId="0" ref="AJ81">
      <text>
        <t xml:space="preserve">ecoInvent 3.8 via Roy et al. 2024, estimated upper range</t>
      </text>
    </comment>
    <comment authorId="0" ref="K82">
      <text>
        <t xml:space="preserve">ecoInvent via Roy et al. 2024</t>
      </text>
    </comment>
    <comment authorId="0" ref="AB82">
      <text>
        <t xml:space="preserve">ecoInvent via Roy et al. 2024</t>
      </text>
    </comment>
    <comment authorId="0" ref="AJ82">
      <text>
        <t xml:space="preserve">ecoInvent via Roy et al. 2024</t>
      </text>
    </comment>
    <comment authorId="0" ref="K83">
      <text>
        <t xml:space="preserve">ecoInvent via Roy et al. 2024</t>
      </text>
    </comment>
    <comment authorId="0" ref="AB83">
      <text>
        <t xml:space="preserve">ecoInvent via Roy et al. 2024</t>
      </text>
    </comment>
    <comment authorId="0" ref="AJ83">
      <text>
        <t xml:space="preserve">ecoInvent via Roy et al. 2024</t>
      </text>
    </comment>
    <comment authorId="0" ref="K84">
      <text>
        <t xml:space="preserve">GREET</t>
      </text>
    </comment>
    <comment authorId="0" ref="AB84">
      <text>
        <t xml:space="preserve">GREET</t>
      </text>
    </comment>
    <comment authorId="0" ref="AJ84">
      <text>
        <t xml:space="preserve">GREET</t>
      </text>
    </comment>
    <comment authorId="0" ref="K85">
      <text>
        <t xml:space="preserve">US production of soda ash is primarily from trona, which has emissions intensities between 0.3-0.7: https://cen.acs.org/business/specialty-chemicals/synthetic-soda-ash-survive/101/i7</t>
      </text>
    </comment>
    <comment authorId="0" ref="AB85">
      <text>
        <t xml:space="preserve">US production of soda ash is primarily from trona, which has emissions intensities between 0.3-0.7: https://cen.acs.org/business/specialty-chemicals/synthetic-soda-ash-survive/101/i7</t>
      </text>
    </comment>
    <comment authorId="0" ref="AJ85">
      <text>
        <t xml:space="preserve">Assume production from trona, which has emissions intensities between 0.3-0.7: https://cen.acs.org/business/specialty-chemicals/synthetic-soda-ash-survive/101/i7</t>
      </text>
    </comment>
    <comment authorId="0" ref="K86">
      <text>
        <t xml:space="preserve">US production of soda ash is primarily from trona, which has emissions intensities between 0.3-0.7: https://cen.acs.org/business/specialty-chemicals/synthetic-soda-ash-survive/101/i7</t>
      </text>
    </comment>
    <comment authorId="0" ref="AB86">
      <text>
        <t xml:space="preserve">US production of soda ash is primarily from trona, which has emissions intensities between 0.3-0.7: https://cen.acs.org/business/specialty-chemicals/synthetic-soda-ash-survive/101/i7</t>
      </text>
    </comment>
    <comment authorId="0" ref="AJ86">
      <text>
        <t xml:space="preserve">Most soda ash in China is made via the Solvay process, which has emissions intensity of ~1 ton:
https://cen.acs.org/business/specialty-chemicals/synthetic-soda-ash-survive/101/i7
Number from ecoInvent 3.8 ("dense, Solvay") via Roy et al. 2024</t>
      </text>
    </comment>
    <comment authorId="0" ref="K87">
      <text>
        <t xml:space="preserve">US production of soda ash is primarily from trona, which has emissions intensities between 0.3-0.7: https://cen.acs.org/business/specialty-chemicals/synthetic-soda-ash-survive/101/i7</t>
      </text>
    </comment>
    <comment authorId="0" ref="AB87">
      <text>
        <t xml:space="preserve">US production of soda ash is primarily from trona, which has emissions intensities between 0.3-0.7: https://cen.acs.org/business/specialty-chemicals/synthetic-soda-ash-survive/101/i7</t>
      </text>
    </comment>
    <comment authorId="0" ref="AJ87">
      <text>
        <t xml:space="preserve">Most soda ash in China is made via the Solvay process, which has emissions intensity of ~1 ton:
https://cen.acs.org/business/specialty-chemicals/synthetic-soda-ash-survive/101/i7
Number from ecoInvent 3.8 ("dense, Solvay") via Roy et al. 2024</t>
      </text>
    </comment>
    <comment authorId="0" ref="K88">
      <text>
        <t xml:space="preserve">Estimate from ecoinvent</t>
      </text>
    </comment>
    <comment authorId="0" ref="AB88">
      <text>
        <t xml:space="preserve">Estimate from ecoinvent</t>
      </text>
    </comment>
    <comment authorId="0" ref="AJ88">
      <text>
        <t xml:space="preserve">Estimate from ecoinvent</t>
      </text>
    </comment>
    <comment authorId="0" ref="K89">
      <text>
        <t xml:space="preserve">Estimate from ecoinvent</t>
      </text>
    </comment>
    <comment authorId="0" ref="AB89">
      <text>
        <t xml:space="preserve">Estimate from ecoinvent</t>
      </text>
    </comment>
    <comment authorId="0" ref="AJ89">
      <text>
        <t xml:space="preserve">Estimate from ecoinvent</t>
      </text>
    </comment>
    <comment authorId="0" ref="K90">
      <text>
        <t xml:space="preserve">Mannheim process, where process uses fuel oil for the high-temperature kiln step, identified as the highest contributor to direct GHG emissions in K₂SO₄/Na₂SO₄ production— Farahani et al. 2024</t>
      </text>
    </comment>
    <comment authorId="0" ref="AB90">
      <text>
        <t xml:space="preserve">Mannheim process, where process uses fuel oil for the high-temperature kiln step, identified as the highest contributor to direct GHG emissions in K₂SO₄/Na₂SO₄ production— Farahani et al. 2024</t>
      </text>
    </comment>
    <comment authorId="0" ref="AJ90">
      <text>
        <t xml:space="preserve">Mannheim process, where process uses fuel oil for the high-temperature kiln step, identified as the highest contributor to direct GHG emissions in K₂SO₄/Na₂SO₄ production— Farahani et al. 2024</t>
      </text>
    </comment>
    <comment authorId="0" ref="K91">
      <text>
        <t xml:space="preserve">On-site, elemental sulfur route via Roy et al. 2024</t>
      </text>
    </comment>
    <comment authorId="0" ref="AB91">
      <text>
        <t xml:space="preserve">On-site, elemental sulfur route via Roy et al. 2024</t>
      </text>
    </comment>
    <comment authorId="0" ref="AJ91">
      <text>
        <t xml:space="preserve">On-site, elemental sulfur route via Roy et al. 2024</t>
      </text>
    </comment>
    <comment authorId="0" ref="K92">
      <text>
        <t xml:space="preserve">ecoInvent 3.8 via Roy et al. 2024</t>
      </text>
    </comment>
    <comment authorId="0" ref="AB92">
      <text>
        <t xml:space="preserve">ecoInvent 3.8 via Roy et al. 2024</t>
      </text>
    </comment>
    <comment authorId="0" ref="AJ92">
      <text>
        <t xml:space="preserve">ecoInvent 3.8 via Roy et al. 2024</t>
      </text>
    </comment>
    <comment authorId="0" ref="K93">
      <text>
        <t xml:space="preserve">GREET</t>
      </text>
    </comment>
    <comment authorId="0" ref="AB93">
      <text>
        <t xml:space="preserve">GREET</t>
      </text>
    </comment>
    <comment authorId="0" ref="AJ93">
      <text>
        <t xml:space="preserve">GREET</t>
      </text>
    </comment>
    <comment authorId="0" ref="R95">
      <text>
        <t xml:space="preserve">May include technical grade plant</t>
      </text>
    </comment>
    <comment authorId="0" ref="D96">
      <text>
        <t xml:space="preserve">On payroll, 210 on site</t>
      </text>
    </comment>
    <comment authorId="0" ref="M96">
      <text>
        <t xml:space="preserve">2025 report. all other numbers are from 2023 report</t>
      </text>
    </comment>
    <comment authorId="0" ref="AA96">
      <text>
        <t xml:space="preserve">Peak operations</t>
      </text>
    </comment>
    <comment authorId="0" ref="AB96">
      <text>
        <t xml:space="preserve">By phase: 206 / 304 / 409 / 534 / 626</t>
      </text>
    </comment>
    <comment authorId="0" ref="O97">
      <text>
        <t xml:space="preserve">Propane / LPG truck-delivered &amp; stored onsite</t>
      </text>
    </comment>
    <comment authorId="0" ref="AB97">
      <text>
        <t xml:space="preserve">0.02 t propane / t Li2CO3</t>
      </text>
    </comment>
    <comment authorId="0" ref="D98">
      <text>
        <t xml:space="preserve">24120 MW/a  (??)</t>
      </text>
    </comment>
    <comment authorId="0" ref="L98">
      <text>
        <t xml:space="preserve">67 million kWh/year = 67 GWh/year. 7.6 MWh during normal operation</t>
      </text>
    </comment>
    <comment authorId="0" ref="M98">
      <text>
        <t xml:space="preserve">433 GWh/year - 2023 report; not included in 2025</t>
      </text>
    </comment>
    <comment authorId="0" ref="O98">
      <text>
        <t xml:space="preserve">40 MW grid capacity</t>
      </text>
    </comment>
    <comment authorId="0" ref="AA98">
      <text>
        <t xml:space="preserve">Also need diesel generators</t>
      </text>
    </comment>
    <comment authorId="0" ref="AC98">
      <text>
        <t xml:space="preserve">16,625 kW installed, 10853 kW load? </t>
      </text>
    </comment>
    <comment authorId="0" ref="AD98">
      <text>
        <t xml:space="preserve">1.45 MW Peak load; 7818 MWh annual</t>
      </text>
    </comment>
    <comment authorId="0" ref="AE98">
      <text>
        <t xml:space="preserve">Phase 1: 117.16
Phase 2: 186.05
Phase 3: 323.37</t>
      </text>
    </comment>
    <comment authorId="0" ref="K99">
      <text>
        <t xml:space="preserve">Midpoint - 120 to 140</t>
      </text>
    </comment>
    <comment authorId="0" ref="L99">
      <text>
        <t xml:space="preserve">Up to 160 m3/hr</t>
      </text>
    </comment>
    <comment authorId="0" ref="M99">
      <text>
        <t xml:space="preserve">413 m3/h freshwater consumption  [2023 disclosure]</t>
      </text>
    </comment>
    <comment authorId="0" ref="O99">
      <text>
        <t xml:space="preserve">"80% of water recycled"</t>
      </text>
    </comment>
    <comment authorId="0" ref="AA99">
      <text>
        <t xml:space="preserve">2543 gallons per minute</t>
      </text>
    </comment>
    <comment authorId="0" ref="AE99">
      <text>
        <t xml:space="preserve">Reported as a flow</t>
      </text>
    </comment>
    <comment authorId="0" ref="L100">
      <text>
        <t xml:space="preserve">11500 t/year</t>
      </text>
    </comment>
    <comment authorId="0" ref="M100">
      <text>
        <t xml:space="preserve">774 kg per tonne LiOH / 23225 t/y @ 30000 t/y LiOH [2023 disclosure]</t>
      </text>
    </comment>
    <comment authorId="0" ref="AA100">
      <text>
        <t xml:space="preserve">Total: 37000 t</t>
      </text>
    </comment>
    <comment authorId="0" ref="AC100">
      <text>
        <t xml:space="preserve">8.8 kg/t ore throughput</t>
      </text>
    </comment>
    <comment authorId="0" ref="D101">
      <text>
        <t xml:space="preserve">80% CaO ? </t>
      </text>
    </comment>
    <comment authorId="0" ref="M101">
      <text>
        <t xml:space="preserve">14 kg per tonne LiOH / 418 t/y @ 30000 t/y LiOH [2023 disclosure]</t>
      </text>
    </comment>
    <comment authorId="0" ref="AA101">
      <text>
        <t xml:space="preserve">Total: 62000 t</t>
      </text>
    </comment>
    <comment authorId="0" ref="AD101">
      <text>
        <t xml:space="preserve">Mentioned, no quantity</t>
      </text>
    </comment>
    <comment authorId="0" ref="L102">
      <text>
        <t xml:space="preserve">740 t/year</t>
      </text>
    </comment>
    <comment authorId="0" ref="AB103">
      <text>
        <t xml:space="preserve">277 / 554 / 831 / 1385 m3/h by phase</t>
      </text>
    </comment>
    <comment authorId="0" ref="J104">
      <text>
        <t xml:space="preserve">NaOH</t>
      </text>
    </comment>
    <comment authorId="0" ref="L104">
      <text>
        <t xml:space="preserve">11400 t/year</t>
      </text>
    </comment>
    <comment authorId="0" ref="M104">
      <text>
        <t xml:space="preserve">15470 50% sodium hydroxide</t>
      </text>
    </comment>
    <comment authorId="0" ref="AD104">
      <text>
        <t xml:space="preserve">mentioned qualitatively</t>
      </text>
    </comment>
    <comment authorId="0" ref="AE105">
      <text>
        <t xml:space="preserve">m3/h</t>
      </text>
    </comment>
    <comment authorId="0" ref="L106">
      <text>
        <t xml:space="preserve">260 GJ/day</t>
      </text>
    </comment>
    <comment authorId="0" ref="AD106">
      <text>
        <t xml:space="preserve">0.007 t/h for dryer/calciner</t>
      </text>
    </comment>
    <comment authorId="0" ref="AD107">
      <text>
        <t xml:space="preserve">Described qualitatively</t>
      </text>
    </comment>
    <comment authorId="0" ref="L108">
      <text>
        <t xml:space="preserve">6,200 t/year</t>
      </text>
    </comment>
    <comment authorId="0" ref="M108">
      <text>
        <t xml:space="preserve">32% hydrochloric acid</t>
      </text>
    </comment>
    <comment authorId="0" ref="D110">
      <text>
        <t xml:space="preserve">Total tonnes reagents / t Li2CO3</t>
      </text>
    </comment>
    <comment authorId="0" ref="J110">
      <text>
        <t xml:space="preserve">Total chemical consumption reported</t>
      </text>
    </comment>
    <comment authorId="0" ref="M110">
      <text>
        <t xml:space="preserve">Hydrogen Peroxide</t>
      </text>
    </comment>
    <comment authorId="0" ref="M111">
      <text>
        <t xml:space="preserve">Carbon dioxide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Brine density</t>
      </text>
    </comment>
    <comment authorId="0" ref="D10">
      <text>
        <t xml:space="preserve">Set by brine density times by evaporation rate</t>
      </text>
    </comment>
    <comment authorId="0" ref="D18">
      <text>
        <t xml:space="preserve">Convert to flow via evaporation rate</t>
      </text>
    </comment>
    <comment authorId="0" ref="C20">
      <text>
        <t xml:space="preserve">Set individually for each individual project</t>
      </text>
    </comment>
    <comment authorId="0" ref="D20">
      <text>
        <t xml:space="preserve">Depends on desired output concentration; set for each individual project</t>
      </text>
    </comment>
    <comment authorId="0" ref="C22">
      <text>
        <t xml:space="preserve">Brine density</t>
      </text>
    </comment>
    <comment authorId="0" ref="D22">
      <text>
        <t xml:space="preserve">Brine density</t>
      </text>
    </comment>
    <comment authorId="0" ref="D45">
      <text>
        <t xml:space="preserve">Need to account for evaporation + project-specific yield rates</t>
      </text>
    </comment>
    <comment authorId="0" ref="D46">
      <text>
        <t xml:space="preserve">Convert to m2 with evaporation rate</t>
      </text>
    </comment>
    <comment authorId="0" ref="C51">
      <text>
        <t xml:space="preserve">Brine density</t>
      </text>
    </comment>
    <comment authorId="0" ref="D51">
      <text>
        <t xml:space="preserve">Concentrated brine density</t>
      </text>
    </comment>
    <comment authorId="0" ref="D54">
      <text>
        <t xml:space="preserve">Evaporated water</t>
      </text>
    </comment>
    <comment authorId="0" ref="D56">
      <text>
        <t xml:space="preserve">Need to calculate based on conversion factor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8">
      <text>
        <t xml:space="preserve">Set by powder factor</t>
      </text>
    </comment>
    <comment authorId="0" ref="D46">
      <text>
        <t xml:space="preserve">To be set by project-specific mining factors, and also multiplied by density</t>
      </text>
    </comment>
    <comment authorId="0" ref="D53">
      <text>
        <t xml:space="preserve">Depends on dilution factor. Set manually</t>
      </text>
    </comment>
    <comment authorId="0" ref="D54">
      <text>
        <t xml:space="preserve">costs assumed to be handled as part of this excavation/loading block</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0">
      <text>
        <t xml:space="preserve">Really a function of lime needed; need to slake the lime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6">
      <text>
        <t xml:space="preserve">To be set by project-specific mining factors, and also multiplied by density</t>
      </text>
    </comment>
    <comment authorId="0" ref="C53">
      <text>
        <t xml:space="preserve">Depends on dilution factor. Set manually</t>
      </text>
    </comment>
    <comment authorId="0" ref="C54">
      <text>
        <t xml:space="preserve">costs assumed to be handled as part of this excavation/loading block</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Concentrated brine density, accounting form mg --&gt; kg and L --&gt; m3 conversions because of the PPM unit</t>
      </text>
    </comment>
    <comment authorId="0" ref="D10">
      <text>
        <t xml:space="preserve">Concentrated brine density, accounting form mg --&gt; kg and L --&gt; m3 conversions because of the PPM unit</t>
      </text>
    </comment>
    <comment authorId="0" ref="C22">
      <text>
        <t xml:space="preserve">Concentrated brine density, accounting form mg --&gt; kg and L --&gt; m3 conversions because of the PPM unit</t>
      </text>
    </comment>
    <comment authorId="0" ref="D22">
      <text>
        <t xml:space="preserve">Concentrated brine density, accounting form mg --&gt; kg and L --&gt; m3 conversions because of the PPM unit</t>
      </text>
    </comment>
    <comment authorId="0" ref="C24">
      <text>
        <t xml:space="preserve">Set manually</t>
      </text>
    </comment>
    <comment authorId="0" ref="D27">
      <text>
        <t xml:space="preserve">Should really be all suspended solids</t>
      </text>
    </comment>
    <comment authorId="0" ref="C51">
      <text>
        <t xml:space="preserve">Concentrated brine density, accounting form mg --&gt; kg and L --&gt; m3 conversions because of the PPM unit</t>
      </text>
    </comment>
    <comment authorId="0" ref="D51">
      <text>
        <t xml:space="preserve">Concentrated brine density, accounting form mg --&gt; kg and L --&gt; m3 conversions because of the PPM unit</t>
      </text>
    </comment>
    <comment authorId="0" ref="D56">
      <text>
        <t xml:space="preserve">Should aim to calculate directly from chemical balance, but fine for now.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Density of 30% slurry * 0.3 solids. Using grain density of 2.6 t/m3</t>
      </text>
    </comment>
    <comment authorId="0" ref="E10">
      <text>
        <t xml:space="preserve">Density of 20% slurry * 0.2 solids. Using grain density of 2.6 t/m3</t>
      </text>
    </comment>
    <comment authorId="0" ref="F10">
      <text>
        <t xml:space="preserve">Density of 15% slurry * 0.15 solids. Using grain density of 2.6 t/m3</t>
      </text>
    </comment>
    <comment authorId="0" ref="G10">
      <text>
        <t xml:space="preserve">Density of 34% slurry * 0.34 solids</t>
      </text>
    </comment>
    <comment authorId="0" ref="H10">
      <text>
        <t xml:space="preserve">Density of 34% slurry * 0.34 solids</t>
      </text>
    </comment>
    <comment authorId="0" ref="I10">
      <text>
        <t xml:space="preserve">Density of 34% slurry * 0.34 solids</t>
      </text>
    </comment>
    <comment authorId="0" ref="J10">
      <text>
        <t xml:space="preserve">Density of 34% slurry * 0.34 solids</t>
      </text>
    </comment>
    <comment authorId="0" ref="C18">
      <text>
        <t xml:space="preserve">Thacker Pass clay ROM density; should be dynamically loaded for projects</t>
      </text>
    </comment>
    <comment authorId="0" ref="D18">
      <text>
        <t xml:space="preserve">Assume for now that ~20% of the output of step three are coarse materials that are fed back into step 2 in a recycling loop. See 'key_chemical' for further explanation of ratio</t>
      </text>
    </comment>
    <comment authorId="0" ref="G18">
      <text>
        <t xml:space="preserve">From 34% solids slurry to 55% solids slurry</t>
      </text>
    </comment>
    <comment authorId="0" ref="E22">
      <text>
        <t xml:space="preserve">Density of 20% slurry * 0.2 solids. Using grain density of 2.6 t/m3</t>
      </text>
    </comment>
    <comment authorId="0" ref="F22">
      <text>
        <t xml:space="preserve">Density of 15% slurry * 0.15 solids. Using grain density of 2.6 t/m3</t>
      </text>
    </comment>
    <comment authorId="0" ref="H22">
      <text>
        <t xml:space="preserve">Density of 34% slurry * 0.34 solids</t>
      </text>
    </comment>
    <comment authorId="0" ref="I22">
      <text>
        <t xml:space="preserve">Density of 34% slurry * 0.34 solids</t>
      </text>
    </comment>
    <comment authorId="0" ref="J22">
      <text>
        <t xml:space="preserve">Density of 7.5% solids slurry</t>
      </text>
    </comment>
    <comment authorId="0" ref="J27">
      <text>
        <t xml:space="preserve">Probably need to make this target specific constituents</t>
      </text>
    </comment>
    <comment authorId="0" ref="D28">
      <text>
        <t xml:space="preserve">Need to fix to actual amount of solids</t>
      </text>
    </comment>
    <comment authorId="0" ref="F28">
      <text>
        <t xml:space="preserve">Reported to be 130 x2 = 260 g/t across thickener and decanter - Table 17-1 in Thacker Pass</t>
      </text>
    </comment>
    <comment authorId="0" ref="G28">
      <text>
        <t xml:space="preserve">Estimated from disclosure-reported consumption rate - aim for ~16 tonne acid / tonne LCE</t>
      </text>
    </comment>
    <comment authorId="0" ref="H28">
      <text>
        <t xml:space="preserve">Estimated from disclosure-reported consumption rate - aim for ~2.95 tonne acid / tonne LCE</t>
      </text>
    </comment>
    <comment authorId="0" ref="F29">
      <text>
        <t xml:space="preserve">Doesn't eliminate anything, just causes them to aggregate / flocculate</t>
      </text>
    </comment>
    <comment authorId="0" ref="J33">
      <text>
        <t xml:space="preserve">Target lime</t>
      </text>
    </comment>
    <comment authorId="0" ref="D34">
      <text>
        <t xml:space="preserve">New makeup water added; total water needs here are ~91 m3. Between 40 m3 new and assume recycling from thickener overflow, neutralization, and CCD (~73 m3). </t>
      </text>
    </comment>
    <comment authorId="0" ref="I34">
      <text>
        <t xml:space="preserve">Assumed to be internally sourced from tailings dewatering</t>
      </text>
    </comment>
    <comment authorId="0" ref="J39">
      <text>
        <t xml:space="preserve">Probably need to make this target specific constituents</t>
      </text>
    </comment>
    <comment authorId="0" ref="E45">
      <text>
        <t xml:space="preserve">Would theoretically be 1 under fully closed recycle; note that coarse gangue mineralization losses in Thacker Pass are 8% (assume overall percentage points, not here in step)</t>
      </text>
    </comment>
    <comment authorId="0" ref="F45">
      <text>
        <t xml:space="preserve">Almost all solids end up in the underflow, rest go to overflow with water</t>
      </text>
    </comment>
    <comment authorId="0" ref="G45">
      <text>
        <t xml:space="preserve">Thacker Pass: "Through extensive clay leaching tests, an acid dose of approximately 490 kg H2SO4/tonne leach feed solids was found to be optimal to maximize lithium production. This was used as the design acid addition. Leach data collected over years of testing has been used to build an empirical predictive model of lithium leach extraction as a function of the slurry composition. This model was used to optimize the mine plan to maximize lithium production. Based on the mine plan and leach correlation, an average of approximately 92% lithium extraction is expected in the acid leach circuit."</t>
      </text>
    </comment>
    <comment authorId="0" ref="I45">
      <text>
        <t xml:space="preserve">0.5-1.5% in Thacker Pass</t>
      </text>
    </comment>
    <comment authorId="0" ref="J45">
      <text>
        <t xml:space="preserve">Thacker Pass: 0.25-1.5% in magnesium crystallization and 1-4% for ZLD crystalllization circuit;
Table 15-2 totals about 5% in losses</t>
      </text>
    </comment>
    <comment authorId="0" ref="D46">
      <text>
        <t xml:space="preserve">From 30% solids slurry to 20% solids slurry</t>
      </text>
    </comment>
    <comment authorId="0" ref="E46">
      <text>
        <t xml:space="preserve">From 20% solids slurry to 15% solids slurry</t>
      </text>
    </comment>
    <comment authorId="0" ref="F46">
      <text>
        <t xml:space="preserve">From 15% solids slurry to 55% solids slurry</t>
      </text>
    </comment>
    <comment authorId="0" ref="D51">
      <text>
        <t xml:space="preserve">Density of 20% slurry * 0.2 solids. Using grain density of 2.6 t/m3</t>
      </text>
    </comment>
    <comment authorId="0" ref="E51">
      <text>
        <t xml:space="preserve">Density of 15% slurry * 0.15 solids. Using grain density of 2.6 t/m3</t>
      </text>
    </comment>
    <comment authorId="0" ref="G51">
      <text>
        <t xml:space="preserve">Density of 34% slurry * 0.34 solids</t>
      </text>
    </comment>
    <comment authorId="0" ref="H51">
      <text>
        <t xml:space="preserve">Density of 34% slurry * 0.34 solids</t>
      </text>
    </comment>
    <comment authorId="0" ref="H54">
      <text>
        <t xml:space="preserve">Lime addition may generate direct process emissions? </t>
      </text>
    </comment>
    <comment authorId="0" ref="F56">
      <text>
        <t xml:space="preserve">Assuming recycling back into scrubbing / classification</t>
      </text>
    </comment>
    <comment authorId="0" ref="I56">
      <text>
        <t xml:space="preserve">62% density filter cake</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9">
      <text>
        <t xml:space="preserve">These are typically in tons per hour</t>
      </text>
    </comment>
    <comment authorId="0" ref="D10">
      <text>
        <t xml:space="preserve">Density of 30% slurry * 0.3 solids</t>
      </text>
    </comment>
    <comment authorId="0" ref="E10">
      <text>
        <t xml:space="preserve">Density of 60% slurry</t>
      </text>
    </comment>
    <comment authorId="0" ref="F10">
      <text>
        <t xml:space="preserve">Density of 60% slurry</t>
      </text>
    </comment>
    <comment authorId="0" ref="H10">
      <text>
        <t xml:space="preserve">Density of 20% slurry, times fraction of slurry that is ore. Assumes density of calcine ≈ density of lepidolite.</t>
      </text>
    </comment>
    <comment authorId="0" ref="I10">
      <text>
        <t xml:space="preserve">Density of 20% slurry. Assumes density of calcine ≈ density of lepidolite - probably not super accurate, but fine for now</t>
      </text>
    </comment>
    <comment authorId="0" ref="J10">
      <text>
        <t xml:space="preserve">Density of 20% slurry. Assumes density of calcine ≈ density of lepidolite - probably not super accurate, but fine for now</t>
      </text>
    </comment>
    <comment authorId="0" ref="C18">
      <text>
        <t xml:space="preserve">Approx. Lepidolite density</t>
      </text>
    </comment>
    <comment authorId="0" ref="D18">
      <text>
        <t xml:space="preserve">30% solids. Lepidolite density assumed to be 2.7 t/m3</t>
      </text>
    </comment>
    <comment authorId="0" ref="G18">
      <text>
        <t xml:space="preserve">Account for significant amount of reagents added. Na2SO4 addition at 50% of dry solids; lime addition at 15% of solids. </t>
      </text>
    </comment>
    <comment authorId="0" ref="H18">
      <text>
        <t xml:space="preserve">20% solids. Solids density assumed to be 2.7 t/m3</t>
      </text>
    </comment>
    <comment authorId="0" ref="E22">
      <text>
        <t xml:space="preserve">Density of 60% slurry</t>
      </text>
    </comment>
    <comment authorId="0" ref="F22">
      <text>
        <t xml:space="preserve">Density of 60% slurry</t>
      </text>
    </comment>
    <comment authorId="0" ref="I22">
      <text>
        <t xml:space="preserve">Density of 20% slurry. Assumes density of calcine ≈ density of lepidolite - probably not super accurate, but fine for now</t>
      </text>
    </comment>
    <comment authorId="0" ref="J22">
      <text>
        <t xml:space="preserve">Density of 20% slurry. Assumes density of calcine ≈ density of lepidolite - probably not super accurate, but fine for now</t>
      </text>
    </comment>
    <comment authorId="0" ref="D28">
      <text>
        <t xml:space="preserve">From water fraction calculation based on mixture density equation at 30% solids</t>
      </text>
    </comment>
    <comment authorId="0" ref="G28">
      <text>
        <t xml:space="preserve">Derived from Yan et al. 2012's 0.5 tonnes per tonne lepidolite concentrate</t>
      </text>
    </comment>
    <comment authorId="0" ref="H28">
      <text>
        <t xml:space="preserve">From water fraction calculation based on mixture density equation at 20% solids</t>
      </text>
    </comment>
    <comment authorId="0" ref="I28">
      <text>
        <t xml:space="preserve">Need to fix to actual amount of solids</t>
      </text>
    </comment>
    <comment authorId="0" ref="J28">
      <text>
        <t xml:space="preserve">Need to fix to actual amount of solids</t>
      </text>
    </comment>
    <comment authorId="0" ref="G34">
      <text>
        <t xml:space="preserve">Derived from Yan et al. 2012's 0.1 tonnes per tonne lepidolite concentrate, add 50% per Luong et al. 2013 to allow for more reasonable assumption that all fluoride is captured</t>
      </text>
    </comment>
    <comment authorId="0" ref="I34">
      <text>
        <t xml:space="preserve">Need to fix to actual amount of solids</t>
      </text>
    </comment>
    <comment authorId="0" ref="G40">
      <text>
        <t xml:space="preserve">Derived from Yan et al. 2012's 0.1 tonnes per tonne lepidolite concentrate</t>
      </text>
    </comment>
    <comment authorId="0" ref="D43">
      <text>
        <t xml:space="preserve">Assume ~60% density now, appropriate for grinding</t>
      </text>
    </comment>
    <comment authorId="0" ref="F43">
      <text>
        <t xml:space="preserve">Assume 80% solids slurry feed into roasting train</t>
      </text>
    </comment>
    <comment authorId="0" ref="D45">
      <text>
        <t xml:space="preserve">Flotation recovery is notably low for kaolinite-type deposits, but varies widely depending on industrial context and type of flotation (https://www.sciencedirect.com/science/article/pii/S2950555024000454) </t>
      </text>
    </comment>
    <comment authorId="0" ref="G45">
      <text>
        <t xml:space="preserve">No lithium should be leaving the solid compound mix. </t>
      </text>
    </comment>
    <comment authorId="0" ref="I45">
      <text>
        <t xml:space="preserve">Thacker Pass: 0.25-1.5% in magnesium crystallization and 1-4% for ZLD crystalllization circuit;
Table 15-2 totals about 5% in losses</t>
      </text>
    </comment>
    <comment authorId="0" ref="D46">
      <text>
        <t xml:space="preserve">Accounts for implicit classification thickening assumption to ~60% (use density ratios)</t>
      </text>
    </comment>
    <comment authorId="0" ref="G46">
      <text>
        <t xml:space="preserve">Note that the two parts of water are assumed to be evaporated. </t>
      </text>
    </comment>
    <comment authorId="0" ref="D49">
      <text>
        <t xml:space="preserve">Based on ore grades from Garrett 1.63/4.65 ≈ 0.35 is kept; 0.65 must be rejected. </t>
      </text>
    </comment>
    <comment authorId="0" ref="D51">
      <text>
        <t xml:space="preserve">Density of 60% slurry * 0.6 solids</t>
      </text>
    </comment>
    <comment authorId="0" ref="E51">
      <text>
        <t xml:space="preserve">Density of 60% slurry * 0.6 solids</t>
      </text>
    </comment>
    <comment authorId="0" ref="H51">
      <text>
        <t xml:space="preserve">Density of 20% slurry. Assumes density of calcine ≈ density of lepidolite - probably not super accurate, but fine for now</t>
      </text>
    </comment>
    <comment authorId="0" ref="I51">
      <text>
        <t xml:space="preserve">Density of 20% slurry. Assumes density of calcine ≈ density of lepidolite - probably not super accurate, but fine for now</t>
      </text>
    </comment>
    <comment authorId="0" ref="J51">
      <text>
        <t xml:space="preserve">Density of 20% slurry. Assumes density of calcine ≈ density of lepidolite - probably not super accurate, but fine for now</t>
      </text>
    </comment>
    <comment authorId="0" ref="G56">
      <text>
        <t xml:space="preserve">Assume lime additions during roasting fix essentially all the fluorine before it volatilizes</t>
      </text>
    </comment>
    <comment authorId="0" ref="H56">
      <text>
        <t xml:space="preserve">Assuming roughly 5% of PLS doesn't actually get harvested (which is accounted for in yield rate but not in conversion factor)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Concentrated brine density, accounting form mg --&gt; kg and L --&gt; m3 conversions because of the PPM unit</t>
      </text>
    </comment>
    <comment authorId="0" ref="D10">
      <text>
        <t xml:space="preserve">20% lithium carbonate slurry - density (kg/L) times weight ratio of 20% * 1000 to get from L to m3</t>
      </text>
    </comment>
    <comment authorId="0" ref="E10">
      <text>
        <t xml:space="preserve">70% lithium carbonate slurry - density (kg/L) times weight ratio of 70% * 1000 to get from L to m3</t>
      </text>
    </comment>
    <comment authorId="0" ref="F18">
      <text>
        <t xml:space="preserve">Convert from m3 cake to tonnes cake using density formula. Maximum theoretical density; probably is less dense in practice</t>
      </text>
    </comment>
    <comment authorId="0" ref="C22">
      <text>
        <t xml:space="preserve">Concentrated brine density, accounting form mg --&gt; kg and L --&gt; m3 conversions because of the PPM unit</t>
      </text>
    </comment>
    <comment authorId="0" ref="D22">
      <text>
        <t xml:space="preserve">20% lithium carbonate slurry - density (kg/L) times weight ratio of 20% * 1000 to get from L to m3</t>
      </text>
    </comment>
    <comment authorId="0" ref="E22">
      <text>
        <t xml:space="preserve">70% lithium carbonate slurry - density (kg/L) times weight ratio of 70% * 1000 to get from L to m3</t>
      </text>
    </comment>
    <comment authorId="0" ref="F22">
      <text>
        <t xml:space="preserve">70% lithium carbonate slurry - density (kg/L) times weight ratio of 70% * 1000 to get from L to m3</t>
      </text>
    </comment>
    <comment authorId="0" ref="E24">
      <text>
        <t xml:space="preserve">Could set to true and clear constituent_fractions</t>
      </text>
    </comment>
    <comment authorId="0" ref="D28">
      <text>
        <t xml:space="preserve">Need to fix to actual amount of solids</t>
      </text>
    </comment>
    <comment authorId="0" ref="C45">
      <text>
        <t xml:space="preserve">Thacker Pass: 0.25-1.5% in magnesium crystallization and 1-4% for ZLD crystalllization circuit;
Table 15-2 totals about 5% in losses</t>
      </text>
    </comment>
    <comment authorId="0" ref="C51">
      <text>
        <t xml:space="preserve">20% lithium carbonate slurry - density (kg/L) times weight ratio of 20% * 1000 to get from L to m3</t>
      </text>
    </comment>
    <comment authorId="0" ref="D51">
      <text>
        <t xml:space="preserve">70% lithium carbonate slurry - density (kg/L) times weight ratio of 70% * 1000 to get from L to m3</t>
      </text>
    </comment>
    <comment authorId="0" ref="E51">
      <text>
        <t xml:space="preserve">70% lithium carbonate slurry - density (kg/L) times weight ratio of 70% * 1000 to get from L to m3</t>
      </text>
    </comment>
    <comment authorId="0" ref="F51">
      <text>
        <t xml:space="preserve">70% lithium carbonate slurry - density (kg/L) times weight ratio of 70% * 1000 to get from L to m3</t>
      </text>
    </comment>
    <comment authorId="0" ref="D56">
      <text>
        <t xml:space="preserve">Recycled back to the pond system or Reactor #1, per environmental disclosure</t>
      </text>
    </comment>
    <comment authorId="0" ref="E56">
      <text>
        <t xml:space="preserve">Recycled back to the pond system or Reactor #1, per environmental disclosure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Density of 20% slurry. Assumes density of calcine ≈ density of lepidolite - probably not super accurate, but fine for now</t>
      </text>
    </comment>
    <comment authorId="0" ref="D10">
      <text>
        <t xml:space="preserve">20% lithium carbonate slurry - density (kg/L) times weight ratio of 20% * 1000 to get from L to m3</t>
      </text>
    </comment>
    <comment authorId="0" ref="E10">
      <text>
        <t xml:space="preserve">70% lithium carbonate slurry - density (kg/L) times weight ratio of 70% * 1000 to get from L to m3</t>
      </text>
    </comment>
    <comment authorId="0" ref="F18">
      <text>
        <t xml:space="preserve">Convert from m3 cake to tonnes cake using density formula. Maximum theoretical density; probably is less dense in practice</t>
      </text>
    </comment>
    <comment authorId="0" ref="C22">
      <text>
        <t xml:space="preserve">Density of 20% slurry. Assumes density of calcine ≈ density of lepidolite - probably not super accurate, but fine for now</t>
      </text>
    </comment>
    <comment authorId="0" ref="D22">
      <text>
        <t xml:space="preserve">20% lithium carbonate slurry - density (kg/L) times weight ratio of 20% * 1000 to get from L to m3</t>
      </text>
    </comment>
    <comment authorId="0" ref="E22">
      <text>
        <t xml:space="preserve">70% lithium carbonate slurry - density (kg/L) times weight ratio of 70% * 1000 to get from L to m3</t>
      </text>
    </comment>
    <comment authorId="0" ref="F22">
      <text>
        <t xml:space="preserve">70% lithium carbonate slurry - density (kg/L) times weight ratio of 70% * 1000 to get from L to m3</t>
      </text>
    </comment>
    <comment authorId="0" ref="E24">
      <text>
        <t xml:space="preserve">Could set to true and clear constituent_fractions</t>
      </text>
    </comment>
    <comment authorId="0" ref="D28">
      <text>
        <t xml:space="preserve">Need to fix to actual amount of solids</t>
      </text>
    </comment>
    <comment authorId="0" ref="C45">
      <text>
        <t xml:space="preserve">Lab literature (e.g. Liu and Azimi) estimate 90% at near-optimal solutions; recovery may be worse in an all-chemical route for Thacker Pass but PLS would be fed back for further recovery.
Recovery for a lepidolite solution is worse in practice. </t>
      </text>
    </comment>
    <comment authorId="0" ref="C51">
      <text>
        <t xml:space="preserve">20% lithium carbonate slurry - density (kg/L) times weight ratio of 20% * 1000 to get from L to m3</t>
      </text>
    </comment>
    <comment authorId="0" ref="D51">
      <text>
        <t xml:space="preserve">70% lithium carbonate slurry - density (kg/L) times weight ratio of 70% * 1000 to get from L to m3</t>
      </text>
    </comment>
    <comment authorId="0" ref="E51">
      <text>
        <t xml:space="preserve">70% lithium carbonate slurry - density (kg/L) times weight ratio of 70% * 1000 to get from L to m3</t>
      </text>
    </comment>
    <comment authorId="0" ref="F51">
      <text>
        <t xml:space="preserve">Pure product, but kg --&gt; tonne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4">
      <text>
        <t xml:space="preserve">Need to convert from US units. 
1 / (Miles per Diesel Gallon Equivalent * Tonnes)  * g/MMBTU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0">
      <text>
        <t xml:space="preserve">108000 salary to hourly
https://www.indeed.com/career/mining-engineer/salaries/NV
BLS: https://www.bls.gov/productivity/highlights/manufacturing-mining-labor-productivity.htm</t>
      </text>
    </comment>
    <comment authorId="0" ref="H10">
      <text>
        <t xml:space="preserve">National Bureau of Statistics
https://www.stats.gov.cn/english/PressRelease/202505/t20250520_1959885.html</t>
      </text>
    </comment>
    <comment authorId="0" ref="D11">
      <text>
        <t xml:space="preserve">https://www.globalpetrolprices.com/Chile/electricity_prices/</t>
      </text>
    </comment>
    <comment authorId="0" ref="G11">
      <text>
        <t xml:space="preserve">EIA</t>
      </text>
    </comment>
    <comment authorId="0" ref="D12">
      <text>
        <t xml:space="preserve">https://naturalgasintel.com/news/us-lng-exports-to-latin-america-jump-in-june-led-by-chile-latam-recap/</t>
      </text>
    </comment>
    <comment authorId="0" ref="D13">
      <text>
        <t xml:space="preserve">https://www.globalpetrolprices.com/Chile/diesel_prices/</t>
      </text>
    </comment>
    <comment authorId="0" ref="G14">
      <text>
        <t xml:space="preserve">US EIA, converted from $/gal https://www.eia.gov/dnav/pet/pet_pri_wfr_a_epllpa_pwr_dpgal_w.htm</t>
      </text>
    </comment>
    <comment authorId="0" ref="D15">
      <text>
        <t xml:space="preserve">Assume ~20% premium</t>
      </text>
    </comment>
    <comment authorId="0" ref="G15">
      <text>
        <t xml:space="preserve">Assume ~20% premium</t>
      </text>
    </comment>
    <comment authorId="0" ref="D16">
      <text>
        <t xml:space="preserve">Assume ~1.2 cents / pound, or 2.65 cents / kg</t>
      </text>
    </comment>
    <comment authorId="0" ref="G16">
      <text>
        <t xml:space="preserve">Assume ~1.2 cents / pound, or 2.65 cents / kg</t>
      </text>
    </comment>
    <comment authorId="0" ref="D17">
      <text>
        <t xml:space="preserve">Assume 4 cents for now.</t>
      </text>
    </comment>
    <comment authorId="0" ref="G17">
      <text>
        <t xml:space="preserve">Assume 4 cents for now.</t>
      </text>
    </comment>
    <comment authorId="0" ref="D18">
      <text>
        <t xml:space="preserve">Assumption for a remote industrial mining site.
Estimated initially via https://cushwake.cld.bz/PDS-Industrial-Cost-Guide-2024/48/ converting $/sq ft to $/m2
--&gt; Seems to be very inaccurate</t>
      </text>
    </comment>
    <comment authorId="0" ref="D22">
      <text>
        <t xml:space="preserve">Typical rule of thumb, Fuchs et al. and others, may want to validate</t>
      </text>
    </comment>
    <comment authorId="0" ref="D23">
      <text>
        <t xml:space="preserve">Typical rule of thumb, Fuchs et al. and others, may want to validate</t>
      </text>
    </comment>
    <comment authorId="0" ref="D24">
      <text>
        <t xml:space="preserve">Typical rule of thumb, Fuchs et al. and others, may want to validate</t>
      </text>
    </comment>
    <comment authorId="0" ref="G25">
      <text>
        <t xml:space="preserve">EREF 2024 disclosure</t>
      </text>
    </comment>
    <comment authorId="0" ref="H25">
      <text>
        <t xml:space="preserve">NRDC report</t>
      </text>
    </comment>
    <comment authorId="0" ref="G26">
      <text>
        <t xml:space="preserve">CA DTSC 2022 disclosure
California's tax alone is $324/tonne received, public disposal costs are not estimated, but we can reasonably assume they are likely higher than the taxes.</t>
      </text>
    </comment>
    <comment authorId="0" ref="H26">
      <text>
        <t xml:space="preserve">NRDC report</t>
      </text>
    </comment>
    <comment authorId="0" ref="D27">
      <text>
        <t xml:space="preserve">2025 via carbondi.com
Can vary to be Atacama specific (see papers)</t>
      </text>
    </comment>
    <comment authorId="0" ref="E27">
      <text>
        <t xml:space="preserve">2025 via carbondi.com
Can vary to be Atacama specific (see papers)</t>
      </text>
    </comment>
    <comment authorId="0" ref="G27">
      <text>
        <t xml:space="preserve">https://www.epa.gov/egrid/summary-data</t>
      </text>
    </comment>
    <comment authorId="0" ref="H27">
      <text>
        <t xml:space="preserve">https://www.mee.gov.cn/xxgk2018/xxgk/xxgk01/202512/t20251231_1139517.html</t>
      </text>
    </comment>
    <comment authorId="0" ref="I27">
      <text>
        <t xml:space="preserve">https://www.mee.gov.cn/xxgk2018/xxgk/xxgk01/202512/W020251231726284332528.pdf</t>
      </text>
    </comment>
    <comment authorId="0" ref="D28">
      <text>
        <t xml:space="preserve">Rough estimate / assumption. Wholly attributional. </t>
      </text>
    </comment>
    <comment authorId="0" ref="E28">
      <text>
        <t xml:space="preserve">Rough estimate / assumption. Wholly attributional. </t>
      </text>
    </comment>
    <comment authorId="0" ref="F28">
      <text>
        <t xml:space="preserve">Rough estimate / assumption. Wholly attributional. </t>
      </text>
    </comment>
    <comment authorId="0" ref="G28">
      <text>
        <t xml:space="preserve">Rough estimate / assumption. Wholly attributional. </t>
      </text>
    </comment>
    <comment authorId="0" ref="H28">
      <text>
        <t xml:space="preserve">Rough estimate / assumption. Wholly attributional. </t>
      </text>
    </comment>
    <comment authorId="0" ref="I28">
      <text>
        <t xml:space="preserve">Rough estimate / assumption. Wholly attributional. </t>
      </text>
    </comment>
    <comment authorId="0" ref="J28">
      <text>
        <t xml:space="preserve">Rough estimate / assumption. Wholly attributional. </t>
      </text>
    </comment>
    <comment authorId="0" ref="K28">
      <text>
        <t xml:space="preserve">Rough estimate / assumption. Wholly attributional. </t>
      </text>
    </comment>
    <comment authorId="0" ref="L28">
      <text>
        <t xml:space="preserve">Rough estimate / assumption. Wholly attributional. </t>
      </text>
    </comment>
    <comment authorId="0" ref="D29">
      <text>
        <t xml:space="preserve">EPA / GHG inventory emission factor for natural gas combustion.
https://www.epa.gov/system/files/documents/2024-02/ghg-emission-factors-hub-2024.pdf</t>
      </text>
    </comment>
    <comment authorId="0" ref="E29">
      <text>
        <t xml:space="preserve">EPA / GHG inventory emission factor for natural gas combustion.
https://www.epa.gov/system/files/documents/2024-02/ghg-emission-factors-hub-2024.pdf</t>
      </text>
    </comment>
    <comment authorId="0" ref="F29">
      <text>
        <t xml:space="preserve">EPA / GHG inventory emission factor for natural gas combustion.
https://www.epa.gov/system/files/documents/2024-02/ghg-emission-factors-hub-2024.pdf</t>
      </text>
    </comment>
    <comment authorId="0" ref="G29">
      <text>
        <t xml:space="preserve">EPA / GHG inventory emission factor for natural gas combustion.
https://www.epa.gov/system/files/documents/2024-02/ghg-emission-factors-hub-2024.pdf
--&gt; CO2 only, need CO2e.</t>
      </text>
    </comment>
    <comment authorId="0" ref="H29">
      <text>
        <t xml:space="preserve">EPA / GHG inventory emission factor for natural gas combustion.
https://www.epa.gov/system/files/documents/2024-02/ghg-emission-factors-hub-2024.pdf
--&gt; CO2 only, need CO2e.</t>
      </text>
    </comment>
    <comment authorId="0" ref="I29">
      <text>
        <t xml:space="preserve">EPA / GHG inventory emission factor for natural gas combustion.
https://www.epa.gov/system/files/documents/2024-02/ghg-emission-factors-hub-2024.pdf
--&gt; CO2 only, need CO2e.</t>
      </text>
    </comment>
    <comment authorId="0" ref="J29">
      <text>
        <t xml:space="preserve">EPA / GHG inventory emission factor for natural gas combustion.
https://www.epa.gov/system/files/documents/2024-02/ghg-emission-factors-hub-2024.pdf</t>
      </text>
    </comment>
    <comment authorId="0" ref="K29">
      <text>
        <t xml:space="preserve">EPA / GHG inventory emission factor for natural gas combustion.
https://www.epa.gov/system/files/documents/2024-02/ghg-emission-factors-hub-2024.pdf</t>
      </text>
    </comment>
    <comment authorId="0" ref="L29">
      <text>
        <t xml:space="preserve">EPA / GHG inventory emission factor for natural gas combustion.
https://www.epa.gov/system/files/documents/2024-02/ghg-emission-factors-hub-2024.pdf</t>
      </text>
    </comment>
    <comment authorId="0" ref="D30">
      <text>
        <t xml:space="preserve">Raw assumption for now.</t>
      </text>
    </comment>
    <comment authorId="0" ref="E30">
      <text>
        <t xml:space="preserve">Raw assumption for now.</t>
      </text>
    </comment>
    <comment authorId="0" ref="F30">
      <text>
        <t xml:space="preserve">Raw assumption for now.</t>
      </text>
    </comment>
    <comment authorId="0" ref="G30">
      <text>
        <t xml:space="preserve">Raw assumption for now.</t>
      </text>
    </comment>
    <comment authorId="0" ref="H30">
      <text>
        <t xml:space="preserve">Raw assumption for now.</t>
      </text>
    </comment>
    <comment authorId="0" ref="I30">
      <text>
        <t xml:space="preserve">Raw assumption for now.</t>
      </text>
    </comment>
    <comment authorId="0" ref="J30">
      <text>
        <t xml:space="preserve">Raw assumption for now.</t>
      </text>
    </comment>
    <comment authorId="0" ref="K30">
      <text>
        <t xml:space="preserve">Raw assumption for now.</t>
      </text>
    </comment>
    <comment authorId="0" ref="L30">
      <text>
        <t xml:space="preserve">Raw assumption for now.</t>
      </text>
    </comment>
    <comment authorId="0" ref="D31">
      <text>
        <t xml:space="preserve">Raw assumption for now. US EPA has a number per MMBTU
https://www.epa.gov/system/files/documents/2025-01/ghg-emission-factors-hub-2025.pdf</t>
      </text>
    </comment>
    <comment authorId="0" ref="E31">
      <text>
        <t xml:space="preserve">Raw assumption for now. US EPA has a number per MMBTU
https://www.epa.gov/system/files/documents/2025-01/ghg-emission-factors-hub-2025.pdf</t>
      </text>
    </comment>
    <comment authorId="0" ref="F31">
      <text>
        <t xml:space="preserve">Raw assumption for now. US EPA has a number per MMBTU
https://www.epa.gov/system/files/documents/2025-01/ghg-emission-factors-hub-2025.pdf</t>
      </text>
    </comment>
    <comment authorId="0" ref="G31">
      <text>
        <t xml:space="preserve">Raw assumption for now. US EPA has a number per MMBTU
https://www.epa.gov/system/files/documents/2025-01/ghg-emission-factors-hub-2025.pdf</t>
      </text>
    </comment>
    <comment authorId="0" ref="H31">
      <text>
        <t xml:space="preserve">Raw assumption for now. US EPA has a number per MMBTU
https://www.epa.gov/system/files/documents/2025-01/ghg-emission-factors-hub-2025.pdf</t>
      </text>
    </comment>
    <comment authorId="0" ref="I31">
      <text>
        <t xml:space="preserve">Raw assumption for now. US EPA has a number per MMBTU
https://www.epa.gov/system/files/documents/2025-01/ghg-emission-factors-hub-2025.pdf</t>
      </text>
    </comment>
    <comment authorId="0" ref="J31">
      <text>
        <t xml:space="preserve">Raw assumption for now. US EPA has a number per MMBTU
https://www.epa.gov/system/files/documents/2025-01/ghg-emission-factors-hub-2025.pdf</t>
      </text>
    </comment>
    <comment authorId="0" ref="K31">
      <text>
        <t xml:space="preserve">Raw assumption for now. US EPA has a number per MMBTU
https://www.epa.gov/system/files/documents/2025-01/ghg-emission-factors-hub-2025.pdf</t>
      </text>
    </comment>
    <comment authorId="0" ref="L31">
      <text>
        <t xml:space="preserve">Raw assumption for now. US EPA has a number per MMBTU
https://www.epa.gov/system/files/documents/2025-01/ghg-emission-factors-hub-2025.pdf</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C5">
      <text>
        <t xml:space="preserve">Capacity adjustment (1/0.4). However </t>
      </text>
    </comment>
    <comment authorId="0" ref="X9">
      <text>
        <t xml:space="preserve">Derived from Peters &amp; Timmerhaus - centrifugue</t>
      </text>
    </comment>
    <comment authorId="0" ref="Y9">
      <text>
        <t xml:space="preserve">Derived from Peters &amp; Timmerhaus - centrifugue</t>
      </text>
    </comment>
    <comment authorId="0" ref="Z9">
      <text>
        <t xml:space="preserve">Derived from Peters &amp; Timmerhaus - centrifugue</t>
      </text>
    </comment>
    <comment authorId="0" ref="AA9">
      <text>
        <t xml:space="preserve">Derived from Peters &amp; Timmerhaus - centrifugue</t>
      </text>
    </comment>
    <comment authorId="0" ref="AB9">
      <text>
        <t xml:space="preserve">Derived from Peters &amp; Timmerhaus - centrifugue</t>
      </text>
    </comment>
    <comment authorId="0" ref="AC9">
      <text>
        <t xml:space="preserve">Derived from Peters &amp; Timmerhaus - centrifugue</t>
      </text>
    </comment>
    <comment authorId="0" ref="C10">
      <text>
        <t xml:space="preserve">In the sense that each pump is a discrete unit that pumps a set amount</t>
      </text>
    </comment>
    <comment authorId="0" ref="D10">
      <text>
        <t xml:space="preserve">In the sense that each pump is a discrete unit that pumps a set amount</t>
      </text>
    </comment>
    <comment authorId="0" ref="E10">
      <text>
        <t xml:space="preserve">In the sense that each pump is a discrete unit that pumps a set amount</t>
      </text>
    </comment>
    <comment authorId="0" ref="AH18">
      <text>
        <t xml:space="preserve">Add heat for drying + heat for preheating.
</t>
      </text>
    </comment>
    <comment authorId="0" ref="AI18">
      <text>
        <t xml:space="preserve">Add heat for drying + heat for preheating.
</t>
      </text>
    </comment>
    <comment authorId="0" ref="AJ18">
      <text>
        <t xml:space="preserve">Add heat for drying + heat for preheating.
Assumes aggressive heat recapture</t>
      </text>
    </comment>
    <comment authorId="0" ref="AL18">
      <text>
        <t xml:space="preserve">Needs to be occurring at 90ºC</t>
      </text>
    </comment>
    <comment authorId="0" ref="AM18">
      <text>
        <t xml:space="preserve">Needs to be occurring at 90ºC</t>
      </text>
    </comment>
    <comment authorId="0" ref="AN18">
      <text>
        <t xml:space="preserve">Needs to be occurring at 90ºC</t>
      </text>
    </comment>
    <comment authorId="0" ref="AP18">
      <text>
        <t xml:space="preserve">Assume heat is recycled from sulfate roasting step</t>
      </text>
    </comment>
    <comment authorId="0" ref="AL26">
      <text>
        <t xml:space="preserve">For heating the slurry to 90ºC. May be reduced to 0, or at least cost 0, with sulfuric acid plant.</t>
      </text>
    </comment>
    <comment authorId="0" ref="AM26">
      <text>
        <t xml:space="preserve">For heating the slurry to 90ºC. May be reduced to 0, or at least cost 0, with sulfuric acid plant.</t>
      </text>
    </comment>
    <comment authorId="0" ref="AN26">
      <text>
        <t xml:space="preserve">For heating the slurry to 90ºC. May be reduced to 0, or at least cost 0, with sulfuric acid plant.</t>
      </text>
    </comment>
    <comment authorId="0" ref="AS30">
      <text>
        <t xml:space="preserve">Watertap - 1246.1 USD1990 </t>
      </text>
    </comment>
    <comment authorId="0" ref="F41">
      <text>
        <t xml:space="preserve">1 person hired to monitor the ponds 1 shift/day, per Silver Peak</t>
      </text>
    </comment>
    <comment authorId="0" ref="G41">
      <text>
        <t xml:space="preserve">1 person hired to monitor the ponds 1 shift/day, per Silver Peak</t>
      </text>
    </comment>
    <comment authorId="0" ref="H41">
      <text>
        <t xml:space="preserve">1 person hired to monitor the ponds 1 shift/day, per Silver Peak</t>
      </text>
    </comment>
    <comment authorId="0" ref="I41">
      <text>
        <t xml:space="preserve">1 person hired to monitor the ponds 1 shift/day, per Silver Peak</t>
      </text>
    </comment>
    <comment authorId="0" ref="J41">
      <text>
        <t xml:space="preserve">1 person hired to monitor the ponds 1 shift/day, per Silver Peak</t>
      </text>
    </comment>
    <comment authorId="0" ref="K41">
      <text>
        <t xml:space="preserve">1 person hired to monitor the ponds 1 shift/day, per Silver Peak</t>
      </text>
    </comment>
    <comment authorId="0" ref="AD42">
      <text>
        <t xml:space="preserve">Ulrich recommends 0.5-1 (times 4.5)</t>
      </text>
    </comment>
    <comment authorId="0" ref="AE42">
      <text>
        <t xml:space="preserve">Ulrich recommends 0.5-1</t>
      </text>
    </comment>
    <comment authorId="0" ref="AF42">
      <text>
        <t xml:space="preserve">Ulrich recommends 0.5-1</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Overridden by project specific</t>
      </text>
    </comment>
    <comment authorId="0" ref="I5">
      <text>
        <t xml:space="preserve">Overridden by project specific</t>
      </text>
    </comment>
    <comment authorId="0" ref="J5">
      <text>
        <t xml:space="preserve">Overridden by project specific</t>
      </text>
    </comment>
    <comment authorId="0" ref="K5">
      <text>
        <t xml:space="preserve">Overridden by project specific</t>
      </text>
    </comment>
    <comment authorId="0" ref="L5">
      <text>
        <t xml:space="preserve">Overridden by project specific</t>
      </text>
    </comment>
    <comment authorId="0" ref="M5">
      <text>
        <t xml:space="preserve">Overridden by project specific</t>
      </text>
    </comment>
    <comment authorId="0" ref="N5">
      <text>
        <t xml:space="preserve">Overridden by project specific</t>
      </text>
    </comment>
    <comment authorId="0" ref="O5">
      <text>
        <t xml:space="preserve">Overridden by project specific</t>
      </text>
    </comment>
    <comment authorId="0" ref="P5">
      <text>
        <t xml:space="preserve">Overridden by project specific</t>
      </text>
    </comment>
    <comment authorId="0" ref="V5">
      <text>
        <t xml:space="preserve">Overridden by project specific</t>
      </text>
    </comment>
    <comment authorId="0" ref="W5">
      <text>
        <t xml:space="preserve">Overridden by project specific</t>
      </text>
    </comment>
    <comment authorId="0" ref="X5">
      <text>
        <t xml:space="preserve">Overridden by project specific</t>
      </text>
    </comment>
    <comment authorId="0" ref="Y5">
      <text>
        <t xml:space="preserve">Overridden by project specific</t>
      </text>
    </comment>
    <comment authorId="0" ref="C7">
      <text>
        <t xml:space="preserve">Includes delivery cost</t>
      </text>
    </comment>
    <comment authorId="0" ref="C9">
      <text>
        <t xml:space="preserve">Overridden by project-specific</t>
      </text>
    </comment>
    <comment authorId="0" ref="I9">
      <text>
        <t xml:space="preserve">Overridden by project specific</t>
      </text>
    </comment>
    <comment authorId="0" ref="L9">
      <text>
        <t xml:space="preserve">Overridden by project specific</t>
      </text>
    </comment>
    <comment authorId="0" ref="N9">
      <text>
        <t xml:space="preserve">Overridden by project specific</t>
      </text>
    </comment>
    <comment authorId="0" ref="P9">
      <text>
        <t xml:space="preserve">Blended NaOH and lime. Assumption for now</t>
      </text>
    </comment>
    <comment authorId="0" ref="A12">
      <text>
        <t xml:space="preserve">Add other (generic) impact factors as needed</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tc={ef7a06e7-4899-486d-8593-9986b9aeadd4}</author>
  </authors>
  <commentList>
    <comment authorId="0" xr:uid="{ef7a06e7-4899-486d-8593-9986b9aeadd4}" ref="H1">
      <text>
        <t xml:space="preserve">[Threaded comment]
 Your version of Excel allows you to read this threaded comment; however, any edits to it will get removed if the file is opened in a newer version of Excel. Learn more: https://go.microsoft.com/fwlink/?linkid=870924
Comment:
	May want to split into DMS, DMS+Flotation, and DMS+Magnetic Separation pathways
</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7">
      <text>
        <t xml:space="preserve">Conversion from mg Li to kg Li
Est. density of brine (1118 kg/m3)
Conversion of Li to Li2Co3 (0.118)
</t>
      </text>
    </comment>
    <comment authorId="0" ref="J30">
      <text>
        <t xml:space="preserve">Specific to Silver Peak</t>
      </text>
    </comment>
    <comment authorId="0" ref="D44">
      <text>
        <t xml:space="preserve">70% lithium carbonate slurry - density (kg/L) times weight ratio of 70% * 1000 to get from L to m3</t>
      </text>
    </comment>
    <comment authorId="0" ref="E44">
      <text>
        <t xml:space="preserve">70% lithium carbonate slurry - density (kg/L) times weight ratio of 70% * 1000 to get from L to m3</t>
      </text>
    </comment>
    <comment authorId="0" ref="F44">
      <text>
        <t xml:space="preserve">20% lithium carbonate slurry - density (kg/L) times weight ratio of 20% * 1000 to get from L to m3</t>
      </text>
    </comment>
    <comment authorId="0" ref="G44">
      <text>
        <t xml:space="preserve">Concentrated brine density, accounting form mg --&gt; kg and L --&gt; m3 conversions because of the PPM unit</t>
      </text>
    </comment>
    <comment authorId="0" ref="H44">
      <text>
        <t xml:space="preserve">Concentrated brine density, accounting form mg --&gt; kg and L --&gt; m3 conversions because of the PPM unit</t>
      </text>
    </comment>
    <comment authorId="0" ref="I44">
      <text>
        <t xml:space="preserve">Concentrated brine density, accounting form mg --&gt; kg and L --&gt; m3 conversions because of the PPM unit</t>
      </text>
    </comment>
    <comment authorId="0" ref="J44">
      <text>
        <t xml:space="preserve">Concentrated brine density, accounting form mg --&gt; kg and L --&gt; m3 conversions because of the PPM unit</t>
      </text>
    </comment>
    <comment authorId="0" ref="C46">
      <text>
        <t xml:space="preserve">70% lithium carbonate slurry - density (kg/L) times weight ratio of 70% * 1000 to get from L to m3</t>
      </text>
    </comment>
    <comment authorId="0" ref="D46">
      <text>
        <t xml:space="preserve">70% lithium carbonate slurry - density (kg/L) times weight ratio of 70% * 1000 to get from L to m3</t>
      </text>
    </comment>
    <comment authorId="0" ref="E46">
      <text>
        <t xml:space="preserve">20% lithium carbonate slurry - density (kg/L) times weight ratio of 20% * 1000 to get from L to m3</t>
      </text>
    </comment>
    <comment authorId="0" ref="F46">
      <text>
        <t xml:space="preserve">Concentrated brine density, accounting form mg --&gt; kg and L --&gt; m3 conversions because of the PPM unit</t>
      </text>
    </comment>
    <comment authorId="0" ref="G46">
      <text>
        <t xml:space="preserve">Concentrated brine density, accounting form mg --&gt; kg and L --&gt; m3 conversions because of the PPM unit</t>
      </text>
    </comment>
    <comment authorId="0" ref="H46">
      <text>
        <t xml:space="preserve">Concentrated brine density, accounting form mg --&gt; kg and L --&gt; m3 conversions because of the PPM unit</t>
      </text>
    </comment>
    <comment authorId="0" ref="I46">
      <text>
        <t xml:space="preserve">Concentrated brine density, accounting form mg --&gt; kg and L --&gt; m3 conversions because of the PPM unit</t>
      </text>
    </comment>
    <comment authorId="0" ref="J46">
      <text>
        <t xml:space="preserve">Set by brine density times by evaporation rate</t>
      </text>
    </comment>
    <comment authorId="0" ref="M59">
      <text>
        <t xml:space="preserve">Based on ore grades from Garrett 1.63/4.65 ≈ 0.35 is kept; 0.65 must be rejected. 
Also, needs to account for implicit classification thickening assumption to ~60% (use density ratios)</t>
      </text>
    </comment>
    <comment authorId="0" ref="D72">
      <text>
        <t xml:space="preserve">70% lithium carbonate slurry - density (kg/L) times weight ratio of 70% * 1000 to get from L to m3</t>
      </text>
    </comment>
    <comment authorId="0" ref="E72">
      <text>
        <t xml:space="preserve">70% lithium carbonate slurry - density (kg/L) times weight ratio of 70% * 1000 to get from L to m3</t>
      </text>
    </comment>
    <comment authorId="0" ref="F72">
      <text>
        <t xml:space="preserve">20% lithium carbonate slurry - density (kg/L) times weight ratio of 20% * 1000 to get from L to m3</t>
      </text>
    </comment>
    <comment authorId="0" ref="G72">
      <text>
        <t xml:space="preserve">Density of 20% slurry. Assumes density of calcine ≈ density of lepidolite - probably not super accurate, but fine for now</t>
      </text>
    </comment>
    <comment authorId="0" ref="H72">
      <text>
        <t xml:space="preserve">Density of 20% slurry. Assumes density of calcine ≈ density of lepidolite - probably not super accurate, but fine for now</t>
      </text>
    </comment>
    <comment authorId="0" ref="I72">
      <text>
        <t xml:space="preserve">Density of 20% slurry. Assumes density of calcine ≈ density of lepidolite - probably not super accurate, but fine for now</t>
      </text>
    </comment>
    <comment authorId="0" ref="L72">
      <text>
        <t xml:space="preserve">Density of 60% slurry</t>
      </text>
    </comment>
    <comment authorId="0" ref="M72">
      <text>
        <t xml:space="preserve">Density of 60% slurry * 0.6 solids</t>
      </text>
    </comment>
    <comment authorId="0" ref="C74">
      <text>
        <t xml:space="preserve">70% lithium carbonate slurry - density (kg/L) times weight ratio of 70% * 1000 to get from L to m3</t>
      </text>
    </comment>
    <comment authorId="0" ref="D74">
      <text>
        <t xml:space="preserve">70% lithium carbonate slurry - density (kg/L) times weight ratio of 70% * 1000 to get from L to m3</t>
      </text>
    </comment>
    <comment authorId="0" ref="E74">
      <text>
        <t xml:space="preserve">20% lithium carbonate slurry - density (kg/L) times weight ratio of 20% * 1000 to get from L to m3</t>
      </text>
    </comment>
    <comment authorId="0" ref="F74">
      <text>
        <t xml:space="preserve">Density of 20% slurry. Assumes density of calcine ≈ density of lepidolite - probably not super accurate, but fine for now</t>
      </text>
    </comment>
    <comment authorId="0" ref="G74">
      <text>
        <t xml:space="preserve">Density of 20% slurry. Assumes density of calcine ≈ density of lepidolite - probably not super accurate, but fine for now</t>
      </text>
    </comment>
    <comment authorId="0" ref="H74">
      <text>
        <t xml:space="preserve">Density of 20% slurry. Assumes density of calcine ≈ density of lepidolite - probably not super accurate, but fine for now</t>
      </text>
    </comment>
    <comment authorId="0" ref="I74">
      <text>
        <t xml:space="preserve">Density of 20% slurry. Assumes density of calcine ≈ density of lepidolite - probably not super accurate, but fine for now</t>
      </text>
    </comment>
    <comment authorId="0" ref="K74">
      <text>
        <t xml:space="preserve">Density of 60% slurry</t>
      </text>
    </comment>
    <comment authorId="0" ref="L74">
      <text>
        <t xml:space="preserve">Density of 60% slurry</t>
      </text>
    </comment>
    <comment authorId="0" ref="M74">
      <text>
        <t xml:space="preserve">Density of 30% slurry * 0.3 solids</t>
      </text>
    </comment>
  </commentList>
</comments>
</file>

<file path=xl/sharedStrings.xml><?xml version="1.0" encoding="utf-8"?>
<sst xmlns="http://schemas.openxmlformats.org/spreadsheetml/2006/main" count="5583" uniqueCount="1389">
  <si>
    <t>Green</t>
  </si>
  <si>
    <t>Validated input, through methodology or cross-check (including correct given orange assumptions are correct)</t>
  </si>
  <si>
    <t>Orange</t>
  </si>
  <si>
    <t>Partially validated input, but likely requires additional checks / may change depending on model form and assumptions</t>
  </si>
  <si>
    <t>Red</t>
  </si>
  <si>
    <t xml:space="preserve">Assumption, at least partially grounded, but needs further validation. </t>
  </si>
  <si>
    <t>Project Name</t>
  </si>
  <si>
    <t>Description</t>
  </si>
  <si>
    <t>Cauchari Olaroz</t>
  </si>
  <si>
    <t>Hombre Muerto North</t>
  </si>
  <si>
    <t>Mina Fenix</t>
  </si>
  <si>
    <t>Sal de Vida</t>
  </si>
  <si>
    <t>Salar de Olaroz</t>
  </si>
  <si>
    <t>Salar de Atacama-Albemarle</t>
  </si>
  <si>
    <t>Salar de Atacama-SQM</t>
  </si>
  <si>
    <t>Tres Quebradas</t>
  </si>
  <si>
    <t>Silver Peak</t>
  </si>
  <si>
    <t>Lanxess</t>
  </si>
  <si>
    <t>Southwest Arkansas</t>
  </si>
  <si>
    <t>Clearwater</t>
  </si>
  <si>
    <t>Paradox</t>
  </si>
  <si>
    <t>Tolillar</t>
  </si>
  <si>
    <t>Georgia Lake</t>
  </si>
  <si>
    <t>PAK (Chemical Grade)</t>
  </si>
  <si>
    <t>Mt Cattlin</t>
  </si>
  <si>
    <t>James Bay</t>
  </si>
  <si>
    <t>Greenbushes - Chemical Grade Plant</t>
  </si>
  <si>
    <t>Rose Lithium-Tantalum</t>
  </si>
  <si>
    <t>Shaakichiuwaanaan</t>
  </si>
  <si>
    <t>Carolina Lithium</t>
  </si>
  <si>
    <t>Whabouchi</t>
  </si>
  <si>
    <t>Falchani</t>
  </si>
  <si>
    <t>Rhyolite Ridge</t>
  </si>
  <si>
    <t>Thacker Pass</t>
  </si>
  <si>
    <t>Bonnie Claire (2024)</t>
  </si>
  <si>
    <t>TLC (Tonopah Lithium Claims)</t>
  </si>
  <si>
    <t>Clayton Valley (Angel Island)</t>
  </si>
  <si>
    <t>Bonnie Claire (2022)</t>
  </si>
  <si>
    <t>Sonora</t>
  </si>
  <si>
    <t>Tonopah Flats</t>
  </si>
  <si>
    <t>Xiangyuan</t>
  </si>
  <si>
    <t>Jianxiawo</t>
  </si>
  <si>
    <t>414 Mine</t>
  </si>
  <si>
    <t>Notes</t>
  </si>
  <si>
    <t>Carbonate target</t>
  </si>
  <si>
    <t>Hydroxide target</t>
  </si>
  <si>
    <t>Note claimed production target of 22,695 short tons per year.</t>
  </si>
  <si>
    <t>Reverted to this more traditional method because 'The calcination flowsheet was not successful in handling materials with high boron concentrations (searlesite minerals).'</t>
  </si>
  <si>
    <t>Based on Table 17-2 - Design Criteria</t>
  </si>
  <si>
    <t>Largely disregard this line; in 2024 disclosure, they shifted to a much more standard open pit extraction + sulfuric acid method, but also provided a less detailed disclosure as a result.</t>
  </si>
  <si>
    <t>Target is Hydroxide production.</t>
  </si>
  <si>
    <t>Estimated from Sulca and Yin 2024; Zhang et al. 2025; Garrett 2004</t>
  </si>
  <si>
    <t>Type</t>
  </si>
  <si>
    <t>Brine-Evaporative</t>
  </si>
  <si>
    <t>Brine-DLE-Adsorption</t>
  </si>
  <si>
    <t>Brine-DLE-Adsorption-IX</t>
  </si>
  <si>
    <t>Brine-DLE</t>
  </si>
  <si>
    <t>Spodumene</t>
  </si>
  <si>
    <t>Clays</t>
  </si>
  <si>
    <t>Lepidolite</t>
  </si>
  <si>
    <t>Production Volume</t>
  </si>
  <si>
    <t>Tonnes LCE / Year</t>
  </si>
  <si>
    <t>(no production forecast)</t>
  </si>
  <si>
    <t>Project Lifetime</t>
  </si>
  <si>
    <t>-</t>
  </si>
  <si>
    <t>?</t>
  </si>
  <si>
    <t>Material Data Source</t>
  </si>
  <si>
    <t>Which column in Material Data to get data from. If blank, assume default</t>
  </si>
  <si>
    <t>ROM feed</t>
  </si>
  <si>
    <t>Initial Concentration Target Step</t>
  </si>
  <si>
    <t>brine_pumping</t>
  </si>
  <si>
    <t>crushing</t>
  </si>
  <si>
    <t>Initial Concentration</t>
  </si>
  <si>
    <t>Concentration of constituents in-situ</t>
  </si>
  <si>
    <t>Li: 512; K: 4349; Mg: 941; Ca: 504; Na: 105721; B: 1323; SO4: 18930; Si: 0; Rb: 0; F: 0; Cs:0</t>
  </si>
  <si>
    <t>Li: 736; K: 7205; Mg: 2409; Ca: 684; Na: 101910; B: 441; SO4: 12230; Si: 0; Rb: 0; F: 0; Cs:0</t>
  </si>
  <si>
    <t>Li: 640; K: 0; Mg: 0; Ca: 0; Na: 0; B: 0; SO4: 0; Si: 0; Rb: 0; F: 0; Cs:0</t>
  </si>
  <si>
    <t>Li: 757; K: 0; Mg: 0; Ca: 0; Na: 0; B: 0; SO4: 0; Si: 0; Rb: 0; F: 0; Cs:0</t>
  </si>
  <si>
    <t>Li: 687; K: 0; Mg: 0; Ca: 0; Na: 0; B: 0; SO4: 0; Si: 0; Rb: 0; F: 0; Cs:0</t>
  </si>
  <si>
    <t>Li: 2061; K: 0; Mg: 0; Ca: 0; Na: 0; B: 0; SO4: 0; Si: 0; Rb: 0; F: 0; Cs:0</t>
  </si>
  <si>
    <t>Li: 2037; K: 21629; Mg: 0; Ca: 0; Na: 0; B: 0; SO4: 0; Si: 0; Rb: 0; F: 0; Cs:0</t>
  </si>
  <si>
    <t>Li: 940; K: 0; Mg: 0; Ca: 0; Na: 0; B: 0; SO4: 0; Si: 0; Rb: 0; F: 0; Cs:0</t>
  </si>
  <si>
    <t>Li: 90; K: 4232; Mg: 190; Ca: 450; Na: 49610; B: 67; Cl: 76811, SO4: 3597; Si: 0; Rb: 21; F: 0; Cs:0</t>
  </si>
  <si>
    <t>Li: 237; K: 0; Mg: 0; Ca: 0; Na: 0; B: 0; SO4: 0; Si: 0; Rb: 0; F: 0; Cs:0</t>
  </si>
  <si>
    <t>Li: 514; K: 0; Mg: 0; Ca: 0; Na: 0; B: 0; SO4: 0; Si: 0; Rb: 0; F: 0; Cs:0</t>
  </si>
  <si>
    <t>Li: ; K: 0; Mg: 0; Ca: 0; Na: 0; B: 0; SO4: 0; Si: 0; Rb: 0; F: 0; Cs:0</t>
  </si>
  <si>
    <t>Li: 3067; K: 0; Mg: 0; Ca: 0; Na: 0; B: 0; SO4: 0; Si: 0; Rb: 0; F: 0; Cs:0</t>
  </si>
  <si>
    <t>Li: 1800; K: 0; Mg: 0; Ca: 0; Na: 0; B: 15400; SO4: 0; Si: 0; Rb: 0; F: 0; Cs:0</t>
  </si>
  <si>
    <t>Li: 2538; K: 0; Mg: 0; Ca: 0; Na: 0; B: 0; SO4: 0; Si: 0; Rb: 0; F: 0; Cs:0</t>
  </si>
  <si>
    <t>Li: 1106; K: 0; Mg: 0; Ca: 0; Na: 0; B: 1505; SO4: 0; Si: 0; Rb: 0; F: 0; Cs:0</t>
  </si>
  <si>
    <t>Li: 1400; K: 0; Mg: 0; Ca: 0; Na: 0; B: 0; SO4: 0; Si: 0; Rb: 0; F: 0; Cs:0</t>
  </si>
  <si>
    <t>Li: 1149; K: 0; Mg: 0; Ca: 0; Na: 0; B: 0; SO4: 0; Si: 0; Rb: 0; F: 0; Cs:0</t>
  </si>
  <si>
    <t>Li: 1013; K: 0; Mg: 0; Ca: 0; Na: 0; B: 0; SO4: 0; Si: 0; Rb: 0; F: 0; Cs:0</t>
  </si>
  <si>
    <t>Li: 4151; K: 0; Mg: 0; Ca: 0; Na: 0; B: 0; SO4: 0; Si: 0; Rb: 0; F: 0; Cs:0</t>
  </si>
  <si>
    <t>Li: 680; K: 0; Mg: 0; Ca: 0; Na: 0; B: 0; SO4: 0; Si: 0; Rb: 0; F: 0; Cs:0</t>
  </si>
  <si>
    <t>Li: 1858</t>
  </si>
  <si>
    <t>Concentration Units</t>
  </si>
  <si>
    <t>mg particle/L</t>
  </si>
  <si>
    <t>ppm (mg/kg brine); ppm (mg/kg brine); ppm (mg/kg brine); ppm (mg/kg brine); ppm (mg/kg brine); ppm (mg/kg brine); ppm (mg/kg brine); ppm (mg/kg brine); ppm (mg/kg brine); ppm (mg/kg brine); ppm (mg/kg brine); ppm (mg/kg brine)</t>
  </si>
  <si>
    <t>ppm</t>
  </si>
  <si>
    <t>ppm (wt%)</t>
  </si>
  <si>
    <t>Initial Density</t>
  </si>
  <si>
    <t>Material Density Unit</t>
  </si>
  <si>
    <t>g/cm3</t>
  </si>
  <si>
    <t>Intermediate Concentration Target Step-Before</t>
  </si>
  <si>
    <t>evap_ponds</t>
  </si>
  <si>
    <t>thickening</t>
  </si>
  <si>
    <t>impurity_removal</t>
  </si>
  <si>
    <t>classifying</t>
  </si>
  <si>
    <t>Intermediate Concentration Target Step-After</t>
  </si>
  <si>
    <t>liming_step</t>
  </si>
  <si>
    <t>batch_treatment</t>
  </si>
  <si>
    <t>acid_leaching</t>
  </si>
  <si>
    <t>precipitation_step</t>
  </si>
  <si>
    <t>grinding</t>
  </si>
  <si>
    <t>Intermediate Concentration</t>
  </si>
  <si>
    <t>Li: 0; K: 0; Mg: 0; Ca: 0; Na: 0; B: 0; SO4: 0; Si: 0; Rb: 0; F: 0; Cs:0</t>
  </si>
  <si>
    <t>Li: 82100; K: 8000; Mg: 10000; Ca: 1000; Na: 20000; B: 5000; SO4: 5000; Si: 0; Rb: 50; F: 0; Cs:0</t>
  </si>
  <si>
    <t>Li: 72250; K: 8000; Mg: 10000; Ca: 1000; Na: 20000; B: 5000; SO4: 5000; Si: 0; Rb: 50; F: 0; Cs:0</t>
  </si>
  <si>
    <t>Li: 6750; K: 20000; Mg: 14250; Ca: 1688; Na: 140000; B: 5025; SO4: 10000; Cl: 220000; Si: 0; Rb: 1575; F: 0; Cs:0</t>
  </si>
  <si>
    <t>Li: 3542; K: 0; Mg: 0; Ca: 0; Na: 0; B: 0; SO4: 0; Si: 0; Rb: 0; F: 0; Cs:0</t>
  </si>
  <si>
    <t>Li: 7576; K: 24734; Mg: 60; Ca: 429; Na: 38070; B: 0; SO4: 0; Si: 321000; Rb: 3016; F: 18600; Cs: 0</t>
  </si>
  <si>
    <t>Intermediate Concentration Units</t>
  </si>
  <si>
    <t>ppm; ppm; ppm; ppm; ppm; ppm; ppm; ppm; ppm; ppm; ppm; ppm</t>
  </si>
  <si>
    <t>Intermediate Density</t>
  </si>
  <si>
    <t>Second Intermediate Concentration Target Step-Before</t>
  </si>
  <si>
    <t>ccd</t>
  </si>
  <si>
    <t>water_leach</t>
  </si>
  <si>
    <t>Second Intermediate Concentration Target Step-After</t>
  </si>
  <si>
    <t>Second Intermediate Concentration</t>
  </si>
  <si>
    <t>Li: 1107; K: 0; Mg: 0; Ca: 0; Na: 0; B: 0; SO4: 0; Si: 0; Rb: 0; F: 0; Cs:0</t>
  </si>
  <si>
    <t>Li: 21630; K: 69305; Mg: 0; Ca: 0; Na: 8384; B: 0; SO4: 0; Si: 258800; Rb: 10785; F: 11100; Cs: 1886</t>
  </si>
  <si>
    <t>Second Intermediate Concentration Units</t>
  </si>
  <si>
    <t>ppm (mg Li/kg PLS)</t>
  </si>
  <si>
    <t>Evaporation Rate</t>
  </si>
  <si>
    <t>mm/day</t>
  </si>
  <si>
    <t>Pond Recovery Efficiency</t>
  </si>
  <si>
    <t>Strip Ratio</t>
  </si>
  <si>
    <t>Dilution</t>
  </si>
  <si>
    <t>Loss</t>
  </si>
  <si>
    <t>Swell Factor</t>
  </si>
  <si>
    <t>Powder Factor</t>
  </si>
  <si>
    <t>kg explosive per ton rock</t>
  </si>
  <si>
    <t>Labor Factor</t>
  </si>
  <si>
    <t xml:space="preserve">Additional factor to multiply all labor by </t>
  </si>
  <si>
    <t>Carbonate Yield Rate</t>
  </si>
  <si>
    <t>Pathway 1</t>
  </si>
  <si>
    <t>Brine-Evaporation</t>
  </si>
  <si>
    <t>Brine-DLE-Selective Sorption-Carbonation</t>
  </si>
  <si>
    <t>Brine-DLE-Selective Sorption-Electrolysis</t>
  </si>
  <si>
    <t>Brine-DLE-Selective Sorption-Ion Exchange</t>
  </si>
  <si>
    <t>Blast Mining</t>
  </si>
  <si>
    <t>Non-Blast Excavating</t>
  </si>
  <si>
    <t>Borehole Mining &amp; Excavation</t>
  </si>
  <si>
    <t>Location 1</t>
  </si>
  <si>
    <t>Argentina</t>
  </si>
  <si>
    <t>Chile_Atacama</t>
  </si>
  <si>
    <t>United States_Nevada</t>
  </si>
  <si>
    <t>United States</t>
  </si>
  <si>
    <t>Canada</t>
  </si>
  <si>
    <t>Australia</t>
  </si>
  <si>
    <t>Peru</t>
  </si>
  <si>
    <t>Mexico</t>
  </si>
  <si>
    <t>China_Jiangxi</t>
  </si>
  <si>
    <t>Transport 1</t>
  </si>
  <si>
    <t xml:space="preserve">liquid_tanker_truck_diesel: ; rail: </t>
  </si>
  <si>
    <t>liquid_tanker_truck_diesel: 500</t>
  </si>
  <si>
    <t xml:space="preserve">haul_truck: </t>
  </si>
  <si>
    <t>haul_truck: 2</t>
  </si>
  <si>
    <t>dry_bulk_truck: 10</t>
  </si>
  <si>
    <t>Pathway 2</t>
  </si>
  <si>
    <t>Brine-Solvent Extraction-Boron</t>
  </si>
  <si>
    <t>Brine-Batch Chemical Purification</t>
  </si>
  <si>
    <t>Crushing &amp; Beneficiation via DMS</t>
  </si>
  <si>
    <t>Crushing &amp; Beneficiation via Flotation</t>
  </si>
  <si>
    <t>Sulfate Roast + Water Leach</t>
  </si>
  <si>
    <t>Sulfuric Acid Leach</t>
  </si>
  <si>
    <t>Chlor-Alkali Leach + DLE</t>
  </si>
  <si>
    <t>Salt Roast + Water Leach</t>
  </si>
  <si>
    <t>Sulfate Roast-Water Leach</t>
  </si>
  <si>
    <t>Location 2</t>
  </si>
  <si>
    <t>Chile_Plant</t>
  </si>
  <si>
    <t>Transport 2</t>
  </si>
  <si>
    <t>barge: CONSIDER KWINANA PLANT</t>
  </si>
  <si>
    <t>barge:</t>
  </si>
  <si>
    <t>Pathway 3</t>
  </si>
  <si>
    <t>Solution Processing-Chloride</t>
  </si>
  <si>
    <t>Sulfate Roast?</t>
  </si>
  <si>
    <t>Solution Processing-Sulfate</t>
  </si>
  <si>
    <t>Location 3</t>
  </si>
  <si>
    <t>China</t>
  </si>
  <si>
    <t>Transport 3</t>
  </si>
  <si>
    <t>Pathway 4</t>
  </si>
  <si>
    <t>Location 4</t>
  </si>
  <si>
    <t>material_cost.collectors.conservative</t>
  </si>
  <si>
    <t>$/kg</t>
  </si>
  <si>
    <t>material_cost.collectors.midpoint</t>
  </si>
  <si>
    <t>material_cost.collectors.optimistic</t>
  </si>
  <si>
    <t>material_cost.depressants.conservative</t>
  </si>
  <si>
    <t>material_cost.depressants.midpoint</t>
  </si>
  <si>
    <t>material_cost.depressants.optimistic</t>
  </si>
  <si>
    <t>material_cost.explosives.conservative</t>
  </si>
  <si>
    <t>material_cost.explosives.midpoint</t>
  </si>
  <si>
    <t>material_cost.explosives.optimistic</t>
  </si>
  <si>
    <t>material_cost.flocculant.conservative</t>
  </si>
  <si>
    <t>material_cost.flocculant.midpoint</t>
  </si>
  <si>
    <t>material_cost.flocculant.optimistic</t>
  </si>
  <si>
    <t>material_cost.lime.conservative</t>
  </si>
  <si>
    <t>material_cost.lime.midpoint</t>
  </si>
  <si>
    <t>material_cost.lime.optimistic</t>
  </si>
  <si>
    <t>material_cost.limestone.conservative</t>
  </si>
  <si>
    <t>material_cost.limestone.midpoint</t>
  </si>
  <si>
    <t>material_cost.limestone.optimistic</t>
  </si>
  <si>
    <t>material_cost.neutralizing_agent.conservative</t>
  </si>
  <si>
    <t>material_cost.neutralizing_agent.midpoint</t>
  </si>
  <si>
    <t>material_cost.neutralizing_agent.optimistic</t>
  </si>
  <si>
    <t>material_cost.process_water.conservative</t>
  </si>
  <si>
    <t>$/m3</t>
  </si>
  <si>
    <t>material_cost.process_water.midpoint</t>
  </si>
  <si>
    <t>material_cost.process_water.optimistic</t>
  </si>
  <si>
    <t>material_cost.soda_ash.conservative</t>
  </si>
  <si>
    <t>$/kg soda ash</t>
  </si>
  <si>
    <t>material_cost.soda_ash.midpoint</t>
  </si>
  <si>
    <t>material_cost.soda_ash.optimistic</t>
  </si>
  <si>
    <t>material_cost.sodium_sulfate.conservative</t>
  </si>
  <si>
    <t>$/kg sodium sulfate</t>
  </si>
  <si>
    <t>material_cost.sodium_sulfate.midpoint</t>
  </si>
  <si>
    <t>material_cost.sodium_sulfate.optimistic</t>
  </si>
  <si>
    <t>material_cost.sulfuric_acid.conservative</t>
  </si>
  <si>
    <t>$/kg sulfuric acid</t>
  </si>
  <si>
    <t>material_cost.sulfuric_acid.midpoint</t>
  </si>
  <si>
    <t>material_cost.sulfuric_acid.optimistic</t>
  </si>
  <si>
    <t>material_impact.flocculant.co2.optimistic</t>
  </si>
  <si>
    <t>t CO2eq/t</t>
  </si>
  <si>
    <t>material_impact.flocculant.co2.midpoint</t>
  </si>
  <si>
    <t>material_impact.flocculant.co2.conservative</t>
  </si>
  <si>
    <t>material_impact.lime.co2.optimistic</t>
  </si>
  <si>
    <t>material_impact.lime.co2.midpoint</t>
  </si>
  <si>
    <t>material_impact.lime.co2.conservative</t>
  </si>
  <si>
    <t>material_impact.limestone.co2.optimistic</t>
  </si>
  <si>
    <t>material_impact.limestone.co2.midpoint</t>
  </si>
  <si>
    <t>material_impact.limestone.co2.conservative</t>
  </si>
  <si>
    <t>material_impact.soda_ash.co2.optimistic</t>
  </si>
  <si>
    <t>material_impact.soda_ash.co2.midpoint</t>
  </si>
  <si>
    <t>material_impact.soda_ash.co2.conservative</t>
  </si>
  <si>
    <t>material_impact.sodium_sulfate.co2.optimistic</t>
  </si>
  <si>
    <t>material_impact.sodium_sulfate.co2.midpoint</t>
  </si>
  <si>
    <t>material_impact.sodium_sulfate.co2.conservative</t>
  </si>
  <si>
    <t>material_impact.sulfuric_acid.co2.optimistic</t>
  </si>
  <si>
    <t>material_impact.sulfuric_acid.co2.midpoint</t>
  </si>
  <si>
    <t>material_impact.sulfuric_acid.co2.conservative</t>
  </si>
  <si>
    <t>Reported Data</t>
  </si>
  <si>
    <t>Workforce (NAATBatt)</t>
  </si>
  <si>
    <t>Workforce (Disclosure)</t>
  </si>
  <si>
    <t>Propane</t>
  </si>
  <si>
    <t>gallons per t Li2CO3 produced</t>
  </si>
  <si>
    <t>Electricity</t>
  </si>
  <si>
    <t>Mmw/h total (?)</t>
  </si>
  <si>
    <t>Fresh water</t>
  </si>
  <si>
    <t>m3 per t Li2CO3 produced</t>
  </si>
  <si>
    <t>NR</t>
  </si>
  <si>
    <t>Not reported</t>
  </si>
  <si>
    <t>Soda ash</t>
  </si>
  <si>
    <t>tons per t Li2CO3 produced</t>
  </si>
  <si>
    <t>Quicklime (CaO)</t>
  </si>
  <si>
    <t>Slaked Lime (Ca(OH)2)</t>
  </si>
  <si>
    <t>Process water</t>
  </si>
  <si>
    <t>Caustic Soda/Lye</t>
  </si>
  <si>
    <t>used here</t>
  </si>
  <si>
    <t>Raw water</t>
  </si>
  <si>
    <t>Natural gas</t>
  </si>
  <si>
    <t>Sulfuric acid</t>
  </si>
  <si>
    <t>Hydrochloric acid</t>
  </si>
  <si>
    <t>Flocculant</t>
  </si>
  <si>
    <t>Not yet confirmed</t>
  </si>
  <si>
    <t>Other?</t>
  </si>
  <si>
    <t>variable_name</t>
  </si>
  <si>
    <t>Pumping</t>
  </si>
  <si>
    <t>Evaporation</t>
  </si>
  <si>
    <t>step_id</t>
  </si>
  <si>
    <t>Step ID (unique)</t>
  </si>
  <si>
    <t>step_name</t>
  </si>
  <si>
    <t>Human-readable (long) process step name</t>
  </si>
  <si>
    <t>Brine pumping</t>
  </si>
  <si>
    <t>Evaporation Ponds</t>
  </si>
  <si>
    <t>key_equation</t>
  </si>
  <si>
    <t>Key equation, chemical or physical, evaluated in this step.</t>
  </si>
  <si>
    <t>N/A</t>
  </si>
  <si>
    <t>Concentration of lithium brine via evaporation</t>
  </si>
  <si>
    <t>notes</t>
  </si>
  <si>
    <t>Key information, notes</t>
  </si>
  <si>
    <t>Includes cost of installation and other capex, estimated to be roughly $1M per input data. Electricity usage depends on depth of drilling, but not represented here either.</t>
  </si>
  <si>
    <t>machine_options</t>
  </si>
  <si>
    <t>brine_pump.conservative; brine_pump.midpoint; brine_pump.optimistic</t>
  </si>
  <si>
    <t>evaporation_pond_unlined.conservative; evaporation_pond_unlined.midpoint; evaporation_pond_unlined.optimistic</t>
  </si>
  <si>
    <t>machine_default</t>
  </si>
  <si>
    <t>brine_pump.midpoint</t>
  </si>
  <si>
    <t>evaporation_pond_unlined.midpoint</t>
  </si>
  <si>
    <t>step_basis</t>
  </si>
  <si>
    <t>Name of the intermediate volume inputs are aggregated into and outputs produced from</t>
  </si>
  <si>
    <t>brine_pump_throughput</t>
  </si>
  <si>
    <t>brine_evaporation_pond_size</t>
  </si>
  <si>
    <t>step_basis_unit</t>
  </si>
  <si>
    <t>L brine pump throughput/year</t>
  </si>
  <si>
    <t>m2</t>
  </si>
  <si>
    <t>step_ccf</t>
  </si>
  <si>
    <t>Constituent conversion factor from constituent units to step_basis units</t>
  </si>
  <si>
    <t>step_ccf_units</t>
  </si>
  <si>
    <t>Units to convert constituents into step_basis units</t>
  </si>
  <si>
    <t>kg/L (brine density)</t>
  </si>
  <si>
    <t>kg•year/m2 (equivalent to density divided by evaporation rate)</t>
  </si>
  <si>
    <t>volume_defining_basis</t>
  </si>
  <si>
    <t>Are we converting from the step basis, or a constituent (extent) of the process basis?</t>
  </si>
  <si>
    <t>Li</t>
  </si>
  <si>
    <t>volume_defining_basis_unit</t>
  </si>
  <si>
    <t>What unit is the process volume or constituent in?</t>
  </si>
  <si>
    <t>ppm (mg/kg brine)</t>
  </si>
  <si>
    <t>volume_defining_output</t>
  </si>
  <si>
    <t>What is the output or output constituent that needs to be converted to</t>
  </si>
  <si>
    <t>pumped_brine</t>
  </si>
  <si>
    <t>volume_defining_output_unit</t>
  </si>
  <si>
    <t>What unit is that output in?</t>
  </si>
  <si>
    <t>L brine pumped/year</t>
  </si>
  <si>
    <t>primary_input_1_name</t>
  </si>
  <si>
    <t>raw_brine_from_ground</t>
  </si>
  <si>
    <t>primary_input_1_units</t>
  </si>
  <si>
    <t>Primary input units</t>
  </si>
  <si>
    <t>L brine from ground/year</t>
  </si>
  <si>
    <t>primary_input_1_conversion_factor</t>
  </si>
  <si>
    <t xml:space="preserve">Conversion factor of input into step basis. (Input * CF = Basis) </t>
  </si>
  <si>
    <t>primary_input_1_constituents</t>
  </si>
  <si>
    <t>Names of input constituents</t>
  </si>
  <si>
    <t>Li; K; Mg; Ca; Na; B; SO4</t>
  </si>
  <si>
    <t>Li; K; Ca; Na; B; SO4</t>
  </si>
  <si>
    <t>primary_input_1_constituent_fractions</t>
  </si>
  <si>
    <t>Values of input constituents</t>
  </si>
  <si>
    <t>primary_input_1_constituent_units</t>
  </si>
  <si>
    <t>Units for each input constituent</t>
  </si>
  <si>
    <t>ppm (mg/kg brine); ppm (mg/kg brine); ppm (mg/kg brine); ppm (mg/kg brine); ppm (mg/kg brine); ppm (mg/kg brine); ppm (mg/kg brine)</t>
  </si>
  <si>
    <t>primary_input_1_ccf</t>
  </si>
  <si>
    <t xml:space="preserve">Constituent conversion factor of constituent units to step basis. (Constituent * CCF = Basis Units) </t>
  </si>
  <si>
    <t>primary_input_1_ccf_units</t>
  </si>
  <si>
    <t>Units for constituent conversion factor</t>
  </si>
  <si>
    <t>primary_input_1_chemistry_dependence</t>
  </si>
  <si>
    <t xml:space="preserve">Does the chemistry for this primary input depend on an output of the previous step? </t>
  </si>
  <si>
    <t>reagent_1_name</t>
  </si>
  <si>
    <t>Reagent name</t>
  </si>
  <si>
    <t>reagent_1_name_long</t>
  </si>
  <si>
    <t>Long/descriptive reagent name</t>
  </si>
  <si>
    <t>reagent_1_target_constituents</t>
  </si>
  <si>
    <t>reagent_1_constituent_ratio</t>
  </si>
  <si>
    <t>Reagent per target (e.g. kg/kg)</t>
  </si>
  <si>
    <t>reagent_1_target_constituents_eliminated</t>
  </si>
  <si>
    <t>Fraction of constituent eliminated by target</t>
  </si>
  <si>
    <t>reagent_1_units</t>
  </si>
  <si>
    <t>reagent_2_name</t>
  </si>
  <si>
    <t>reagent_2_name_long</t>
  </si>
  <si>
    <t>reagent_2_target_constituents</t>
  </si>
  <si>
    <t>reagent_2_constituent_ratio</t>
  </si>
  <si>
    <t>reagent_2_target_constituents_eliminated</t>
  </si>
  <si>
    <t>reagent_2_units</t>
  </si>
  <si>
    <t>reagent_3_name</t>
  </si>
  <si>
    <t>reagent_3_name_long</t>
  </si>
  <si>
    <t>reagent_3_target_constituents</t>
  </si>
  <si>
    <t>reagent_3_constituent_ratio</t>
  </si>
  <si>
    <t>reagent_3_target_constituents_eliminated</t>
  </si>
  <si>
    <t>reagent_3_units</t>
  </si>
  <si>
    <t>primary_output_1_name</t>
  </si>
  <si>
    <t>Output stream/material</t>
  </si>
  <si>
    <t>concentrated_lithium_brine</t>
  </si>
  <si>
    <t>primary_output_1_step</t>
  </si>
  <si>
    <t>The step or waste material tracker that this output goes to</t>
  </si>
  <si>
    <t>Final</t>
  </si>
  <si>
    <t>primary_output_1_yield_rate</t>
  </si>
  <si>
    <t>Yield rate for output, independent of unit conversion factors</t>
  </si>
  <si>
    <t>primary_output_1_conversion_factor</t>
  </si>
  <si>
    <t>Convert from step basis units to output units (step basis * CF = output)</t>
  </si>
  <si>
    <t>primary_output_1_units</t>
  </si>
  <si>
    <t>Units after conversion is applied</t>
  </si>
  <si>
    <t>L concentrated brine/year</t>
  </si>
  <si>
    <t>primary_output_1_constituents</t>
  </si>
  <si>
    <t>Li; K; Mg; Ca; Na; SO4</t>
  </si>
  <si>
    <t>primary_output_1_constituent_fractions</t>
  </si>
  <si>
    <t>primary_output_1_constituent_units</t>
  </si>
  <si>
    <t>ppm; ppm; ppm; ppm; ppm; ppm; ppm</t>
  </si>
  <si>
    <t>primary_output_1_ccf</t>
  </si>
  <si>
    <t>primary_output_1_ccf_units</t>
  </si>
  <si>
    <t>primary_output_1_chemistry_dependence</t>
  </si>
  <si>
    <t>Does the chemistry for this primary output depend on the chemistry of any of the primary inputs?</t>
  </si>
  <si>
    <t>coproduct_1_name</t>
  </si>
  <si>
    <t>coproduct_1_sink</t>
  </si>
  <si>
    <t>Air</t>
  </si>
  <si>
    <t>coproduct_1_conversion_factor</t>
  </si>
  <si>
    <t>coproduct_1_units</t>
  </si>
  <si>
    <t>coproduct_1_constituents</t>
  </si>
  <si>
    <t>coproduct_1_constituent_fractions</t>
  </si>
  <si>
    <t>coproduct_2_name</t>
  </si>
  <si>
    <t>coproduct_2_sink</t>
  </si>
  <si>
    <t>coproduct_2_conversion_factor</t>
  </si>
  <si>
    <t>coproduct_2_units</t>
  </si>
  <si>
    <t>coproduct_2_constituents</t>
  </si>
  <si>
    <t>coproduct_2_constituent_fractions</t>
  </si>
  <si>
    <t>Blasting</t>
  </si>
  <si>
    <t>Excavation/Loading</t>
  </si>
  <si>
    <t>blasting</t>
  </si>
  <si>
    <t>excav_load</t>
  </si>
  <si>
    <t>Human-readable process step</t>
  </si>
  <si>
    <t>Blasting with drilling and explosives</t>
  </si>
  <si>
    <t>Loading with excavator</t>
  </si>
  <si>
    <t>Initial conversion factor is simply density conversion to loose rock; conversion from loose rock being moved/hauled to target ore is based on ore:strip ratio (1/(1+strip)) accounting for loss (i.e. yield); the rest is assumed to go to waste [(strip+loss)/(1+strip)]</t>
  </si>
  <si>
    <t>Discrete numbers of excavators moving material to hauling trucks; EX374 used as baseline.</t>
  </si>
  <si>
    <t>blasting_generic.conservative; blasting_generic.midpoint; blasting_generic.optimistic</t>
  </si>
  <si>
    <t>excavation_loading_generic.conservative; excavation_loading_generic.midpoint; excavation_loading_generic.optimistic</t>
  </si>
  <si>
    <t>blasting_generic.midpoint</t>
  </si>
  <si>
    <t>excavation_loading_generic.midpoint</t>
  </si>
  <si>
    <t>rock_blast_throughput</t>
  </si>
  <si>
    <t>loose_rock_throughput</t>
  </si>
  <si>
    <t>metric tonnes</t>
  </si>
  <si>
    <t>tonnes loose rock (90% fill factor), including waste</t>
  </si>
  <si>
    <t xml:space="preserve">kg ore / tonne ore • 1/PPM </t>
  </si>
  <si>
    <t xml:space="preserve">kg ore / m^3 ore • 1/PPM </t>
  </si>
  <si>
    <t>metric tonnes blasted rock</t>
  </si>
  <si>
    <t>tonnes</t>
  </si>
  <si>
    <t>blasted_rock</t>
  </si>
  <si>
    <t>rom_ore_feed</t>
  </si>
  <si>
    <t>raw_material</t>
  </si>
  <si>
    <t>metric tonnes rock in ground</t>
  </si>
  <si>
    <t>ppm (mg/kg ore)</t>
  </si>
  <si>
    <t>explosives</t>
  </si>
  <si>
    <t>Explosive material</t>
  </si>
  <si>
    <t>kg explosives/tonne raw material</t>
  </si>
  <si>
    <t>Yield Rate</t>
  </si>
  <si>
    <t>ppm (mg/m3 ore)</t>
  </si>
  <si>
    <t>waste</t>
  </si>
  <si>
    <t>waste_pile</t>
  </si>
  <si>
    <t>Liming</t>
  </si>
  <si>
    <t>Boron Removal</t>
  </si>
  <si>
    <t>Solvent-extraction (SX) Lithium Concentration &amp; Polishing Unit</t>
  </si>
  <si>
    <t>boron_removal</t>
  </si>
  <si>
    <t>solvent_extraction</t>
  </si>
  <si>
    <t>Lime treatment (CSTR + clarifier)</t>
  </si>
  <si>
    <t>Boron removal (solvent extraction/adsorption)</t>
  </si>
  <si>
    <t>Solvent exchange + settlers/polishing filter</t>
  </si>
  <si>
    <t>Mg2+ + Ca(OH)2 --&gt; Mg(OH)2 + Ca2+</t>
  </si>
  <si>
    <t>B + resin/solvent --&gt; precipitate</t>
  </si>
  <si>
    <t>Li + organic extractant; strip to aqueous</t>
  </si>
  <si>
    <t>Mg removal via Ca(OH)2 at pH ~10.8–11.2; 15% excess over stoichiometric ratio of Ca(OH)2 to Mg2+ ions; lime slurry ~10 wt %; clarifier SOR ~33–49 m3/m2/d; mixing sized on P/V; Ca removal deferred to soda ash step.</t>
  </si>
  <si>
    <t>Boron extraction with resin or solvent; typical removal 90–95%</t>
  </si>
  <si>
    <t>Multi-stage extraction of Li+ into organic; scrub to reduce co-extracted Na/K; strip to produce a LiCl aqueous concentrate; typical 2–4 extraction stages + 1 scrub + 1–2 strip stages; organic = extractant + modifier + diluent; Li recovery per pass 80–95%; eluate sent to carbonate precipitation.</t>
  </si>
  <si>
    <t>liming_system</t>
  </si>
  <si>
    <t>sx_generic</t>
  </si>
  <si>
    <t>brine_lime_throughput</t>
  </si>
  <si>
    <t>brine_deboron_throughput</t>
  </si>
  <si>
    <t>brine_SX_throughput</t>
  </si>
  <si>
    <t>L concentrated brine/h</t>
  </si>
  <si>
    <t>L limed concentrated brine/h</t>
  </si>
  <si>
    <t>L de-boronated concentrated brine/h</t>
  </si>
  <si>
    <t>L concentrated_lithium_brine</t>
  </si>
  <si>
    <t>L brine_post_lime</t>
  </si>
  <si>
    <t>L brine_post_boron</t>
  </si>
  <si>
    <t>brine_post_lime</t>
  </si>
  <si>
    <t>brine_post_boron</t>
  </si>
  <si>
    <t>brine_post_polishing</t>
  </si>
  <si>
    <t>L brine_post_polish</t>
  </si>
  <si>
    <t>L brine-post lime</t>
  </si>
  <si>
    <t>L brine post de-boron</t>
  </si>
  <si>
    <t>Li; Ca; Na; SO4</t>
  </si>
  <si>
    <t>mg/L; mg/L; mg/L; mg/L; mg/L; mg/L; mg/L</t>
  </si>
  <si>
    <t>lime</t>
  </si>
  <si>
    <t>boron_package</t>
  </si>
  <si>
    <t>organic_package</t>
  </si>
  <si>
    <t>Lime (Ca(OH)2)</t>
  </si>
  <si>
    <t>B-removal package (resin+regen)</t>
  </si>
  <si>
    <t>Li-SX organic package (extractant + modifier + diluent, plus composite)</t>
  </si>
  <si>
    <t>Mg</t>
  </si>
  <si>
    <t>B</t>
  </si>
  <si>
    <t>kg Ca(OH)2 per kg Mg</t>
  </si>
  <si>
    <t>kg package per kg B removed</t>
  </si>
  <si>
    <t>kg organic losses per kg Li recovered</t>
  </si>
  <si>
    <t>wash_water</t>
  </si>
  <si>
    <t>regen</t>
  </si>
  <si>
    <t>strip_acid</t>
  </si>
  <si>
    <t>Regeneration reagent</t>
  </si>
  <si>
    <t>Strip Acid (HCl)</t>
  </si>
  <si>
    <t>L water/mg Li</t>
  </si>
  <si>
    <t>mol reagent/mol B</t>
  </si>
  <si>
    <t>kg HCl (100%) per kg Li recovered</t>
  </si>
  <si>
    <t>scrub_makeup</t>
  </si>
  <si>
    <t>Scrub/makeup (wash water or weak salt)</t>
  </si>
  <si>
    <t>m3 per m3 brine</t>
  </si>
  <si>
    <t>L polished brine</t>
  </si>
  <si>
    <t>sludge_lime</t>
  </si>
  <si>
    <t>boron_residue</t>
  </si>
  <si>
    <t>brine_waste</t>
  </si>
  <si>
    <t>landfill</t>
  </si>
  <si>
    <t>resin_regeneration</t>
  </si>
  <si>
    <t>wastewater_treatment</t>
  </si>
  <si>
    <t>Mg_Ca_sludge</t>
  </si>
  <si>
    <t>B_organics</t>
  </si>
  <si>
    <t>residual_salts</t>
  </si>
  <si>
    <t>wastewater</t>
  </si>
  <si>
    <t>organic_loss</t>
  </si>
  <si>
    <t>solvent_recovery</t>
  </si>
  <si>
    <t>blowdown</t>
  </si>
  <si>
    <t>SX_organic</t>
  </si>
  <si>
    <t>excavation_loading_generic.optimistic; excavation_loading_generic.midpoint; excavation_loading_generic.conservative</t>
  </si>
  <si>
    <t>ppm (wt)</t>
  </si>
  <si>
    <t xml:space="preserve">kg ore / tonnes ore • 1/PPM </t>
  </si>
  <si>
    <t>Batch Treatment</t>
  </si>
  <si>
    <t>Separation</t>
  </si>
  <si>
    <t>sls_step</t>
  </si>
  <si>
    <t>Batch treatment of brine (Slaked Lime [Ca[OH2]] + soda ash [Na2CO3])</t>
  </si>
  <si>
    <t>Solid–liquid separation (settling + filtration lumped)</t>
  </si>
  <si>
    <t>Mg2+ + (OH)-2 --&gt; Mg(OH)2(s); Ca2+ + CO3^2- -&gt; CaCO3(s)</t>
  </si>
  <si>
    <t>Batch reactor/tanks with agitation. Purpose is impurity precipitation (Mg, Ca) while keeping Li in solution.</t>
  </si>
  <si>
    <t>Primary tunable is Li loss to solids.</t>
  </si>
  <si>
    <t>batch_treatment_generic.conservative; batch_treatment_generic.midpoint; batch_treatment_generic.optimistic</t>
  </si>
  <si>
    <t>thickener_generic.conservative; thickener_generic.midpoint; thickener_generic.optimistic</t>
  </si>
  <si>
    <t>batch_treatment_generic.midpoint</t>
  </si>
  <si>
    <t>thickener_generic.midpoint</t>
  </si>
  <si>
    <t>concentrated_brine_throughput</t>
  </si>
  <si>
    <t>thickener_feed_throughput</t>
  </si>
  <si>
    <t>L/batch concentrated brine</t>
  </si>
  <si>
    <t>m3/h treated slurry equivalent (pseudo-continuous)</t>
  </si>
  <si>
    <t>kg/L (conc. brine density)</t>
  </si>
  <si>
    <t>kg/m3 (conc. brine density)</t>
  </si>
  <si>
    <t>m3 brine_post_lime</t>
  </si>
  <si>
    <t>treated_slurry</t>
  </si>
  <si>
    <t>pls_post_polishing</t>
  </si>
  <si>
    <t>L treated slurry</t>
  </si>
  <si>
    <t>Li; K; Mg(OH)2; CaCO3; Na; B; SO4</t>
  </si>
  <si>
    <t>kg/L (conc. brine density ≈ treated slurry density)</t>
  </si>
  <si>
    <t>filter_aid</t>
  </si>
  <si>
    <t>Slaked lime (Ca(OH)2) for Mg precipitation / pH adjustment</t>
  </si>
  <si>
    <t>precoat (e.g., diatomaceous earth)</t>
  </si>
  <si>
    <t>kg_filter_aid per m3 treated slurry</t>
  </si>
  <si>
    <t>soda_ash</t>
  </si>
  <si>
    <t>Soda ash (Na2CO3) for Ca precipitation as CaCO3</t>
  </si>
  <si>
    <t>Ca</t>
  </si>
  <si>
    <t>kg Na2CO3 per kg Mg</t>
  </si>
  <si>
    <t>kg Na2CO3 per kg Ca</t>
  </si>
  <si>
    <t>Li; Na; K; Cl; SO4; H2O</t>
  </si>
  <si>
    <t>kg/L (conc. brine density ≈ clarified brine density)</t>
  </si>
  <si>
    <t>residue</t>
  </si>
  <si>
    <t>tailings_35</t>
  </si>
  <si>
    <t>m3_wet_solids per m3 treated slurry, estimate ~35% density</t>
  </si>
  <si>
    <t>Mg(OH)2; CaCO3; brine</t>
  </si>
  <si>
    <t>0.25; 0.25; 0.50</t>
  </si>
  <si>
    <t>Crushing</t>
  </si>
  <si>
    <t>Attrition Scrubbing</t>
  </si>
  <si>
    <t>Classification</t>
  </si>
  <si>
    <t>Thickening (to ~55 wt% solids leach feed)</t>
  </si>
  <si>
    <t>Acid Leaching (at ~33 wt% solids after adding acid + liquid)</t>
  </si>
  <si>
    <t>Neutralization</t>
  </si>
  <si>
    <t>Primary CCD / Leach Residue (multistage)</t>
  </si>
  <si>
    <t>Impurity Removal and Neutralization</t>
  </si>
  <si>
    <t>scrubbing</t>
  </si>
  <si>
    <t>neutralization</t>
  </si>
  <si>
    <t>Thickening</t>
  </si>
  <si>
    <t>Acid Leaching</t>
  </si>
  <si>
    <t>Counter-Current Decantation and Thickening</t>
  </si>
  <si>
    <t>Impurity Removal</t>
  </si>
  <si>
    <t>N/A (mechanical)</t>
  </si>
  <si>
    <t>N/A (mechanical). However, inputs to this step are: crushed claystone, recycled coarse materials, recycled water, and makeup water. Assuming a target of ~30 wt% solids, a grain density of 2.6 t/m3 and water density of 1 t/m3. r_mix = 1 / (w_s / rho_s + (1 - w_s) / (rho_water)) --&gt; conversion factor is 1/(w_s*r_mix). Assuming 20% of this comes from the recycling in step 3, we have a conversion factor of ≈3.40</t>
  </si>
  <si>
    <t>N/A (size separation)</t>
  </si>
  <si>
    <t>N/A (Solid-liquid settling)</t>
  </si>
  <si>
    <t>Acid leaching of Li-bearing clays (simplified): Li₂O·nSiO₂·mH₂O (s) + H₂SO₄ (aq) → Li₂SO₄ (aq) + nSiO₂ (s) + (m+1)H₂O. Other gangue elements (Al, Mg, Ca, Fe) form soluble sulfates or secondary solids.</t>
  </si>
  <si>
    <t>Impurity precipitation / neutralization, e.g. Fe³⁺ + 3OH⁻ → Fe(OH)₃(s); Al³⁺ + 3OH⁻ → Al(OH)₃(s). Lithium remains mostly in solution.</t>
  </si>
  <si>
    <t>N/A (multi-stage CCD solid–liquid separation and washing; no net chemistry beyond minor neutralization). Not present in Thacker Pass but in TLC, Bonnie Claire, previous Thacker pass disclosures.</t>
  </si>
  <si>
    <t>Impurity precipitation / second-stage neutralization: Mg²⁺ + CO₃²⁻ → MgCO₃(s); Ca²⁺ + CO₃²⁻ → CaCO₃(s); Lithium remains mostly in solution.</t>
  </si>
  <si>
    <t>Primary &amp; secondary crushing, generates crushed ore for wet circuit</t>
  </si>
  <si>
    <t>Deagglomeration, create pumpable slurry</t>
  </si>
  <si>
    <t>Hydrocyclones+screens to split coarse vs fine; assume coarse refeed to achieve input/output; fines feed thickener; output conversion factor tied to input of step 2 - see note in conversion factor there.</t>
  </si>
  <si>
    <t>Concentration of slurry, recovery of process water. From step 2, ~8.773 vol% are solids. With the corresponding densities, ~22.81 t are solid and ~91.23 t are liquid per 100 m3 (20 wt% solid). If ~22.81 t is to be ~55 wt%, then the total weight is 41.47 t --&gt; water reduced from 91.23 t to 18.66 t ≈ 72.57 t to overflow; 41.47 t of 55wt% is 8.773+18.66 m3 ≈ 27.433 m3, thus this conversion factor of 0.27</t>
  </si>
  <si>
    <t>Heated or ambient acid leach in agitated tanks; converts Li-bearing minerals to soluble Li sulfate solution while leaving gangue largely solid; output is leach slurry (solution + residue).</t>
  </si>
  <si>
    <t>Chemical removal of impurities (Fe, Al, etc.) via pH adjustment and precipitation</t>
  </si>
  <si>
    <t>Counter-current decantation (CCD) of leach slurry to separate pregnant Li solution from residual solids and wash entrained Li from residue; produces pregnant leach solution (PLS) and leach residue to tailings.</t>
  </si>
  <si>
    <t>Chemical removal of impurities (Mg, Ca, etc.) via pH adjustment and precipitation; most significant deviation from Thacker Pass flowsheet (where Mg is recycled via crystallization). Produces purified Li solution for downstream recovery and an impurity sludge for disposal. Includes thickening.</t>
  </si>
  <si>
    <t>crushing_cycle.conservative; crushing_cycle.midpoint; crushing_cycle.optimistic</t>
  </si>
  <si>
    <t>attrition_scrubber.conservative; attrition_scrubber.midpoint; attrition_scrubber.optimistic</t>
  </si>
  <si>
    <t>classifier_generic.conservative; classifier_generic.midpoint; classifier_generic.optimistic</t>
  </si>
  <si>
    <t>acid_leach_circuit.conservative; acid_leach_circuit.midpoint; acid_leach_circuit.optimistic</t>
  </si>
  <si>
    <t>staged_neutralization.conservative; staged_neutralization.midpoint; staged_neutralization.optimistic</t>
  </si>
  <si>
    <t>multi_stage_ccd_thickening.conservative; multi_stage_ccd_thickening.midpoint; multi_stage_ccd_thickening.optimistic</t>
  </si>
  <si>
    <t>crushing_cycle.midpoint</t>
  </si>
  <si>
    <t>attrition_scrubber.midpoint</t>
  </si>
  <si>
    <t>classifier_generic.midpoint</t>
  </si>
  <si>
    <t>acid_leach_circuit.midpoint</t>
  </si>
  <si>
    <t>staged_neutralization.midpoint</t>
  </si>
  <si>
    <t>multi_stage_ccd_thickening.midpoint</t>
  </si>
  <si>
    <t>crushed_ore_throughput</t>
  </si>
  <si>
    <t>scrubbed_slurry_throughput</t>
  </si>
  <si>
    <t>classified_slurry_throughput</t>
  </si>
  <si>
    <t>leach_slurry_throughput</t>
  </si>
  <si>
    <t>pls_being_neutralized</t>
  </si>
  <si>
    <t>CCD_feed_throughput</t>
  </si>
  <si>
    <t>pregnant_solution_throughput</t>
  </si>
  <si>
    <t>tonnes crushed ore</t>
  </si>
  <si>
    <t>m^3 slurry at 20% solids</t>
  </si>
  <si>
    <t>m^3 slurry being classified, 20% solids</t>
  </si>
  <si>
    <t>m^3 20% density slurry to be thickened</t>
  </si>
  <si>
    <t>m^3 leach slurry throughput at 34% solids density</t>
  </si>
  <si>
    <t>m^3 pls throughput at 34% solids density</t>
  </si>
  <si>
    <t>m^3 neutralized PLS throughput at ~34% solids density</t>
  </si>
  <si>
    <t>m^3 pregnant solution</t>
  </si>
  <si>
    <t xml:space="preserve">kg ore / m^3 30% slurry • 1/PPM </t>
  </si>
  <si>
    <t xml:space="preserve">kg ore / m^3 20% slurry • 1/PPM </t>
  </si>
  <si>
    <t xml:space="preserve">kg ore / m^3 15% slurry • 1/PPM </t>
  </si>
  <si>
    <t xml:space="preserve">kg ore / m^3 34% slurry • 1/PPM </t>
  </si>
  <si>
    <t xml:space="preserve">kg ore / m^3 ~34% slurry • 1/PPM </t>
  </si>
  <si>
    <t>kg / m^3 PLS density</t>
  </si>
  <si>
    <t>tonnes ROM ore</t>
  </si>
  <si>
    <t>m^3 slurry at 30% solids</t>
  </si>
  <si>
    <t>m^3 slurry to be thickened (start at 15% density)</t>
  </si>
  <si>
    <t>m^3 pls throughput at ~34% solids density</t>
  </si>
  <si>
    <t>m^3 pregnant leach solution (need to calculate/assume density)</t>
  </si>
  <si>
    <t>leached_slurry</t>
  </si>
  <si>
    <t>neutralized_pls</t>
  </si>
  <si>
    <t>washed_pregnant_leach_solution</t>
  </si>
  <si>
    <t>m^3 classified slurry at 15% solids</t>
  </si>
  <si>
    <t>m^3 thickened slurry at 55% solids</t>
  </si>
  <si>
    <t>m^3 washed pregnant leach solution (assume ~75 g/L total dissolved solids for now)</t>
  </si>
  <si>
    <t>L PLS_post_polish</t>
  </si>
  <si>
    <t>crushed_ore</t>
  </si>
  <si>
    <t>scrubbed_slurry</t>
  </si>
  <si>
    <t>classified_slurry</t>
  </si>
  <si>
    <t>thick_leach_feed</t>
  </si>
  <si>
    <t>m^3 ore feed</t>
  </si>
  <si>
    <t xml:space="preserve">kg ore / m^3 55% slurry • 1/PPM </t>
  </si>
  <si>
    <t>dispersant</t>
  </si>
  <si>
    <t>flocculant</t>
  </si>
  <si>
    <t>sulfuric_acid</t>
  </si>
  <si>
    <t>limestone</t>
  </si>
  <si>
    <t>Slurry dispersant for clay/silt</t>
  </si>
  <si>
    <t>Polymer flocculant for thickener underflow</t>
  </si>
  <si>
    <t>Sulfuric acid (or other leach acid) for Li extraction</t>
  </si>
  <si>
    <t>Limestone (CaCO₃) for bulk neutralization</t>
  </si>
  <si>
    <t>High-molecular-weight flocculant for CCD overflow/underflow separation</t>
  </si>
  <si>
    <t>CaO</t>
  </si>
  <si>
    <t>kg/m^3 slurry</t>
  </si>
  <si>
    <t>kg acid/m^3 slurry</t>
  </si>
  <si>
    <t>kg/m^3 pls</t>
  </si>
  <si>
    <t>kg/m^3 ccd_feed_throughput</t>
  </si>
  <si>
    <t>kg/m^3 pregnant_solution_throughput</t>
  </si>
  <si>
    <t>process_water</t>
  </si>
  <si>
    <t>High-molecular-weight flocculant</t>
  </si>
  <si>
    <t>Soda ash to target calcium from lime</t>
  </si>
  <si>
    <t>kg/m^3 pls_being_neutralized</t>
  </si>
  <si>
    <t>rejected_coarse</t>
  </si>
  <si>
    <t>thickener_overflow</t>
  </si>
  <si>
    <t>filter_cake</t>
  </si>
  <si>
    <t>impurity_sludge</t>
  </si>
  <si>
    <t>tailings_solid</t>
  </si>
  <si>
    <t>tailings_65</t>
  </si>
  <si>
    <t>tailings_25</t>
  </si>
  <si>
    <t>m3/tonne</t>
  </si>
  <si>
    <t>m3/m3</t>
  </si>
  <si>
    <t>water, fine_solids</t>
  </si>
  <si>
    <t>solids (clay, precipitated Fe/Al/Ca/Mg/B), entrained_liquor</t>
  </si>
  <si>
    <t>precipitated_impurities (Mg/Ca/B), gypsum, minor Li-bearing liquor</t>
  </si>
  <si>
    <t>Classification &amp; Flotation</t>
  </si>
  <si>
    <t>Grinding</t>
  </si>
  <si>
    <t>Dewatering</t>
  </si>
  <si>
    <t>Sulfate Roasting</t>
  </si>
  <si>
    <t>Water Leaching</t>
  </si>
  <si>
    <t>Clarification</t>
  </si>
  <si>
    <t>dewatering</t>
  </si>
  <si>
    <t>sulfate_roasting</t>
  </si>
  <si>
    <t>stream_clarification</t>
  </si>
  <si>
    <t>Grinding via mill</t>
  </si>
  <si>
    <t>Dewatering to allow for high-temp roasting</t>
  </si>
  <si>
    <t>Roasting of lepidolate with sulfate salts</t>
  </si>
  <si>
    <t>Water leaching</t>
  </si>
  <si>
    <t>Lithium Stream Clarification</t>
  </si>
  <si>
    <t>N/A (mechanical).</t>
  </si>
  <si>
    <t>Mechanical dewatering from 60% to 80% slurry.</t>
  </si>
  <si>
    <t>Impurity precipitation / neutralization, e.g. Fe³⁺ + 3OH⁻ → Fe(OH)₃(s); Mg²⁺ + CO₃²⁻ → MgCO₃(s); Ca²⁺ + CO₃²⁻ → CaCO₃(s); Al³⁺ + 3OH⁻ → Al(OH)₃(s). Lithium remains mostly in solution.</t>
  </si>
  <si>
    <t>Hydrocyclones+screens to split coarse vs fine; assume coarse refeed to achieve input/output; fines feed thickener</t>
  </si>
  <si>
    <t xml:space="preserve">Go from 40% water slurry to 20% water cake. 60% slurry has density of 1/(0.60/2.7+0.4/1) = 1.607 --&gt; 0.6*1.607 = 0.965 t/m3 solids. At 80% cake, new density is 0.964/0.8 = 1.205 t/m3; water goes from 0.643 t/m3 --&gt; 0.241 t/m3, or ~0.4 t/m3≈0.4 m3/m3 water removed from intermediate slurry </t>
  </si>
  <si>
    <t>Chemical removal of impurities (Mg, Ca, Fe, Al, etc.) via pH adjustment and precipitation; produces purified Li solution for downstream recovery and an impurity sludge for disposal.</t>
  </si>
  <si>
    <t>classifier_flotation.conservative; classifier_flotation.midpoint; classifier_flotation.optimistic</t>
  </si>
  <si>
    <t>high_energy_grinding_mill.conservative; high_energy_grinding_mill.midpoint; high_energy_grinding_mill.optimistic</t>
  </si>
  <si>
    <t>mechanical_dewatering.conservative; mechanical_dewatering.midpoint; mechanical_dewatering.optimistic</t>
  </si>
  <si>
    <t>sulfate_roasting_train_lepidolite.conservative; sulfate_roasting_train_lepidolite.midpoint; sulfate_roasting_train_lepidolite.optimistic</t>
  </si>
  <si>
    <t>water_leach.conservative; water_leach.midpoint; water_leach.optimistic</t>
  </si>
  <si>
    <t>solid_liquid_separation.conservative; solid_liquid_separation.midpoint; solid_liquid_separation.optimistic</t>
  </si>
  <si>
    <t>classifier_flotation.midpoint</t>
  </si>
  <si>
    <t>high_energy_grinding_mill.midpoint</t>
  </si>
  <si>
    <t>mechanical_dewatering.midpoint</t>
  </si>
  <si>
    <t>sulfate_roasting_train_lepidolite.midpoint</t>
  </si>
  <si>
    <t>water_leach.midpoint</t>
  </si>
  <si>
    <t>solid_liquid_separation.midpoint</t>
  </si>
  <si>
    <t>slurry_being_ground</t>
  </si>
  <si>
    <t>slurry_press_throughput</t>
  </si>
  <si>
    <t>roasting_mix</t>
  </si>
  <si>
    <t>leaching_slurry</t>
  </si>
  <si>
    <t>mixture_being_separated</t>
  </si>
  <si>
    <t>m^3 slurry (30wt%)</t>
  </si>
  <si>
    <t>m^3 slurry (60wt%)</t>
  </si>
  <si>
    <t>m^3 slurry being pressed into cake</t>
  </si>
  <si>
    <t>tonnes (80% solids cake being dried, roasted, and cooled)</t>
  </si>
  <si>
    <t>m^3 20wt% solid slurry</t>
  </si>
  <si>
    <t>m^3 raw pregnant leach solution</t>
  </si>
  <si>
    <t>m^3 pregant leach solution being clarified</t>
  </si>
  <si>
    <t>kg ore / m3 60% slurry</t>
  </si>
  <si>
    <t>kg ore / tonne roasting mix</t>
  </si>
  <si>
    <t>kg ore / m3 20% slurry</t>
  </si>
  <si>
    <t>ppm Li / kg slurry (30wt%)</t>
  </si>
  <si>
    <t>ground_slurry</t>
  </si>
  <si>
    <t>roaster_feed</t>
  </si>
  <si>
    <t>roasted_mix</t>
  </si>
  <si>
    <t>ppm Li / kg slurry (60wt%)</t>
  </si>
  <si>
    <t>pregnant_leach_solution</t>
  </si>
  <si>
    <t>m^3 ore</t>
  </si>
  <si>
    <t>m^3 ground slurry (60wt%)</t>
  </si>
  <si>
    <t>tonnes (80wt% solids cake to be dried, roasted, and cooled)</t>
  </si>
  <si>
    <t>tonnes roasted sulfated ore mix</t>
  </si>
  <si>
    <t>m^3 PLS to be neutralized</t>
  </si>
  <si>
    <t>m^3 pregant leach solution to be clarified</t>
  </si>
  <si>
    <t>ppm (mg Li / kg ore)</t>
  </si>
  <si>
    <t>kg ore / tonne roaster feed</t>
  </si>
  <si>
    <t>kg ore / tonne roasted mix</t>
  </si>
  <si>
    <t>sodium_sulfate</t>
  </si>
  <si>
    <t>neutralizing_agent</t>
  </si>
  <si>
    <t>Water to be added to allow for classification via hydrocyclone</t>
  </si>
  <si>
    <t>Sodium sulfate (Na2SO4)</t>
  </si>
  <si>
    <t>Water to be for leaching</t>
  </si>
  <si>
    <t>Lime / limestone / NaOH / similar reagents mix for impurity precipitation and pH control.</t>
  </si>
  <si>
    <t>m^3/m^3 classified slurry</t>
  </si>
  <si>
    <t>kg/tonne roaster_mix</t>
  </si>
  <si>
    <t>kg/m^3 solution</t>
  </si>
  <si>
    <t>depressants</t>
  </si>
  <si>
    <t>sodium hexametaphosphate, for flotation</t>
  </si>
  <si>
    <t>Lime (to target Fluorine species, which is siphoned off by silica and alumina; amount reported from Yan et al. 2012)</t>
  </si>
  <si>
    <t>kg/m^3</t>
  </si>
  <si>
    <t>collectors</t>
  </si>
  <si>
    <t>potassium_sulfate</t>
  </si>
  <si>
    <t>dodecylamine, for flotation</t>
  </si>
  <si>
    <t>Potassiume Sulfate</t>
  </si>
  <si>
    <t>Sulfuric acid for pH adjustments</t>
  </si>
  <si>
    <t>L clarified PLS</t>
  </si>
  <si>
    <t>coarse_reject</t>
  </si>
  <si>
    <t>wash_liquor</t>
  </si>
  <si>
    <t>fluorine_offgas</t>
  </si>
  <si>
    <t>leach_residue</t>
  </si>
  <si>
    <t>offgas_handling</t>
  </si>
  <si>
    <t>tailings_20</t>
  </si>
  <si>
    <t>m3/m3 slurry being classified</t>
  </si>
  <si>
    <t>m3/m3 PLS</t>
  </si>
  <si>
    <t>Al, Fe, Si, CaF2</t>
  </si>
  <si>
    <t>precipitated_impurities (Mg/Ca/B), minor Li-bearing liquor</t>
  </si>
  <si>
    <t>Lithium Carbonate Precipitation with Soda Ash</t>
  </si>
  <si>
    <t>Thickening + Dewatering</t>
  </si>
  <si>
    <t>Washing &amp; purification</t>
  </si>
  <si>
    <t>Drying &amp; Packaging</t>
  </si>
  <si>
    <t>thicken_dewater</t>
  </si>
  <si>
    <t>wash_purif_step</t>
  </si>
  <si>
    <t>drying_packaging</t>
  </si>
  <si>
    <t>Soda ash precipitation (Li₂CO₃)</t>
  </si>
  <si>
    <t>Thickening and dewatering</t>
  </si>
  <si>
    <t>Drying &amp; packaging</t>
  </si>
  <si>
    <t xml:space="preserve">Li+ + (CO3)2- --&gt; Li2CO3 via addition of Na2CO3. Assume output is 20% Li2CO3. Conversion factor of L_pls to L_slurry: calculated via determined by density_slurry mg/L * (mg Li2CO3 / mg slurry) * (mg Li / mg Li2CO3) where density_slurry = wt slurry/ L_slurry = 1.118 g/cm^3 = 1.118 mg/L (see step 5 notes). wt Li2CO3 / wt slurry = 20% from assumption. wt Li / wt Li2CO3 = 2*6.94/73.89 = 0.188 --&gt; 1.118*0.20*0.188 mg Li / L slurry. Multiply by 10^3 to get mg Li / m3 slurry. This would be multiplied by the L_slurry and divided by Li concentration from input PLS concentration (* 1 / (mg Li / L PLS))) to get the L of PLS. </t>
  </si>
  <si>
    <t>Thickening &amp; dewatering for higher density. 20% Li2CO3 --&gt; 70% Li2CO3, using equation defined in washing and purifying step (also at end of this note), takes 1.118 g/cm^3 slurry to 1.58 g/cm^3 cake. We go from ~223.6 kg Li2CO3 and 894.4 kg water in the slurry per m^3 to 223.6 kg Li2CO3 and 95.8 kg water in the 70/30 cake. 319.4 kg / 1.58 kg/m^3 ≈ 0.202 m^3 cake per 1 m^3 slurry. equation: density = 1 / (r_Li2CO3 / rho_Li2CO3 + (1 - r_Li2CO3) / (rho_water))</t>
  </si>
  <si>
    <t>Removal of any remaining soluble Na/K/Mg from cake via water washing</t>
  </si>
  <si>
    <t>Based on density (function of constituent fractions); mass_Li2CO3 (V_cake) = V_cake / (r_Li2CO3 / rho_Li2CO3 + (1 - r_Li2CO3) / (rho_water)) * yield, where r_Li2CO3 is the ratio of Li2CO3 to total cake mass, in this case assumed to be 70%. With rho_Li2CO3 = 2.11 g/cm3 and assuming relatively pure water (rho_water ≈ 1 g/cm3), we need roughly 0.903 L of cake per kg Li2CO3. Since the conversion is from m3 of cake to tonnes Li2CO3, divide 1 (m3--&gt;L but kg--&gt;tonnes) by 0.903</t>
  </si>
  <si>
    <t xml:space="preserve">Li precipitation as carbonate at pH ~10.5; 5% Na2CO3 excess. </t>
  </si>
  <si>
    <t>Prepare filter cake via pressing</t>
  </si>
  <si>
    <t>Wash to remove residual Na, K, Mg</t>
  </si>
  <si>
    <t>Drying to ~100% Li₂CO₃, bagging for sale</t>
  </si>
  <si>
    <t>precipitator.conservative; precipitator.midpoint; precipitator.optimistic</t>
  </si>
  <si>
    <t>wash_purify_combo.conservative; wash_purify_combo.midpoint; wash_purify_combo.optimistic</t>
  </si>
  <si>
    <t>drying_packaging_propane.conservative; drying_packaging_propane.midpoint; drying_packaging_propane.optimistic</t>
  </si>
  <si>
    <t>precipitator.midpoint</t>
  </si>
  <si>
    <t>wash_purify_combo.midpoint</t>
  </si>
  <si>
    <t>drying_packaging_propane.midpoint</t>
  </si>
  <si>
    <t>Name of the intermediate volume inputs are aggregated into and outputs produced from; also the unit that machine is sized to</t>
  </si>
  <si>
    <t>polish_pls_throughput</t>
  </si>
  <si>
    <t>cake_wash_throughput</t>
  </si>
  <si>
    <t>cake_drying_throughput</t>
  </si>
  <si>
    <t>L polished PLS</t>
  </si>
  <si>
    <t>m3 lithium slurry (20% carbonate) being pressed</t>
  </si>
  <si>
    <t>m3 Li2CO3 cake being washed (70% solids)</t>
  </si>
  <si>
    <t>tonnes Li2CO3 cake being dried &amp; packed</t>
  </si>
  <si>
    <t>kg/L (conc. brine density ≈ clarified PLS density)</t>
  </si>
  <si>
    <t>kg Li2CO3 / m3</t>
  </si>
  <si>
    <t>kg Li</t>
  </si>
  <si>
    <t>tonnes lithium cake</t>
  </si>
  <si>
    <t>unwashed_lithium_cake</t>
  </si>
  <si>
    <t>lithium_cake</t>
  </si>
  <si>
    <t>carbonate</t>
  </si>
  <si>
    <t>m3 unwashed lithium cake (70% carbonate)</t>
  </si>
  <si>
    <t>m3 washed lithium cake (70% carbonate)</t>
  </si>
  <si>
    <t>tonnes Li2CO3</t>
  </si>
  <si>
    <t>lithium_slurry</t>
  </si>
  <si>
    <t>m3 lithium slurry (20% Li2CO3)</t>
  </si>
  <si>
    <t>Li; Na; CO3</t>
  </si>
  <si>
    <t>ppm (mg/kg PLS)</t>
  </si>
  <si>
    <t>ppm (mg/kg Li2CO3)</t>
  </si>
  <si>
    <t>Soda ash (Na2CO3)</t>
  </si>
  <si>
    <t>Wash water</t>
  </si>
  <si>
    <t>kg Soda ash / kg Li</t>
  </si>
  <si>
    <t>m3 water/m3 feed</t>
  </si>
  <si>
    <t>pressed_water</t>
  </si>
  <si>
    <t>evaporated_water</t>
  </si>
  <si>
    <t>atmosphere</t>
  </si>
  <si>
    <t>Various ions but mostly water</t>
  </si>
  <si>
    <t>Na; K; Mg</t>
  </si>
  <si>
    <t>H2O</t>
  </si>
  <si>
    <t>Soda ash precipitation (Li2CO3)</t>
  </si>
  <si>
    <t>Drying to ~99% Li₂CO₃, bagging for sale</t>
  </si>
  <si>
    <t>drying_packaging_generic.conservative; drying_packaging_generic.midpoint; drying_packaging_generic.optimistic</t>
  </si>
  <si>
    <t>drying_packaging_generic.midpoint</t>
  </si>
  <si>
    <t>kg Li2CO3/t 70 wt% Li2CO3 cake• 1/PPM constituent</t>
  </si>
  <si>
    <t>mg Li</t>
  </si>
  <si>
    <t>kg Li2CO3 / tonne</t>
  </si>
  <si>
    <t>Unit</t>
  </si>
  <si>
    <t>liquid_tanker_truck_diesel</t>
  </si>
  <si>
    <t>dry_bulk_truck</t>
  </si>
  <si>
    <t>haul_truck</t>
  </si>
  <si>
    <t>rail_freight_liquid</t>
  </si>
  <si>
    <t>rail_freight_solid</t>
  </si>
  <si>
    <t>dry_bulk_barges</t>
  </si>
  <si>
    <t>ocean_transport</t>
  </si>
  <si>
    <t>rail_transport</t>
  </si>
  <si>
    <t>road_transport</t>
  </si>
  <si>
    <t>transportation_costs_by_weight</t>
  </si>
  <si>
    <t>baseline_diesel_long_haul_trucks</t>
  </si>
  <si>
    <t>source</t>
  </si>
  <si>
    <t>McKinnon &amp; Piecyk; European Chemical Industry Council (Cerif)</t>
  </si>
  <si>
    <t>https://www.kimnet.nl/site/binaries/site-content/collections/documents/2023/03/30/kostenkengetallen-voor-het-goederenvervoer/Cost+figures+for+freight+transport_def.pdf</t>
  </si>
  <si>
    <t>GREET HDV_TS 2025 + EF 2.2</t>
  </si>
  <si>
    <t>Doesn't really make sense given that transportation is generally volume limited, not weight limited. Reported for EU</t>
  </si>
  <si>
    <t>base_volume</t>
  </si>
  <si>
    <t>volume</t>
  </si>
  <si>
    <t>base_volume_unit</t>
  </si>
  <si>
    <t>L</t>
  </si>
  <si>
    <t>m3</t>
  </si>
  <si>
    <t>ton</t>
  </si>
  <si>
    <t>tons</t>
  </si>
  <si>
    <t>fixed_cost</t>
  </si>
  <si>
    <t>Fixed costs</t>
  </si>
  <si>
    <t>operating_cost.optimistic</t>
  </si>
  <si>
    <t>per volume per km</t>
  </si>
  <si>
    <t>operating_cost.midpoint</t>
  </si>
  <si>
    <t>Operating cost</t>
  </si>
  <si>
    <t>operating_cost.conservative</t>
  </si>
  <si>
    <t>fuel_usage</t>
  </si>
  <si>
    <t>labor_fraction</t>
  </si>
  <si>
    <t>maintenance</t>
  </si>
  <si>
    <t>ghg_emissions.optimistic</t>
  </si>
  <si>
    <t>kg CO2e per base volume unit per km</t>
  </si>
  <si>
    <t>ghg_emissions.midpoint</t>
  </si>
  <si>
    <t>GHG per volume per distance</t>
  </si>
  <si>
    <t>ghg_emissions.conservative</t>
  </si>
  <si>
    <t>ghg_emissions_alt.midpoint</t>
  </si>
  <si>
    <t>kg CO2e / ton·km</t>
  </si>
  <si>
    <t>so2_emissions.optimistic</t>
  </si>
  <si>
    <t>g SO2 per base volume unit per km</t>
  </si>
  <si>
    <t>so2_emissions.midpoint</t>
  </si>
  <si>
    <t>SO2 per volume per distance</t>
  </si>
  <si>
    <t>so2_emissions.conservative</t>
  </si>
  <si>
    <t>nox_emissions.optimistic</t>
  </si>
  <si>
    <t>g NOX per base volume unit per km</t>
  </si>
  <si>
    <t>nox_emissions.midpoint</t>
  </si>
  <si>
    <t>NOx per volume per distance</t>
  </si>
  <si>
    <t>nox_emissions.conservative</t>
  </si>
  <si>
    <t>pm_emissions.optimistic</t>
  </si>
  <si>
    <t>g PM per base volume unit per km</t>
  </si>
  <si>
    <t>pm_emissions.midpoint</t>
  </si>
  <si>
    <t>PM2.5 per volume per distance</t>
  </si>
  <si>
    <t>pm_emissions.conservative</t>
  </si>
  <si>
    <t>loss_fraction</t>
  </si>
  <si>
    <t>fraction</t>
  </si>
  <si>
    <t>Brazil</t>
  </si>
  <si>
    <t>dpy</t>
  </si>
  <si>
    <t>Working days/year</t>
  </si>
  <si>
    <t>Days per year</t>
  </si>
  <si>
    <t>upd</t>
  </si>
  <si>
    <t>Facility-wide average Unplanned Downtime</t>
  </si>
  <si>
    <t>% of total possible uptime, as a number</t>
  </si>
  <si>
    <t>scm</t>
  </si>
  <si>
    <t>Scheduled maintenance</t>
  </si>
  <si>
    <t>spd</t>
  </si>
  <si>
    <t>Number of shifts/day</t>
  </si>
  <si>
    <t>Number</t>
  </si>
  <si>
    <t>hps</t>
  </si>
  <si>
    <t>Hours per shift</t>
  </si>
  <si>
    <t>Hours</t>
  </si>
  <si>
    <t>ub</t>
  </si>
  <si>
    <t>Hours of unpaid breaks/shift</t>
  </si>
  <si>
    <t>pb</t>
  </si>
  <si>
    <t>Hours of paid breaks/shift</t>
  </si>
  <si>
    <t>dr</t>
  </si>
  <si>
    <t>Discount Rate</t>
  </si>
  <si>
    <t>%, as a number</t>
  </si>
  <si>
    <t>wage</t>
  </si>
  <si>
    <t>Direct Wage (w/benefits)</t>
  </si>
  <si>
    <t>2025USD per hour</t>
  </si>
  <si>
    <t>elec_price</t>
  </si>
  <si>
    <t>Electricity cost</t>
  </si>
  <si>
    <t>$/KWh</t>
  </si>
  <si>
    <t>gas_price</t>
  </si>
  <si>
    <t>Gas cost</t>
  </si>
  <si>
    <t>$/MMBTU</t>
  </si>
  <si>
    <t>diesel_price</t>
  </si>
  <si>
    <t>Diesel cost</t>
  </si>
  <si>
    <t>$/L</t>
  </si>
  <si>
    <t>propane_price</t>
  </si>
  <si>
    <t>Propane cost</t>
  </si>
  <si>
    <t>cool_water_price</t>
  </si>
  <si>
    <t>Cost of cooled water. Assume for now an increase over the process water cost.</t>
  </si>
  <si>
    <t>$/m^3</t>
  </si>
  <si>
    <t>steam_price</t>
  </si>
  <si>
    <t xml:space="preserve">Cost of steam. </t>
  </si>
  <si>
    <t>comp_air_price</t>
  </si>
  <si>
    <t xml:space="preserve">Cost of compressed air. </t>
  </si>
  <si>
    <t>$/Nm^3 (normal m^3)</t>
  </si>
  <si>
    <t>build_price</t>
  </si>
  <si>
    <t>Building space cost</t>
  </si>
  <si>
    <t>$/m^2</t>
  </si>
  <si>
    <t>crp</t>
  </si>
  <si>
    <t>Capital Recovery Period - may be site-specific</t>
  </si>
  <si>
    <t>years</t>
  </si>
  <si>
    <t>brp</t>
  </si>
  <si>
    <t>Building Recovery Period - may be site-specific</t>
  </si>
  <si>
    <t>machine_cost_factor</t>
  </si>
  <si>
    <t>Machine costs factor, relative to baseline reported costs</t>
  </si>
  <si>
    <t>% of main machine cost</t>
  </si>
  <si>
    <t>aux_equip</t>
  </si>
  <si>
    <t>Annualized auxiliary Equipment cost</t>
  </si>
  <si>
    <t>maint</t>
  </si>
  <si>
    <t>Annualized maintenance costs</t>
  </si>
  <si>
    <t>fixed_over</t>
  </si>
  <si>
    <t>Annualized fixed overhead costs</t>
  </si>
  <si>
    <t>% of the total of {main machine, building, auxiliary equipment, and maintenance} costs</t>
  </si>
  <si>
    <t>tailings_nonhazardous_cost</t>
  </si>
  <si>
    <t>$ / tonne received for disposal of nonhazardous waste</t>
  </si>
  <si>
    <t>tailings_hazardous_cost</t>
  </si>
  <si>
    <t>$ / tonne received for disposal of hazardous waste</t>
  </si>
  <si>
    <t>utility_impact.electricity.co2</t>
  </si>
  <si>
    <t>Grid emissions intensity</t>
  </si>
  <si>
    <t>kgCO2/kWh</t>
  </si>
  <si>
    <t>utility_impact.electricity.water</t>
  </si>
  <si>
    <t>Water usage intensity of grid electricity</t>
  </si>
  <si>
    <t>L/kWh</t>
  </si>
  <si>
    <t>utility_impact.natural_gas.co2</t>
  </si>
  <si>
    <t>Combustion emissions intensity of natural gas</t>
  </si>
  <si>
    <t>kgCO2e/MMBTU</t>
  </si>
  <si>
    <t>utility_impact.cooling_water.co2</t>
  </si>
  <si>
    <t>Emissions intensity of chilled water</t>
  </si>
  <si>
    <t>kgCO2e/m3</t>
  </si>
  <si>
    <t>utility_impact.steam.co2</t>
  </si>
  <si>
    <t>Emissions intensity of steam</t>
  </si>
  <si>
    <t>kgCO2e/kg steam</t>
  </si>
  <si>
    <t>utility_impact.steam.water</t>
  </si>
  <si>
    <t>Water usage of steam (pressure dependent)</t>
  </si>
  <si>
    <t># Don't use for now</t>
  </si>
  <si>
    <t>utility_impact.compressed_air.co2</t>
  </si>
  <si>
    <t>Emissions intensity of compressed air (pressure dependent)</t>
  </si>
  <si>
    <t>utility_impact.landfill.co2</t>
  </si>
  <si>
    <t>Emissions intensity of landfill</t>
  </si>
  <si>
    <t>utility_impact.landfill.landuse</t>
  </si>
  <si>
    <t>Land use of landfilled items</t>
  </si>
  <si>
    <t>m^2/m^3</t>
  </si>
  <si>
    <t>utility_impact.wastewater.water</t>
  </si>
  <si>
    <t>utility_impact.wastewater.eutrophification</t>
  </si>
  <si>
    <t>utility_impact.propane.co2</t>
  </si>
  <si>
    <t>Emissions intensity of propane</t>
  </si>
  <si>
    <t>kgCO2e/L</t>
  </si>
  <si>
    <t>utility_impact.diesel.co2</t>
  </si>
  <si>
    <t>Emissions intensity of diesel (IPCC/EPA factor)</t>
  </si>
  <si>
    <t>machine_block_name</t>
  </si>
  <si>
    <t>brine_pump.conservative</t>
  </si>
  <si>
    <t>brine_pump.optimistic</t>
  </si>
  <si>
    <t>evaporation_pond_lined.conservative</t>
  </si>
  <si>
    <t>evaporation_pond_lined.midpoint</t>
  </si>
  <si>
    <t>evaporation_pond_lined.optimistic</t>
  </si>
  <si>
    <t>evaporation_pond_unlined.conservative</t>
  </si>
  <si>
    <t>evaporation_pond_unlined.optimistic</t>
  </si>
  <si>
    <t>blasting_generic.conservative</t>
  </si>
  <si>
    <t>blasting_generic.optimistic</t>
  </si>
  <si>
    <t>excavation_loading_generic.conservative</t>
  </si>
  <si>
    <t>excavation_loading_generic.optimistic</t>
  </si>
  <si>
    <t>crushing_cycle.conservative</t>
  </si>
  <si>
    <t>crushing_cycle.optimistic</t>
  </si>
  <si>
    <t>attrition_scrubber.conservative</t>
  </si>
  <si>
    <t>attrition_scrubber.optimistic</t>
  </si>
  <si>
    <t>classifier_generic.conservative</t>
  </si>
  <si>
    <t>classifier_generic.optimistic</t>
  </si>
  <si>
    <t>classifier_flotation.conservative</t>
  </si>
  <si>
    <t>classifier_flotation.optimistic</t>
  </si>
  <si>
    <t>high_energy_grinding_mill.conservative</t>
  </si>
  <si>
    <t>high_energy_grinding_mill.optimistic</t>
  </si>
  <si>
    <t>sulfuric_acid_roaster</t>
  </si>
  <si>
    <t>sulfate_roasting_train_lepidolite.conservative</t>
  </si>
  <si>
    <t>sulfate_roasting_train_lepidolite.optimistic</t>
  </si>
  <si>
    <t>calciner_generic</t>
  </si>
  <si>
    <t>acid_leach_circuit.conservative</t>
  </si>
  <si>
    <t>acid_leach_circuit.optimistic</t>
  </si>
  <si>
    <t>water_leach.conservative</t>
  </si>
  <si>
    <t>water_leach.optimistic</t>
  </si>
  <si>
    <t>chlor-alkali_leach_circuit</t>
  </si>
  <si>
    <t>cstr_generic</t>
  </si>
  <si>
    <t>solid_liquid_separation.conservative</t>
  </si>
  <si>
    <t>solid_liquid_separation.optimistic</t>
  </si>
  <si>
    <t>thickener_generic.conservative</t>
  </si>
  <si>
    <t>thickener_generic.optimistic</t>
  </si>
  <si>
    <t>multi_stage_ccd_thickening.conservative</t>
  </si>
  <si>
    <t>multi_stage_ccd_thickening.optimistic</t>
  </si>
  <si>
    <t>mechanical_dewatering.conservative</t>
  </si>
  <si>
    <t>mechanical_dewatering.optimistic</t>
  </si>
  <si>
    <t>two_stage_neutralizing_circuit.conservative</t>
  </si>
  <si>
    <t>two_stage_neutralizing_circuit.midpoint</t>
  </si>
  <si>
    <t>two_stage_neutralizing_circuit.optimistic</t>
  </si>
  <si>
    <t>staged_neutralization.conservative</t>
  </si>
  <si>
    <t>staged_neutralization.optimistic</t>
  </si>
  <si>
    <t>ix_generic</t>
  </si>
  <si>
    <t>dle_adsorption</t>
  </si>
  <si>
    <t>strip_elution_circuit</t>
  </si>
  <si>
    <t>precipitator.conservative</t>
  </si>
  <si>
    <t>precipitator.optimistic</t>
  </si>
  <si>
    <t>batch_treatment_generic.conservative</t>
  </si>
  <si>
    <t>batch_treatment_generic.optimistic</t>
  </si>
  <si>
    <t>wash_purify_combo.conservative</t>
  </si>
  <si>
    <t>wash_purify_combo.optimistic</t>
  </si>
  <si>
    <t>ion_exchange_polishing</t>
  </si>
  <si>
    <t>recrystallization</t>
  </si>
  <si>
    <t>drying_packaging_generic.conservative</t>
  </si>
  <si>
    <t>drying_packaging_generic.optimistic</t>
  </si>
  <si>
    <t>drying_packaging_propane.conservative</t>
  </si>
  <si>
    <t>drying_packaging_propane.optimistic</t>
  </si>
  <si>
    <t>machine_block_type</t>
  </si>
  <si>
    <t>Extraction</t>
  </si>
  <si>
    <t>Communition / Beneficiation</t>
  </si>
  <si>
    <t>Thermal Conversion / Roasting</t>
  </si>
  <si>
    <t>Leaching / Dissolution</t>
  </si>
  <si>
    <t>Solid-liquid separation (Thickening, CCD, filtration)</t>
  </si>
  <si>
    <t>Primary Conditioning &amp; Neutralization</t>
  </si>
  <si>
    <t>Li Capture &amp; Separation</t>
  </si>
  <si>
    <t>Conversion to product</t>
  </si>
  <si>
    <t>Washing and Polishing</t>
  </si>
  <si>
    <t>Drying &amp; Finishing</t>
  </si>
  <si>
    <t>block_long_name</t>
  </si>
  <si>
    <t>Brine Pump-Well System</t>
  </si>
  <si>
    <t>Generic Evaporation Pond system</t>
  </si>
  <si>
    <t>Blasting Generic, conservative</t>
  </si>
  <si>
    <t>Blasting Generic, midpoint</t>
  </si>
  <si>
    <t>Blasting Generic, optimistic</t>
  </si>
  <si>
    <t>Excavation &amp; Loading Combo</t>
  </si>
  <si>
    <t>Crusher</t>
  </si>
  <si>
    <t>Attrition Scrubber</t>
  </si>
  <si>
    <t>Classifier</t>
  </si>
  <si>
    <t>Classifier + Flotation combo</t>
  </si>
  <si>
    <t>High Energy Grinding Mill</t>
  </si>
  <si>
    <t>Lepidolite sulfate roasting train (conditioning, drying, roasting, heat recovery, discharge to water leach)</t>
  </si>
  <si>
    <t>Acid Leach Circuit</t>
  </si>
  <si>
    <t>Water Leach Circuit</t>
  </si>
  <si>
    <t>Continuous Stirred Tank Reactor</t>
  </si>
  <si>
    <t>Solid-Liquid Separation Generic</t>
  </si>
  <si>
    <t>Thickener</t>
  </si>
  <si>
    <t>Multi-stage CCD + Leach Residue Thickening</t>
  </si>
  <si>
    <t>Mechanical Dewatering</t>
  </si>
  <si>
    <t>Two-Stage Neutralizing Circuit</t>
  </si>
  <si>
    <t>Impurity removal, neutralization, pH adjustment. Includes clarification / removal of solids</t>
  </si>
  <si>
    <t>Lime softening and hardness removal</t>
  </si>
  <si>
    <t>Solvent Extraction Generic</t>
  </si>
  <si>
    <t>Ion Exchange generic</t>
  </si>
  <si>
    <t>Adsorption-based DLE</t>
  </si>
  <si>
    <t>Precipitator</t>
  </si>
  <si>
    <t>Batch Treatment Generic</t>
  </si>
  <si>
    <t>Washing and Purification</t>
  </si>
  <si>
    <t>Boron Removal Circuit</t>
  </si>
  <si>
    <t>Drying &amp; packaging circuit</t>
  </si>
  <si>
    <t>Common processes this step is used in, other info</t>
  </si>
  <si>
    <t>Need to add utility usage + determine capex</t>
  </si>
  <si>
    <t>Need to update to encompass all blocks, not just excavator</t>
  </si>
  <si>
    <t>Need to aggregate across collected data &amp; EverBatt reporting</t>
  </si>
  <si>
    <t>Basis is wet cake at 80 wt% solids; train delivers a roasted calcine suitable for downstream water leach around 80°C; Dominant utility is thermal fuel for moisture removal + heating solids to roast temperature.</t>
  </si>
  <si>
    <t>Continuous, agitated leach of roasted calcine using water at ~80°C.</t>
  </si>
  <si>
    <t>Includes filter presses, centrifuges, vacuum filters, etc.</t>
  </si>
  <si>
    <t>Reference scale, as a rate for continuous, or as a quantity for batch</t>
  </si>
  <si>
    <t>Not used directly in calculation, but should match with units of step_basis</t>
  </si>
  <si>
    <t>L/h</t>
  </si>
  <si>
    <t>metric tonnes/h</t>
  </si>
  <si>
    <t>tonnes/cycle</t>
  </si>
  <si>
    <t>t/h</t>
  </si>
  <si>
    <t>m^3/h</t>
  </si>
  <si>
    <t>m3 lithium slurry being pressed</t>
  </si>
  <si>
    <t>L polished brine/h</t>
  </si>
  <si>
    <t>m3 Li2CO3 cake being washed/batch</t>
  </si>
  <si>
    <t>tonnes Li2CO3 cake being dried &amp; packed/h</t>
  </si>
  <si>
    <t>Name of the intermediate volume inputs are aggregated into and outputs produced from. Needs to align with step_basis defined in target step. Units should be in base_volume_units</t>
  </si>
  <si>
    <t>brine_evaporation_throughput</t>
  </si>
  <si>
    <t>neutralizing_throughput</t>
  </si>
  <si>
    <t>brine_liming_throughput</t>
  </si>
  <si>
    <t>polish_brine_throughput</t>
  </si>
  <si>
    <t>oversizing_factor</t>
  </si>
  <si>
    <t>Process volume ≠ design volume</t>
  </si>
  <si>
    <t>scaling_exponent_throughput</t>
  </si>
  <si>
    <t>Exponent for operations vis-a-vis process rate</t>
  </si>
  <si>
    <t>process_type</t>
  </si>
  <si>
    <t>continuous or batch</t>
  </si>
  <si>
    <t>batch</t>
  </si>
  <si>
    <t>continuous</t>
  </si>
  <si>
    <t>batch_cycle_time</t>
  </si>
  <si>
    <t>batch_cycle_time_unit</t>
  </si>
  <si>
    <t>hour</t>
  </si>
  <si>
    <t>unit</t>
  </si>
  <si>
    <t>h</t>
  </si>
  <si>
    <t>hr</t>
  </si>
  <si>
    <t>batch_setup_time</t>
  </si>
  <si>
    <t>batch_setup_time_unit</t>
  </si>
  <si>
    <t>n/a</t>
  </si>
  <si>
    <t>dedicated_line</t>
  </si>
  <si>
    <t>electricity_base_total</t>
  </si>
  <si>
    <t>Reference electricity use, for base volume</t>
  </si>
  <si>
    <t>electricity_base_total_unit</t>
  </si>
  <si>
    <t>kWh/h</t>
  </si>
  <si>
    <t>natural_gas_base_total</t>
  </si>
  <si>
    <t>Reference gas consumption</t>
  </si>
  <si>
    <t>natural_gas_base_total_unit</t>
  </si>
  <si>
    <t>MMBTU/h</t>
  </si>
  <si>
    <t>diesel_base_total</t>
  </si>
  <si>
    <t>Reference diesel usage</t>
  </si>
  <si>
    <t>diesel_base_total_unit</t>
  </si>
  <si>
    <t>propane_base_total</t>
  </si>
  <si>
    <t>Reference propane usage</t>
  </si>
  <si>
    <t>propane_base_total_unit</t>
  </si>
  <si>
    <t>cooling_water_base_total</t>
  </si>
  <si>
    <t>Reference cooling water</t>
  </si>
  <si>
    <t>cooling_water_base_total_unit</t>
  </si>
  <si>
    <t>m³/h</t>
  </si>
  <si>
    <t>m3/h</t>
  </si>
  <si>
    <t>steam_base_total</t>
  </si>
  <si>
    <t>Reference steam use</t>
  </si>
  <si>
    <t>steam_base_total_unit</t>
  </si>
  <si>
    <t>kg/h</t>
  </si>
  <si>
    <t>compressed_air_base_total</t>
  </si>
  <si>
    <t>Reference compressed air</t>
  </si>
  <si>
    <t>compressed_air_base_total_unit</t>
  </si>
  <si>
    <t>Nm³/h</t>
  </si>
  <si>
    <t>Nm3/h</t>
  </si>
  <si>
    <t>prim_equip_price_base</t>
  </si>
  <si>
    <t>Reference equipment capex</t>
  </si>
  <si>
    <t>prim_equip_price_base_unit</t>
  </si>
  <si>
    <t>2025USD</t>
  </si>
  <si>
    <t>prim_equip_scaling_exponent</t>
  </si>
  <si>
    <t>Capex scaling exponent (usually based off of the sixth-tenths rule, or similar)</t>
  </si>
  <si>
    <t>prim_equip_life</t>
  </si>
  <si>
    <t>Expected equipment life</t>
  </si>
  <si>
    <t>prim_equip_life_unit</t>
  </si>
  <si>
    <t>tooling_cost_base</t>
  </si>
  <si>
    <t>Reference tooling cost</t>
  </si>
  <si>
    <t>tooling_cost_base_unit</t>
  </si>
  <si>
    <t>Cost of tires/machine block/year</t>
  </si>
  <si>
    <t>tooling_scaling_exponent</t>
  </si>
  <si>
    <t>Scale exponent</t>
  </si>
  <si>
    <t>footprint_base</t>
  </si>
  <si>
    <t>Plot area incl. access</t>
  </si>
  <si>
    <t>footprint_base_unit</t>
  </si>
  <si>
    <t>m²</t>
  </si>
  <si>
    <t>footprint_scaling_exponent</t>
  </si>
  <si>
    <t>dedicated_labor</t>
  </si>
  <si>
    <t>labor_base</t>
  </si>
  <si>
    <t>Reference labor requirement</t>
  </si>
  <si>
    <t>labor_base_unit</t>
  </si>
  <si>
    <t>FTE</t>
  </si>
  <si>
    <t>labor_scaling_exponent</t>
  </si>
  <si>
    <t>Labor efficiency with scale (AusIMM)</t>
  </si>
  <si>
    <t>opex_fraction_of_capex</t>
  </si>
  <si>
    <t>Additional operating costs (e.g. maintenace), as function of capex</t>
  </si>
  <si>
    <t>maint_override</t>
  </si>
  <si>
    <t>Override default facility-level maintenance</t>
  </si>
  <si>
    <t>unplanned_downtime</t>
  </si>
  <si>
    <t>Fraction of entire facility uptime</t>
  </si>
  <si>
    <t>proc_avail_factor</t>
  </si>
  <si>
    <t>Uptime excluding planned outages</t>
  </si>
  <si>
    <t>scheduled_maintenance</t>
  </si>
  <si>
    <t>Scheduled maintenance, fraction of entire facility uptime</t>
  </si>
  <si>
    <t>material</t>
  </si>
  <si>
    <t>generic_reagent_delivery</t>
  </si>
  <si>
    <t>sulfur</t>
  </si>
  <si>
    <t>methanol</t>
  </si>
  <si>
    <t>raw_water</t>
  </si>
  <si>
    <t>notes / sources</t>
  </si>
  <si>
    <r>
      <rPr>
        <rFont val="Arial"/>
      </rPr>
      <t xml:space="preserve">From mg/L for brine concentration. Estimates from </t>
    </r>
    <r>
      <rPr>
        <rFont val="Arial"/>
        <color rgb="FF1155CC"/>
        <u/>
      </rPr>
      <t>https://www.accio.com/plp/cost-of-bulk-hydrated-lime</t>
    </r>
    <r>
      <rPr>
        <rFont val="Arial"/>
      </rPr>
      <t xml:space="preserve">, </t>
    </r>
    <r>
      <rPr>
        <rFont val="Arial"/>
        <color rgb="FF1155CC"/>
        <u/>
      </rPr>
      <t>https://www.made-in-china.com/products-search/hot-china-products/Lime_Chemical_Price.html</t>
    </r>
  </si>
  <si>
    <t>Rough guess</t>
  </si>
  <si>
    <t>Dominated by price of weak salt (e.g. NaCl)</t>
  </si>
  <si>
    <r>
      <rPr>
        <rFont val="Arial"/>
      </rPr>
      <t xml:space="preserve">From mg/L for brine concentration. Prices have varied quite a bit, but estimate to be about ~$USD300/ton </t>
    </r>
    <r>
      <rPr>
        <rFont val="Arial"/>
        <color rgb="FF1155CC"/>
        <u/>
      </rPr>
      <t>https://tradingeconomics.com/commodity/soda-ash</t>
    </r>
  </si>
  <si>
    <t>https://www.bluefieldresearch.com/ns/u-s-water-and-sewer-bill-has-increased-24-in-five-years-raising-affordability-concerns/</t>
  </si>
  <si>
    <t>From TLC Disclosure</t>
  </si>
  <si>
    <t>Heavily dependent on type of dispersant &amp; specific formulation, run sensitivity analysis</t>
  </si>
  <si>
    <t xml:space="preserve">Mix of NaOH and lime for impurity removal. Depends on pH balance / circuit </t>
  </si>
  <si>
    <t>Based on diatomaceous earth</t>
  </si>
  <si>
    <t>raw_cost</t>
  </si>
  <si>
    <t>raw_unit</t>
  </si>
  <si>
    <t>$/mt</t>
  </si>
  <si>
    <t>$/tonne</t>
  </si>
  <si>
    <t>cost</t>
  </si>
  <si>
    <t>cost_TLC</t>
  </si>
  <si>
    <t>cost_TLC_unit</t>
  </si>
  <si>
    <t>co2</t>
  </si>
  <si>
    <r>
      <rPr>
        <rFont val="Arial"/>
        <color theme="1"/>
      </rPr>
      <t xml:space="preserve">From GREET or </t>
    </r>
    <r>
      <rPr>
        <rFont val="Arial"/>
        <b/>
        <color theme="1"/>
      </rPr>
      <t>ecoInvent</t>
    </r>
    <r>
      <rPr>
        <rFont val="Arial"/>
        <color theme="1"/>
      </rPr>
      <t xml:space="preserve"> (3.8, via Roy et al. 2024) unless colored</t>
    </r>
  </si>
  <si>
    <t>co2_unit</t>
  </si>
  <si>
    <t>kg CO2e/kg</t>
  </si>
  <si>
    <t>kg CO2e/m^3</t>
  </si>
  <si>
    <t>kg CO2e/L</t>
  </si>
  <si>
    <t>water</t>
  </si>
  <si>
    <t>Block Category</t>
  </si>
  <si>
    <t>Machine / Segment</t>
  </si>
  <si>
    <t xml:space="preserve">Notes </t>
  </si>
  <si>
    <t>EB-Chem</t>
  </si>
  <si>
    <t>EB-SX</t>
  </si>
  <si>
    <t>EB-IX</t>
  </si>
  <si>
    <t>Spod-DMS-SA</t>
  </si>
  <si>
    <t>Spod-DMS-Float-SA</t>
  </si>
  <si>
    <t>Spod-DMS-Mag-SA</t>
  </si>
  <si>
    <t>Spod-DMS-Mag-Float</t>
  </si>
  <si>
    <t>Lep-SR</t>
  </si>
  <si>
    <t>Clay-DAL</t>
  </si>
  <si>
    <t>Clay-CAL</t>
  </si>
  <si>
    <t>Representative Projects, or other sources</t>
  </si>
  <si>
    <t>Salar de Atacama-SQM, Salar de Atacama-Albemarle, Tres Quebradas</t>
  </si>
  <si>
    <t>Cauchari-Olaroz, Salar de Olaroz, Sal de Vida, Hombre Muerto North</t>
  </si>
  <si>
    <t>Lanxess, Southwest Arkansas, Paradox, Clearwater Project, Tolillar + Chinese DLE plants</t>
  </si>
  <si>
    <t>Georgia Lake, PAK (Chemical Grade), Grota do Cirilo (Xuxa Plant), Mt Cattlin, James Bay, Greenbushes - Chemical Grade Plant, Rose Lithium-Tantalum, Shaakichiuwaanaan, Carolina Lithium, Keliber, Whabouchi</t>
  </si>
  <si>
    <t>Xiangyuan, Jianxiawo; Gao et al. 2023, Park et al. 2023, Yan et al. 2012</t>
  </si>
  <si>
    <t>Rhyolite Ridge, Tonopah Flats, Thacker Pass, Bonnie Claire, TLC</t>
  </si>
  <si>
    <t>Clayton Valley</t>
  </si>
  <si>
    <t>1. Feed Provisioning</t>
  </si>
  <si>
    <t>brine_pump</t>
  </si>
  <si>
    <t>●</t>
  </si>
  <si>
    <t>–</t>
  </si>
  <si>
    <t>evaporation_pond</t>
  </si>
  <si>
    <t>○</t>
  </si>
  <si>
    <t>blasting_generic</t>
  </si>
  <si>
    <t>excavation_loading_generic</t>
  </si>
  <si>
    <t>2. Comminution / Beneficiation</t>
  </si>
  <si>
    <t>crushing_cycle</t>
  </si>
  <si>
    <t>Includes auxiliaries, e.g. drives, liners, pumps, and controls.</t>
  </si>
  <si>
    <t>attrition_scrubber</t>
  </si>
  <si>
    <t>classifier_generic</t>
  </si>
  <si>
    <t>grinding_mill_generic</t>
  </si>
  <si>
    <t>high_energy_grinding_mill</t>
  </si>
  <si>
    <t>dms_circuit</t>
  </si>
  <si>
    <t>flotation</t>
  </si>
  <si>
    <t>magnetic_separation</t>
  </si>
  <si>
    <t>3. Thermal Conversion / Roasting</t>
  </si>
  <si>
    <t>Includes feed handling, burners, off-gas handling</t>
  </si>
  <si>
    <t>sulfate_lepidolite_roaster</t>
  </si>
  <si>
    <t>4. Leaching / Dissolution</t>
  </si>
  <si>
    <t>acid_leach_circuit</t>
  </si>
  <si>
    <t>chlori_alkali_leach_circuit</t>
  </si>
  <si>
    <t>water_leach_circuit</t>
  </si>
  <si>
    <t>5. Solid–Liquid Separation (SLS)</t>
  </si>
  <si>
    <t>clarifiers_settlers</t>
  </si>
  <si>
    <t>Includes filtering unit at end</t>
  </si>
  <si>
    <t>CCD_thickening_system</t>
  </si>
  <si>
    <t>mechanical_dewatering</t>
  </si>
  <si>
    <t>Includes filter presses, centrifuguues, vacuum filters, etc.</t>
  </si>
  <si>
    <t>6. Primary Conditioning / Neutralization</t>
  </si>
  <si>
    <t>lime_softening</t>
  </si>
  <si>
    <t>conditioning_neutralization</t>
  </si>
  <si>
    <t>staged_neutralization</t>
  </si>
  <si>
    <t>Impurity precipitation train, using neutralization to precipitate metals and form sludge. Includes filtering unit at end</t>
  </si>
  <si>
    <t>7. Li Capture / Separation</t>
  </si>
  <si>
    <t>8. Conversion to Product</t>
  </si>
  <si>
    <t>precipitator (carbonation/crystallization)</t>
  </si>
  <si>
    <t>batch_treatment_generic</t>
  </si>
  <si>
    <t>9. Washing / Polishing</t>
  </si>
  <si>
    <t>wash_purify_combo</t>
  </si>
  <si>
    <t>boron_removal_ix</t>
  </si>
  <si>
    <t>Model as a sub-representation from ix_generic</t>
  </si>
  <si>
    <t>recrystallization_unit</t>
  </si>
  <si>
    <t>10. Drying / Finishing</t>
  </si>
  <si>
    <t>drying_circuit</t>
  </si>
  <si>
    <t>product_packaging</t>
  </si>
  <si>
    <t>11. Residue / Disposal</t>
  </si>
  <si>
    <t>tailings_management_generic</t>
  </si>
  <si>
    <t>brine_reinjection</t>
  </si>
  <si>
    <t>12. Auxiliary</t>
  </si>
  <si>
    <t>sulfuric_acid_plant</t>
  </si>
  <si>
    <t>(blasting_generic)</t>
  </si>
  <si>
    <t>(attrition_scrubbing)</t>
  </si>
  <si>
    <t>DMS_generic</t>
  </si>
  <si>
    <t>Flotation_generic</t>
  </si>
  <si>
    <t>Magnetic_sep_generic</t>
  </si>
  <si>
    <t>ion_exchange</t>
  </si>
  <si>
    <t>pre-treatment</t>
  </si>
  <si>
    <t>dle-adsorption</t>
  </si>
  <si>
    <t>(boron_removal_ix)</t>
  </si>
  <si>
    <t>reinjection</t>
  </si>
  <si>
    <t xml:space="preserve">32% w/w HCl at 20ºC </t>
  </si>
  <si>
    <t>kg/L</t>
  </si>
  <si>
    <t>1 m3 water to tonnes</t>
  </si>
  <si>
    <t>tons per m3</t>
  </si>
  <si>
    <t>Nm3 NG to MMBTU</t>
  </si>
  <si>
    <t>Normal cubic meters of Natural Gas to MMBTU</t>
  </si>
  <si>
    <t>https://m.convert-me.com/en/convert/energy/cmsgas/cmsgas-to-mymmbtu.html?u=cmsgas&amp;v=1</t>
  </si>
  <si>
    <t>m3 LNG to MMBTU</t>
  </si>
  <si>
    <t>Cubic meters of Liquid Natural Gas to MMBTU</t>
  </si>
  <si>
    <t>https://www.cetinerengineering.com/conversiontables.html</t>
  </si>
  <si>
    <t>MJ to MWh</t>
  </si>
  <si>
    <t>LiOH(H2O) to Li2CO3</t>
  </si>
  <si>
    <t>Chemical conversion</t>
  </si>
  <si>
    <t>Li to Li2CO3</t>
  </si>
  <si>
    <t>Salar de Atacama-SQM (Lithium Evaporation, Solvent Extraction with Boron)</t>
  </si>
  <si>
    <t>Drying &amp; Packaging (3.4)</t>
  </si>
  <si>
    <t>Washing &amp; Purification (3.3)</t>
  </si>
  <si>
    <t>Thickening + Dewatering (3.2)</t>
  </si>
  <si>
    <t>Soda Ash Precipitation (3.1)</t>
  </si>
  <si>
    <t>Solvent Extraction (2.3)</t>
  </si>
  <si>
    <t>Boron Removal (2.2)</t>
  </si>
  <si>
    <t>CSTR Liming (2.1)</t>
  </si>
  <si>
    <t>Transport</t>
  </si>
  <si>
    <t>Evaporation Ponds (1.2)</t>
  </si>
  <si>
    <t>Brine pumping (1.1)</t>
  </si>
  <si>
    <t>Output Volume</t>
  </si>
  <si>
    <t>Output Unit</t>
  </si>
  <si>
    <t>tonnes LC</t>
  </si>
  <si>
    <t>m3 washed lithium cake</t>
  </si>
  <si>
    <t>m3 unwashed lithium cake</t>
  </si>
  <si>
    <t>m3 lithium slurry</t>
  </si>
  <si>
    <t>Process-&gt;Output Conversion Factor</t>
  </si>
  <si>
    <t>Process Basis-&gt; Output Basis Ratio</t>
  </si>
  <si>
    <t>Process Volume</t>
  </si>
  <si>
    <t>Process Unit</t>
  </si>
  <si>
    <t>tonnes Li2CO3 cake being packed</t>
  </si>
  <si>
    <t>m3 Li2CO3 cake being washed</t>
  </si>
  <si>
    <t>L de-boronated concentrated brine</t>
  </si>
  <si>
    <t>L limed concentrated brine</t>
  </si>
  <si>
    <t>L concentrated brine</t>
  </si>
  <si>
    <t>Input-&gt;Process Conversion Factor</t>
  </si>
  <si>
    <t>Input Volume</t>
  </si>
  <si>
    <t>Input Unit</t>
  </si>
  <si>
    <t>70% Li2CO3 cake (m3)</t>
  </si>
  <si>
    <t>m3 slurry</t>
  </si>
  <si>
    <t>L brine post boron</t>
  </si>
  <si>
    <t>L brine post lime</t>
  </si>
  <si>
    <t>L concentrated lithium brine</t>
  </si>
  <si>
    <t>Currently reported step values</t>
  </si>
  <si>
    <t>Match? (within 1% error)</t>
  </si>
  <si>
    <t>Li quantity (within step)</t>
  </si>
  <si>
    <t>Li quantity units</t>
  </si>
  <si>
    <t>wt% Li2CO3</t>
  </si>
  <si>
    <t>mg/L</t>
  </si>
  <si>
    <t>Density (if relevant)</t>
  </si>
  <si>
    <t>Li amount</t>
  </si>
  <si>
    <t>Calculated Yield</t>
  </si>
  <si>
    <t>Silver Peak (Lithium Evaporation, Batch Chemical Purification)</t>
  </si>
  <si>
    <t>Separation (2.2)</t>
  </si>
  <si>
    <t>Batch Treatment (2.1)</t>
  </si>
  <si>
    <t>Evaporation Ponds (2)</t>
  </si>
  <si>
    <t>Brine pumping (1)</t>
  </si>
  <si>
    <t>L brine_post_ lime</t>
  </si>
  <si>
    <t>L brine pumped</t>
  </si>
  <si>
    <t>L treated_slurry_throughput</t>
  </si>
  <si>
    <t>L concentrated_brine_throughput</t>
  </si>
  <si>
    <t>m^2</t>
  </si>
  <si>
    <t>L concentrated _lithium_brine</t>
  </si>
  <si>
    <t>Currently reported input values</t>
  </si>
  <si>
    <t>Output constituent conversion factor</t>
  </si>
  <si>
    <t>Output Li PPM</t>
  </si>
  <si>
    <t>Step constituent conversion factor</t>
  </si>
  <si>
    <t>Li quantity units (within step)</t>
  </si>
  <si>
    <t>ppm mg Li/kg Li2CO3</t>
  </si>
  <si>
    <t>ppm mg Li/kg brine</t>
  </si>
  <si>
    <t>Output Li amount</t>
  </si>
  <si>
    <t>Step Li amount</t>
  </si>
  <si>
    <t>Lepidolite (Blast Mining, Sulfate Roast+Water Leach)</t>
  </si>
  <si>
    <t>Clarification (2.8)</t>
  </si>
  <si>
    <t>Impurity Removal and Neutralization (2.7)</t>
  </si>
  <si>
    <t>Water Leaching (2.6)</t>
  </si>
  <si>
    <t>Sulfate Roasting (2.5)</t>
  </si>
  <si>
    <t>Dewatering (2.4)</t>
  </si>
  <si>
    <t>Grinding (2.3)</t>
  </si>
  <si>
    <t>Classification &amp; Flotation (2.2)</t>
  </si>
  <si>
    <t>Crushing (2.1)</t>
  </si>
  <si>
    <t>Excavation/Loading (1.2)</t>
  </si>
  <si>
    <t>Blasting (1.1)</t>
  </si>
  <si>
    <t>m^3 20% solid slurry</t>
  </si>
  <si>
    <t>m^3 slurry (60% density)</t>
  </si>
  <si>
    <t>m^3 slurry</t>
  </si>
  <si>
    <t>m^3 loose rock</t>
  </si>
  <si>
    <t>tonnes cake to be dried/ roasted/cooled</t>
  </si>
  <si>
    <t>m^3 ground slurry</t>
  </si>
  <si>
    <t>ppm Li/Li2CO3</t>
  </si>
  <si>
    <t>ppm Li/lep. concentrate</t>
  </si>
  <si>
    <t>ppm Li/lep. ore</t>
  </si>
</sst>
</file>

<file path=xl/styles.xml><?xml version="1.0" encoding="utf-8"?>
<styleSheet xmlns="http://schemas.openxmlformats.org/spreadsheetml/2006/main" xmlns:x14ac="http://schemas.microsoft.com/office/spreadsheetml/2009/9/ac" xmlns:mc="http://schemas.openxmlformats.org/markup-compatibility/2006">
  <numFmts count="17">
    <numFmt numFmtId="164" formatCode="#,##0.0"/>
    <numFmt numFmtId="165" formatCode="#,##0.000"/>
    <numFmt numFmtId="166" formatCode="0.0000"/>
    <numFmt numFmtId="167" formatCode="0.000"/>
    <numFmt numFmtId="168" formatCode="0.000000000"/>
    <numFmt numFmtId="169" formatCode="0.0000000"/>
    <numFmt numFmtId="170" formatCode="0.00000"/>
    <numFmt numFmtId="171" formatCode="0.0"/>
    <numFmt numFmtId="172" formatCode="0.000E+00"/>
    <numFmt numFmtId="173" formatCode="&quot;$&quot;#,##0.000000"/>
    <numFmt numFmtId="174" formatCode="&quot;$&quot;#,##0.00"/>
    <numFmt numFmtId="175" formatCode="&quot;$&quot;#,##0.000"/>
    <numFmt numFmtId="176" formatCode="&quot;$&quot;#,##0"/>
    <numFmt numFmtId="177" formatCode="#,##0.000000000"/>
    <numFmt numFmtId="178" formatCode="mmm d"/>
    <numFmt numFmtId="179" formatCode="#,##0.0000"/>
    <numFmt numFmtId="180" formatCode="#,##0.00000"/>
  </numFmts>
  <fonts count="13">
    <font>
      <sz val="10.0"/>
      <color rgb="FF000000"/>
      <name val="Arial"/>
      <scheme val="minor"/>
    </font>
    <font>
      <color theme="1"/>
      <name val="Arial"/>
    </font>
    <font>
      <color theme="1"/>
      <name val="Arial"/>
      <scheme val="minor"/>
    </font>
    <font>
      <color rgb="FFB7B7B7"/>
      <name val="Arial"/>
    </font>
    <font>
      <color rgb="FFB7B7B7"/>
      <name val="Arial"/>
      <scheme val="minor"/>
    </font>
    <font>
      <b/>
      <color theme="1"/>
      <name val="Arial"/>
      <scheme val="minor"/>
    </font>
    <font>
      <b/>
      <color rgb="FFB7B7B7"/>
      <name val="Arial"/>
      <scheme val="minor"/>
    </font>
    <font>
      <b/>
      <color theme="1"/>
      <name val="Arial"/>
    </font>
    <font>
      <u/>
      <color rgb="FF0000FF"/>
    </font>
    <font/>
    <font>
      <u/>
      <color rgb="FF0000FF"/>
      <name val="Arial"/>
    </font>
    <font>
      <u/>
      <color rgb="FF1155CC"/>
      <name val="Arial"/>
    </font>
    <font>
      <color rgb="FF000000"/>
      <name val="Arial"/>
      <scheme val="minor"/>
    </font>
  </fonts>
  <fills count="7">
    <fill>
      <patternFill patternType="none"/>
    </fill>
    <fill>
      <patternFill patternType="lightGray"/>
    </fill>
    <fill>
      <patternFill patternType="solid">
        <fgColor rgb="FF93C47D"/>
        <bgColor rgb="FF93C47D"/>
      </patternFill>
    </fill>
    <fill>
      <patternFill patternType="solid">
        <fgColor rgb="FFF6B26B"/>
        <bgColor rgb="FFF6B26B"/>
      </patternFill>
    </fill>
    <fill>
      <patternFill patternType="solid">
        <fgColor rgb="FFFF0000"/>
        <bgColor rgb="FFFF0000"/>
      </patternFill>
    </fill>
    <fill>
      <patternFill patternType="solid">
        <fgColor rgb="FFF9CB9C"/>
        <bgColor rgb="FFF9CB9C"/>
      </patternFill>
    </fill>
    <fill>
      <patternFill patternType="solid">
        <fgColor rgb="FF000000"/>
        <bgColor rgb="FF000000"/>
      </patternFill>
    </fill>
  </fills>
  <borders count="28">
    <border/>
    <border>
      <right style="thin">
        <color rgb="FF000000"/>
      </right>
    </border>
    <border>
      <left style="thin">
        <color rgb="FF000000"/>
      </left>
    </border>
    <border>
      <bottom style="thin">
        <color rgb="FF000000"/>
      </bottom>
    </border>
    <border>
      <right style="thin">
        <color rgb="FF000000"/>
      </right>
      <bottom style="thin">
        <color rgb="FF000000"/>
      </bottom>
    </border>
    <border>
      <left style="thin">
        <color rgb="FF000000"/>
      </left>
      <bottom style="thin">
        <color rgb="FF000000"/>
      </bottom>
    </border>
    <border>
      <top style="thin">
        <color rgb="FF000000"/>
      </top>
    </border>
    <border>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top style="thin">
        <color rgb="FF000000"/>
      </top>
      <bottom style="thin">
        <color rgb="FF000000"/>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border>
    <border>
      <right style="medium">
        <color rgb="FF000000"/>
      </right>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ttom style="thin">
        <color rgb="FF000000"/>
      </bottom>
    </border>
    <border>
      <right style="medium">
        <color rgb="FF000000"/>
      </right>
      <bottom style="thin">
        <color rgb="FF000000"/>
      </bottom>
    </border>
    <border>
      <left style="medium">
        <color rgb="FF000000"/>
      </left>
      <right style="thin">
        <color rgb="FF000000"/>
      </right>
      <bottom style="medium">
        <color rgb="FF000000"/>
      </bottom>
    </border>
    <border>
      <bottom style="medium">
        <color rgb="FF000000"/>
      </bottom>
    </border>
    <border>
      <right style="medium">
        <color rgb="FF000000"/>
      </right>
      <bottom style="medium">
        <color rgb="FF000000"/>
      </bottom>
    </border>
  </borders>
  <cellStyleXfs count="1">
    <xf borderId="0" fillId="0" fontId="0" numFmtId="0" applyAlignment="1" applyFont="1"/>
  </cellStyleXfs>
  <cellXfs count="506">
    <xf borderId="0" fillId="0" fontId="0" numFmtId="0" xfId="0" applyAlignment="1" applyFont="1">
      <alignment readingOrder="0" shrinkToFit="0" vertical="bottom" wrapText="0"/>
    </xf>
    <xf borderId="0" fillId="2" fontId="1" numFmtId="3" xfId="0" applyAlignment="1" applyFill="1" applyFont="1" applyNumberFormat="1">
      <alignment horizontal="left" readingOrder="0" vertical="bottom"/>
    </xf>
    <xf borderId="0" fillId="0" fontId="2" numFmtId="0" xfId="0" applyAlignment="1" applyFont="1">
      <alignment readingOrder="0"/>
    </xf>
    <xf borderId="0" fillId="3" fontId="2" numFmtId="3" xfId="0" applyAlignment="1" applyFill="1" applyFont="1" applyNumberFormat="1">
      <alignment readingOrder="0"/>
    </xf>
    <xf borderId="0" fillId="4" fontId="2" numFmtId="3" xfId="0" applyAlignment="1" applyFill="1" applyFont="1" applyNumberFormat="1">
      <alignment horizontal="left" readingOrder="0"/>
    </xf>
    <xf borderId="0" fillId="0" fontId="2" numFmtId="0" xfId="0" applyAlignment="1" applyFont="1">
      <alignment readingOrder="0" shrinkToFit="0" wrapText="0"/>
    </xf>
    <xf borderId="0" fillId="0" fontId="2" numFmtId="0" xfId="0" applyAlignment="1" applyFont="1">
      <alignment horizontal="left" readingOrder="0" shrinkToFit="0" wrapText="0"/>
    </xf>
    <xf borderId="1" fillId="0" fontId="2" numFmtId="0" xfId="0" applyAlignment="1" applyBorder="1" applyFont="1">
      <alignment readingOrder="0" shrinkToFit="0" wrapText="0"/>
    </xf>
    <xf borderId="2" fillId="0" fontId="2" numFmtId="0" xfId="0" applyAlignment="1" applyBorder="1" applyFont="1">
      <alignment readingOrder="0" shrinkToFit="0" wrapText="0"/>
    </xf>
    <xf borderId="2" fillId="0" fontId="3" numFmtId="0" xfId="0" applyAlignment="1" applyBorder="1" applyFont="1">
      <alignment shrinkToFit="0" vertical="bottom"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3" numFmtId="0" xfId="0" applyAlignment="1" applyFont="1">
      <alignment readingOrder="0" shrinkToFit="0" vertical="bottom" wrapText="0"/>
    </xf>
    <xf borderId="1" fillId="0" fontId="1" numFmtId="0" xfId="0" applyAlignment="1" applyBorder="1" applyFont="1">
      <alignment readingOrder="0" shrinkToFit="0" vertical="bottom" wrapText="0"/>
    </xf>
    <xf borderId="0" fillId="0" fontId="2" numFmtId="3" xfId="0" applyAlignment="1" applyFont="1" applyNumberFormat="1">
      <alignment horizontal="left" readingOrder="0" shrinkToFit="0" wrapText="0"/>
    </xf>
    <xf borderId="0" fillId="0" fontId="2" numFmtId="3" xfId="0" applyAlignment="1" applyFont="1" applyNumberFormat="1">
      <alignment readingOrder="0" shrinkToFit="0" wrapText="0"/>
    </xf>
    <xf borderId="1" fillId="0" fontId="2" numFmtId="3" xfId="0" applyAlignment="1" applyBorder="1" applyFont="1" applyNumberFormat="1">
      <alignment readingOrder="0" shrinkToFit="0" wrapText="0"/>
    </xf>
    <xf borderId="2" fillId="0" fontId="2" numFmtId="3" xfId="0" applyAlignment="1" applyBorder="1" applyFont="1" applyNumberFormat="1">
      <alignment readingOrder="0" shrinkToFit="0" wrapText="0"/>
    </xf>
    <xf borderId="0" fillId="0" fontId="2" numFmtId="1" xfId="0" applyAlignment="1" applyFont="1" applyNumberFormat="1">
      <alignment readingOrder="0" shrinkToFit="0" wrapText="0"/>
    </xf>
    <xf borderId="2" fillId="0" fontId="2" numFmtId="0" xfId="0" applyAlignment="1" applyBorder="1" applyFont="1">
      <alignment shrinkToFit="0" wrapText="0"/>
    </xf>
    <xf borderId="0" fillId="0" fontId="2" numFmtId="0" xfId="0" applyAlignment="1" applyFont="1">
      <alignment shrinkToFit="0" wrapText="0"/>
    </xf>
    <xf borderId="1" fillId="0" fontId="2" numFmtId="0" xfId="0" applyAlignment="1" applyBorder="1" applyFont="1">
      <alignment shrinkToFit="0" wrapText="0"/>
    </xf>
    <xf borderId="2" fillId="0" fontId="4" numFmtId="0" xfId="0" applyAlignment="1" applyBorder="1" applyFont="1">
      <alignment shrinkToFit="0" wrapText="0"/>
    </xf>
    <xf borderId="0" fillId="0" fontId="4" numFmtId="0" xfId="0" applyAlignment="1" applyFont="1">
      <alignment readingOrder="0" shrinkToFit="0" wrapText="0"/>
    </xf>
    <xf borderId="0" fillId="0" fontId="2" numFmtId="0" xfId="0" applyAlignment="1" applyFont="1">
      <alignment readingOrder="0" shrinkToFit="0" wrapText="0"/>
    </xf>
    <xf borderId="1" fillId="4" fontId="2" numFmtId="3" xfId="0" applyAlignment="1" applyBorder="1" applyFont="1" applyNumberFormat="1">
      <alignment readingOrder="0" shrinkToFit="0" wrapText="0"/>
    </xf>
    <xf borderId="2" fillId="0" fontId="3" numFmtId="0" xfId="0" applyAlignment="1" applyBorder="1" applyFont="1">
      <alignment readingOrder="0" shrinkToFit="0" vertical="bottom" wrapText="0"/>
    </xf>
    <xf borderId="2" fillId="0" fontId="4" numFmtId="3" xfId="0" applyAlignment="1" applyBorder="1" applyFont="1" applyNumberFormat="1">
      <alignment readingOrder="0" shrinkToFit="0" wrapText="0"/>
    </xf>
    <xf borderId="0" fillId="0" fontId="4" numFmtId="3" xfId="0" applyAlignment="1" applyFont="1" applyNumberFormat="1">
      <alignment readingOrder="0" shrinkToFit="0" wrapText="0"/>
    </xf>
    <xf borderId="0" fillId="0" fontId="1" numFmtId="3" xfId="0" applyAlignment="1" applyFont="1" applyNumberFormat="1">
      <alignment horizontal="left" readingOrder="0" shrinkToFit="0" vertical="bottom" wrapText="0"/>
    </xf>
    <xf borderId="0" fillId="0" fontId="1" numFmtId="3" xfId="0" applyAlignment="1" applyFont="1" applyNumberFormat="1">
      <alignment horizontal="right" readingOrder="0" shrinkToFit="0" vertical="bottom" wrapText="0"/>
    </xf>
    <xf borderId="0" fillId="0" fontId="2" numFmtId="3" xfId="0" applyAlignment="1" applyFont="1" applyNumberFormat="1">
      <alignment readingOrder="0" shrinkToFit="0" wrapText="0"/>
    </xf>
    <xf borderId="1" fillId="0" fontId="2" numFmtId="3" xfId="0" applyAlignment="1" applyBorder="1" applyFont="1" applyNumberFormat="1">
      <alignment readingOrder="0" shrinkToFit="0" wrapText="0"/>
    </xf>
    <xf borderId="2" fillId="0" fontId="2" numFmtId="3" xfId="0" applyAlignment="1" applyBorder="1" applyFont="1" applyNumberFormat="1">
      <alignment readingOrder="0" shrinkToFit="0" wrapText="0"/>
    </xf>
    <xf borderId="2" fillId="0" fontId="2" numFmtId="164" xfId="0" applyAlignment="1" applyBorder="1" applyFont="1" applyNumberFormat="1">
      <alignment readingOrder="0" shrinkToFit="0" wrapText="0"/>
    </xf>
    <xf borderId="0" fillId="0" fontId="2" numFmtId="4" xfId="0" applyAlignment="1" applyFont="1" applyNumberFormat="1">
      <alignment readingOrder="0" shrinkToFit="0" wrapText="0"/>
    </xf>
    <xf borderId="2" fillId="0" fontId="4" numFmtId="3" xfId="0" applyAlignment="1" applyBorder="1" applyFont="1" applyNumberFormat="1">
      <alignment readingOrder="0" shrinkToFit="0" wrapText="0"/>
    </xf>
    <xf borderId="0" fillId="0" fontId="4" numFmtId="3" xfId="0" applyAlignment="1" applyFont="1" applyNumberFormat="1">
      <alignment readingOrder="0" shrinkToFit="0" wrapText="0"/>
    </xf>
    <xf borderId="2" fillId="0" fontId="2" numFmtId="3" xfId="0" applyAlignment="1" applyBorder="1" applyFont="1" applyNumberFormat="1">
      <alignment shrinkToFit="0" wrapText="0"/>
    </xf>
    <xf borderId="0" fillId="0" fontId="2" numFmtId="3" xfId="0" applyAlignment="1" applyFont="1" applyNumberFormat="1">
      <alignment shrinkToFit="0" wrapText="0"/>
    </xf>
    <xf borderId="0" fillId="0" fontId="1" numFmtId="3" xfId="0" applyAlignment="1" applyFont="1" applyNumberFormat="1">
      <alignment horizontal="left" readingOrder="0" shrinkToFit="0" vertical="bottom" wrapText="0"/>
    </xf>
    <xf borderId="1" fillId="0" fontId="1" numFmtId="3" xfId="0" applyAlignment="1" applyBorder="1" applyFont="1" applyNumberFormat="1">
      <alignment horizontal="left" readingOrder="0" shrinkToFit="0" vertical="bottom" wrapText="0"/>
    </xf>
    <xf borderId="2" fillId="0" fontId="2" numFmtId="0" xfId="0" applyAlignment="1" applyBorder="1" applyFont="1">
      <alignment horizontal="left" shrinkToFit="0" wrapText="0"/>
    </xf>
    <xf borderId="0" fillId="0" fontId="2" numFmtId="0" xfId="0" applyAlignment="1" applyFont="1">
      <alignment horizontal="left" shrinkToFit="0" wrapText="0"/>
    </xf>
    <xf borderId="1" fillId="0" fontId="2" numFmtId="0" xfId="0" applyAlignment="1" applyBorder="1" applyFont="1">
      <alignment horizontal="left" readingOrder="0" shrinkToFit="0" wrapText="0"/>
    </xf>
    <xf borderId="1" fillId="0" fontId="2" numFmtId="0" xfId="0" applyAlignment="1" applyBorder="1" applyFont="1">
      <alignment horizontal="left" shrinkToFit="0" wrapText="0"/>
    </xf>
    <xf borderId="0" fillId="0" fontId="3" numFmtId="0" xfId="0" applyAlignment="1" applyFont="1">
      <alignment horizontal="left" readingOrder="0" shrinkToFit="0" vertical="bottom" wrapText="0"/>
    </xf>
    <xf borderId="0" fillId="0" fontId="4" numFmtId="0" xfId="0" applyAlignment="1" applyFont="1">
      <alignment horizontal="left" readingOrder="0" shrinkToFit="0" wrapText="0"/>
    </xf>
    <xf borderId="2" fillId="0" fontId="2" numFmtId="0" xfId="0" applyAlignment="1" applyBorder="1" applyFont="1">
      <alignment horizontal="left" readingOrder="0" shrinkToFit="0" wrapText="0"/>
    </xf>
    <xf borderId="0" fillId="0" fontId="2" numFmtId="3" xfId="0" applyAlignment="1" applyFont="1" applyNumberFormat="1">
      <alignment horizontal="left" readingOrder="0" shrinkToFit="0" wrapText="0"/>
    </xf>
    <xf borderId="0" fillId="3" fontId="1" numFmtId="3" xfId="0" applyAlignment="1" applyFont="1" applyNumberFormat="1">
      <alignment horizontal="left" readingOrder="0" shrinkToFit="0" vertical="bottom" wrapText="0"/>
    </xf>
    <xf borderId="1" fillId="2" fontId="1" numFmtId="3" xfId="0" applyAlignment="1" applyBorder="1" applyFont="1" applyNumberFormat="1">
      <alignment horizontal="left" readingOrder="0" shrinkToFit="0" vertical="bottom" wrapText="0"/>
    </xf>
    <xf borderId="2" fillId="2" fontId="1" numFmtId="3" xfId="0" applyAlignment="1" applyBorder="1" applyFont="1" applyNumberFormat="1">
      <alignment horizontal="left" readingOrder="0" shrinkToFit="0" vertical="bottom" wrapText="0"/>
    </xf>
    <xf borderId="0" fillId="2" fontId="1" numFmtId="3" xfId="0" applyAlignment="1" applyFont="1" applyNumberFormat="1">
      <alignment horizontal="left" readingOrder="0" shrinkToFit="0" vertical="bottom" wrapText="0"/>
    </xf>
    <xf borderId="0" fillId="0" fontId="2" numFmtId="3" xfId="0" applyAlignment="1" applyFont="1" applyNumberFormat="1">
      <alignment horizontal="left" shrinkToFit="0" wrapText="0"/>
    </xf>
    <xf borderId="1" fillId="0" fontId="2" numFmtId="3" xfId="0" applyAlignment="1" applyBorder="1" applyFont="1" applyNumberFormat="1">
      <alignment horizontal="left" readingOrder="0" shrinkToFit="0" wrapText="0"/>
    </xf>
    <xf borderId="2" fillId="0" fontId="2" numFmtId="3" xfId="0" applyAlignment="1" applyBorder="1" applyFont="1" applyNumberFormat="1">
      <alignment horizontal="left" shrinkToFit="0" wrapText="0"/>
    </xf>
    <xf borderId="1" fillId="0" fontId="2" numFmtId="3" xfId="0" applyAlignment="1" applyBorder="1" applyFont="1" applyNumberFormat="1">
      <alignment horizontal="left" shrinkToFit="0" wrapText="0"/>
    </xf>
    <xf borderId="2" fillId="2" fontId="4" numFmtId="3" xfId="0" applyAlignment="1" applyBorder="1" applyFont="1" applyNumberFormat="1">
      <alignment horizontal="left" readingOrder="0" shrinkToFit="0" wrapText="0"/>
    </xf>
    <xf borderId="0" fillId="2" fontId="2" numFmtId="3" xfId="0" applyAlignment="1" applyFont="1" applyNumberFormat="1">
      <alignment horizontal="left" readingOrder="0" shrinkToFit="0" wrapText="0"/>
    </xf>
    <xf borderId="0" fillId="2" fontId="4" numFmtId="3" xfId="0" applyAlignment="1" applyFont="1" applyNumberFormat="1">
      <alignment horizontal="left" readingOrder="0" shrinkToFit="0" wrapText="0"/>
    </xf>
    <xf borderId="1" fillId="2" fontId="2" numFmtId="3" xfId="0" applyAlignment="1" applyBorder="1" applyFont="1" applyNumberFormat="1">
      <alignment horizontal="left" readingOrder="0" shrinkToFit="0" wrapText="0"/>
    </xf>
    <xf borderId="0" fillId="2" fontId="2" numFmtId="0" xfId="0" applyAlignment="1" applyFont="1">
      <alignment readingOrder="0"/>
    </xf>
    <xf borderId="0" fillId="3" fontId="1" numFmtId="3" xfId="0" applyAlignment="1" applyFont="1" applyNumberFormat="1">
      <alignment horizontal="right" readingOrder="0" shrinkToFit="0" vertical="bottom" wrapText="0"/>
    </xf>
    <xf borderId="1" fillId="0" fontId="1" numFmtId="3" xfId="0" applyAlignment="1" applyBorder="1" applyFont="1" applyNumberFormat="1">
      <alignment horizontal="right" readingOrder="0" shrinkToFit="0" vertical="bottom" wrapText="0"/>
    </xf>
    <xf borderId="2" fillId="0" fontId="4" numFmtId="0" xfId="0" applyAlignment="1" applyBorder="1" applyFont="1">
      <alignment readingOrder="0" shrinkToFit="0" wrapText="0"/>
    </xf>
    <xf borderId="0" fillId="0" fontId="1" numFmtId="4" xfId="0" applyAlignment="1" applyFont="1" applyNumberFormat="1">
      <alignment horizontal="left" shrinkToFit="0" vertical="bottom" wrapText="0"/>
    </xf>
    <xf borderId="0" fillId="0" fontId="1" numFmtId="4" xfId="0" applyAlignment="1" applyFont="1" applyNumberFormat="1">
      <alignment horizontal="right" shrinkToFit="0" vertical="bottom" wrapText="0"/>
    </xf>
    <xf borderId="1" fillId="3" fontId="2" numFmtId="0" xfId="0" applyAlignment="1" applyBorder="1" applyFont="1">
      <alignment readingOrder="0" shrinkToFit="0" wrapText="0"/>
    </xf>
    <xf borderId="0" fillId="3" fontId="2" numFmtId="0" xfId="0" applyAlignment="1" applyFont="1">
      <alignment readingOrder="0" shrinkToFit="0" wrapText="0"/>
    </xf>
    <xf borderId="0" fillId="0" fontId="4" numFmtId="0" xfId="0" applyAlignment="1" applyFont="1">
      <alignment shrinkToFit="0" wrapText="0"/>
    </xf>
    <xf borderId="0" fillId="2" fontId="2" numFmtId="0" xfId="0" applyAlignment="1" applyFont="1">
      <alignment readingOrder="0" shrinkToFit="0" wrapText="0"/>
    </xf>
    <xf borderId="0" fillId="0" fontId="1" numFmtId="4" xfId="0" applyAlignment="1" applyFont="1" applyNumberFormat="1">
      <alignment horizontal="left" readingOrder="0" shrinkToFit="0" vertical="bottom" wrapText="0"/>
    </xf>
    <xf borderId="0" fillId="0" fontId="1" numFmtId="4" xfId="0" applyAlignment="1" applyFont="1" applyNumberFormat="1">
      <alignment horizontal="right" readingOrder="0" shrinkToFit="0" vertical="bottom" wrapText="0"/>
    </xf>
    <xf borderId="1" fillId="0" fontId="1" numFmtId="4" xfId="0" applyAlignment="1" applyBorder="1" applyFont="1" applyNumberFormat="1">
      <alignment horizontal="right" readingOrder="0" shrinkToFit="0" vertical="bottom" wrapText="0"/>
    </xf>
    <xf borderId="2" fillId="0" fontId="1" numFmtId="4" xfId="0" applyAlignment="1" applyBorder="1" applyFont="1" applyNumberFormat="1">
      <alignment horizontal="right" readingOrder="0" shrinkToFit="0" vertical="bottom" wrapText="0"/>
    </xf>
    <xf borderId="2" fillId="0" fontId="2" numFmtId="4" xfId="0" applyAlignment="1" applyBorder="1" applyFont="1" applyNumberFormat="1">
      <alignment horizontal="right" readingOrder="0" shrinkToFit="0" wrapText="0"/>
    </xf>
    <xf borderId="0" fillId="0" fontId="2" numFmtId="4" xfId="0" applyAlignment="1" applyFont="1" applyNumberFormat="1">
      <alignment horizontal="right" readingOrder="0" shrinkToFit="0" wrapText="0"/>
    </xf>
    <xf borderId="1" fillId="0" fontId="2" numFmtId="4" xfId="0" applyAlignment="1" applyBorder="1" applyFont="1" applyNumberFormat="1">
      <alignment horizontal="right" readingOrder="0" shrinkToFit="0" wrapText="0"/>
    </xf>
    <xf borderId="2" fillId="0" fontId="4" numFmtId="4" xfId="0" applyAlignment="1" applyBorder="1" applyFont="1" applyNumberFormat="1">
      <alignment horizontal="right" readingOrder="0" shrinkToFit="0" wrapText="0"/>
    </xf>
    <xf borderId="0" fillId="0" fontId="4" numFmtId="4" xfId="0" applyAlignment="1" applyFont="1" applyNumberFormat="1">
      <alignment horizontal="right" readingOrder="0" shrinkToFit="0" wrapText="0"/>
    </xf>
    <xf borderId="2" fillId="0" fontId="4" numFmtId="0" xfId="0" applyAlignment="1" applyBorder="1" applyFont="1">
      <alignment horizontal="left" readingOrder="0" shrinkToFit="0" wrapText="0"/>
    </xf>
    <xf borderId="0" fillId="0" fontId="1" numFmtId="0" xfId="0" applyAlignment="1" applyFont="1">
      <alignment horizontal="left" readingOrder="0" shrinkToFit="0" vertical="bottom" wrapText="0"/>
    </xf>
    <xf borderId="0" fillId="4" fontId="2" numFmtId="3" xfId="0" applyAlignment="1" applyFont="1" applyNumberFormat="1">
      <alignment horizontal="left" readingOrder="0" shrinkToFit="0" wrapText="0"/>
    </xf>
    <xf borderId="0" fillId="3" fontId="2" numFmtId="3" xfId="0" applyAlignment="1" applyFont="1" applyNumberFormat="1">
      <alignment shrinkToFit="0" wrapText="0"/>
    </xf>
    <xf borderId="2" fillId="0" fontId="4" numFmtId="3" xfId="0" applyAlignment="1" applyBorder="1" applyFont="1" applyNumberFormat="1">
      <alignment horizontal="left" readingOrder="0" shrinkToFit="0" wrapText="0"/>
    </xf>
    <xf borderId="0" fillId="0" fontId="4" numFmtId="3" xfId="0" applyAlignment="1" applyFont="1" applyNumberFormat="1">
      <alignment horizontal="left" readingOrder="0" shrinkToFit="0" wrapText="0"/>
    </xf>
    <xf borderId="2" fillId="0" fontId="2" numFmtId="3" xfId="0" applyAlignment="1" applyBorder="1" applyFont="1" applyNumberFormat="1">
      <alignment horizontal="left" readingOrder="0" shrinkToFit="0" wrapText="0"/>
    </xf>
    <xf borderId="0" fillId="0" fontId="1" numFmtId="3" xfId="0" applyAlignment="1" applyFont="1" applyNumberFormat="1">
      <alignment horizontal="right" readingOrder="0" shrinkToFit="0" vertical="bottom" wrapText="0"/>
    </xf>
    <xf borderId="1" fillId="2" fontId="2" numFmtId="0" xfId="0" applyAlignment="1" applyBorder="1" applyFont="1">
      <alignment readingOrder="0" shrinkToFit="0" wrapText="0"/>
    </xf>
    <xf borderId="0" fillId="0" fontId="2" numFmtId="165" xfId="0" applyAlignment="1" applyFont="1" applyNumberFormat="1">
      <alignment horizontal="left" readingOrder="0" shrinkToFit="0" wrapText="0"/>
    </xf>
    <xf borderId="1" fillId="0" fontId="2" numFmtId="4" xfId="0" applyAlignment="1" applyBorder="1" applyFont="1" applyNumberFormat="1">
      <alignment readingOrder="0" shrinkToFit="0" wrapText="0"/>
    </xf>
    <xf borderId="0" fillId="0" fontId="2" numFmtId="165" xfId="0" applyAlignment="1" applyFont="1" applyNumberFormat="1">
      <alignment readingOrder="0" shrinkToFit="0" wrapText="0"/>
    </xf>
    <xf borderId="1" fillId="0" fontId="2" numFmtId="165" xfId="0" applyAlignment="1" applyBorder="1" applyFont="1" applyNumberFormat="1">
      <alignment readingOrder="0" shrinkToFit="0" wrapText="0"/>
    </xf>
    <xf borderId="2" fillId="2" fontId="2" numFmtId="0" xfId="0" applyAlignment="1" applyBorder="1" applyFont="1">
      <alignment readingOrder="0" shrinkToFit="0" wrapText="0"/>
    </xf>
    <xf borderId="2" fillId="2" fontId="4" numFmtId="0" xfId="0" applyAlignment="1" applyBorder="1" applyFont="1">
      <alignment readingOrder="0" shrinkToFit="0" wrapText="0"/>
    </xf>
    <xf borderId="0" fillId="4" fontId="2" numFmtId="0" xfId="0" applyAlignment="1" applyFont="1">
      <alignment readingOrder="0" shrinkToFit="0" wrapText="0"/>
    </xf>
    <xf borderId="0" fillId="5" fontId="2" numFmtId="0" xfId="0" applyAlignment="1" applyFill="1" applyFont="1">
      <alignment readingOrder="0" shrinkToFit="0" wrapText="0"/>
    </xf>
    <xf borderId="2" fillId="5" fontId="4" numFmtId="0" xfId="0" applyAlignment="1" applyBorder="1" applyFont="1">
      <alignment readingOrder="0" shrinkToFit="0" wrapText="0"/>
    </xf>
    <xf borderId="1" fillId="5" fontId="2" numFmtId="0" xfId="0" applyAlignment="1" applyBorder="1" applyFont="1">
      <alignment readingOrder="0" shrinkToFit="0" wrapText="0"/>
    </xf>
    <xf borderId="2" fillId="5" fontId="2" numFmtId="0" xfId="0" applyAlignment="1" applyBorder="1" applyFont="1">
      <alignment readingOrder="0" shrinkToFit="0" wrapText="0"/>
    </xf>
    <xf borderId="1" fillId="0" fontId="2" numFmtId="0" xfId="0" applyAlignment="1" applyBorder="1" applyFont="1">
      <alignment shrinkToFit="0" wrapText="0"/>
    </xf>
    <xf borderId="3" fillId="0" fontId="2" numFmtId="0" xfId="0" applyAlignment="1" applyBorder="1" applyFont="1">
      <alignment readingOrder="0" shrinkToFit="0" wrapText="0"/>
    </xf>
    <xf borderId="3" fillId="0" fontId="2" numFmtId="0" xfId="0" applyAlignment="1" applyBorder="1" applyFont="1">
      <alignment horizontal="left" shrinkToFit="0" wrapText="0"/>
    </xf>
    <xf borderId="3" fillId="0" fontId="2" numFmtId="0" xfId="0" applyAlignment="1" applyBorder="1" applyFont="1">
      <alignment shrinkToFit="0" wrapText="0"/>
    </xf>
    <xf borderId="4" fillId="0" fontId="2" numFmtId="0" xfId="0" applyAlignment="1" applyBorder="1" applyFont="1">
      <alignment readingOrder="0" shrinkToFit="0" wrapText="0"/>
    </xf>
    <xf borderId="5" fillId="0" fontId="2" numFmtId="0" xfId="0" applyAlignment="1" applyBorder="1" applyFont="1">
      <alignment shrinkToFit="0" wrapText="0"/>
    </xf>
    <xf borderId="3" fillId="0" fontId="1" numFmtId="0" xfId="0" applyAlignment="1" applyBorder="1" applyFont="1">
      <alignment readingOrder="0" shrinkToFit="0" vertical="bottom" wrapText="0"/>
    </xf>
    <xf borderId="3" fillId="0" fontId="3" numFmtId="0" xfId="0" applyAlignment="1" applyBorder="1" applyFont="1">
      <alignment readingOrder="0" shrinkToFit="0" vertical="bottom" wrapText="0"/>
    </xf>
    <xf borderId="6" fillId="0" fontId="2" numFmtId="0" xfId="0" applyAlignment="1" applyBorder="1" applyFont="1">
      <alignment readingOrder="0" shrinkToFit="0" wrapText="0"/>
    </xf>
    <xf borderId="6" fillId="0" fontId="2" numFmtId="0" xfId="0" applyAlignment="1" applyBorder="1" applyFont="1">
      <alignment horizontal="left" readingOrder="0" shrinkToFit="0" wrapText="0"/>
    </xf>
    <xf borderId="6" fillId="0" fontId="2" numFmtId="0" xfId="0" applyAlignment="1" applyBorder="1" applyFont="1">
      <alignment shrinkToFit="0" wrapText="0"/>
    </xf>
    <xf borderId="7" fillId="0" fontId="2" numFmtId="0" xfId="0" applyAlignment="1" applyBorder="1" applyFont="1">
      <alignment readingOrder="0" shrinkToFit="0" wrapText="0"/>
    </xf>
    <xf borderId="8" fillId="0" fontId="2" numFmtId="0" xfId="0" applyAlignment="1" applyBorder="1" applyFont="1">
      <alignment shrinkToFit="0" wrapText="0"/>
    </xf>
    <xf borderId="6" fillId="0" fontId="1" numFmtId="0" xfId="0" applyAlignment="1" applyBorder="1" applyFont="1">
      <alignment readingOrder="0" shrinkToFit="0" vertical="bottom" wrapText="0"/>
    </xf>
    <xf borderId="6" fillId="0" fontId="2" numFmtId="0" xfId="0" applyAlignment="1" applyBorder="1" applyFont="1">
      <alignment readingOrder="0"/>
    </xf>
    <xf borderId="6" fillId="0" fontId="3" numFmtId="0" xfId="0" applyAlignment="1" applyBorder="1" applyFont="1">
      <alignment readingOrder="0" shrinkToFit="0" vertical="bottom" wrapText="0"/>
    </xf>
    <xf borderId="1" fillId="0" fontId="2" numFmtId="0" xfId="0" applyAlignment="1" applyBorder="1" applyFont="1">
      <alignment readingOrder="0"/>
    </xf>
    <xf borderId="3" fillId="0" fontId="2" numFmtId="0" xfId="0" applyAlignment="1" applyBorder="1" applyFont="1">
      <alignment horizontal="left" readingOrder="0" shrinkToFit="0" wrapText="0"/>
    </xf>
    <xf borderId="3" fillId="0" fontId="2" numFmtId="0" xfId="0" applyAlignment="1" applyBorder="1" applyFont="1">
      <alignment readingOrder="0"/>
    </xf>
    <xf borderId="7" fillId="0" fontId="1" numFmtId="0" xfId="0" applyAlignment="1" applyBorder="1" applyFont="1">
      <alignment readingOrder="0" shrinkToFit="0" vertical="bottom" wrapText="0"/>
    </xf>
    <xf borderId="6" fillId="0" fontId="5" numFmtId="0" xfId="0" applyAlignment="1" applyBorder="1" applyFont="1">
      <alignment readingOrder="0"/>
    </xf>
    <xf borderId="6" fillId="0" fontId="5" numFmtId="0" xfId="0" applyAlignment="1" applyBorder="1" applyFont="1">
      <alignment horizontal="left" readingOrder="0"/>
    </xf>
    <xf borderId="6" fillId="0" fontId="5" numFmtId="0" xfId="0" applyBorder="1" applyFont="1"/>
    <xf borderId="6" fillId="0" fontId="5" numFmtId="0" xfId="0" applyBorder="1" applyFont="1"/>
    <xf borderId="6" fillId="0" fontId="5" numFmtId="3" xfId="0" applyBorder="1" applyFont="1" applyNumberFormat="1"/>
    <xf borderId="6" fillId="0" fontId="5" numFmtId="3" xfId="0" applyBorder="1" applyFont="1" applyNumberFormat="1"/>
    <xf borderId="7" fillId="0" fontId="5" numFmtId="0" xfId="0" applyAlignment="1" applyBorder="1" applyFont="1">
      <alignment readingOrder="0" shrinkToFit="0" wrapText="0"/>
    </xf>
    <xf borderId="8" fillId="0" fontId="5" numFmtId="3" xfId="0" applyBorder="1" applyFont="1" applyNumberFormat="1"/>
    <xf borderId="7" fillId="0" fontId="5" numFmtId="0" xfId="0" applyAlignment="1" applyBorder="1" applyFont="1">
      <alignment shrinkToFit="0" wrapText="0"/>
    </xf>
    <xf borderId="6" fillId="0" fontId="6" numFmtId="0" xfId="0" applyBorder="1" applyFont="1"/>
    <xf borderId="6" fillId="0" fontId="6" numFmtId="0" xfId="0" applyBorder="1" applyFont="1"/>
    <xf borderId="7" fillId="0" fontId="7" numFmtId="0" xfId="0" applyAlignment="1" applyBorder="1" applyFont="1">
      <alignment readingOrder="0" shrinkToFit="0" vertical="bottom" wrapText="0"/>
    </xf>
    <xf borderId="0" fillId="0" fontId="2" numFmtId="0" xfId="0" applyAlignment="1" applyFont="1">
      <alignment horizontal="left" readingOrder="0"/>
    </xf>
    <xf borderId="0" fillId="0" fontId="2" numFmtId="0" xfId="0" applyFont="1"/>
    <xf borderId="0" fillId="0" fontId="2" numFmtId="3" xfId="0" applyFont="1" applyNumberFormat="1"/>
    <xf borderId="0" fillId="0" fontId="2" numFmtId="3" xfId="0" applyFont="1" applyNumberFormat="1"/>
    <xf borderId="2" fillId="0" fontId="2" numFmtId="3" xfId="0" applyBorder="1" applyFont="1" applyNumberFormat="1"/>
    <xf borderId="0" fillId="0" fontId="4" numFmtId="0" xfId="0" applyFont="1"/>
    <xf borderId="0" fillId="0" fontId="4" numFmtId="0" xfId="0" applyFont="1"/>
    <xf borderId="2" fillId="0" fontId="2" numFmtId="3" xfId="0" applyAlignment="1" applyBorder="1" applyFont="1" applyNumberFormat="1">
      <alignment readingOrder="0"/>
    </xf>
    <xf borderId="0" fillId="0" fontId="2" numFmtId="166" xfId="0" applyFont="1" applyNumberFormat="1"/>
    <xf borderId="0" fillId="0" fontId="2" numFmtId="0" xfId="0" applyFont="1"/>
    <xf borderId="0" fillId="0" fontId="2" numFmtId="0" xfId="0" applyAlignment="1" applyFont="1">
      <alignment horizontal="left"/>
    </xf>
    <xf borderId="2" fillId="0" fontId="2" numFmtId="2" xfId="0" applyAlignment="1" applyBorder="1" applyFont="1" applyNumberFormat="1">
      <alignment horizontal="right"/>
    </xf>
    <xf borderId="0" fillId="0" fontId="2" numFmtId="167" xfId="0" applyFont="1" applyNumberFormat="1"/>
    <xf borderId="2" fillId="0" fontId="2" numFmtId="0" xfId="0" applyBorder="1" applyFont="1"/>
    <xf borderId="2" fillId="0" fontId="4" numFmtId="0" xfId="0" applyBorder="1" applyFont="1"/>
    <xf borderId="1" fillId="0" fontId="2" numFmtId="0" xfId="0" applyBorder="1" applyFont="1"/>
    <xf borderId="0" fillId="0" fontId="2" numFmtId="166" xfId="0" applyAlignment="1" applyFont="1" applyNumberFormat="1">
      <alignment readingOrder="0"/>
    </xf>
    <xf borderId="2" fillId="0" fontId="2" numFmtId="0" xfId="0" applyAlignment="1" applyBorder="1" applyFont="1">
      <alignment horizontal="left"/>
    </xf>
    <xf borderId="0" fillId="0" fontId="5" numFmtId="0" xfId="0" applyAlignment="1" applyFont="1">
      <alignment horizontal="left" readingOrder="0" shrinkToFit="0" wrapText="0"/>
    </xf>
    <xf borderId="6" fillId="0" fontId="1" numFmtId="0" xfId="0" applyAlignment="1" applyBorder="1" applyFont="1">
      <alignment shrinkToFit="0" vertical="bottom" wrapText="0"/>
    </xf>
    <xf borderId="6" fillId="0" fontId="2" numFmtId="0" xfId="0" applyBorder="1" applyFont="1"/>
    <xf borderId="0" fillId="0" fontId="1" numFmtId="0" xfId="0" applyAlignment="1" applyFont="1">
      <alignment shrinkToFit="0" vertical="bottom" wrapText="0"/>
    </xf>
    <xf borderId="0" fillId="2" fontId="2" numFmtId="168" xfId="0" applyAlignment="1" applyFont="1" applyNumberFormat="1">
      <alignment readingOrder="0" shrinkToFit="0" wrapText="0"/>
    </xf>
    <xf borderId="3" fillId="0" fontId="1" numFmtId="0" xfId="0" applyAlignment="1" applyBorder="1" applyFont="1">
      <alignment shrinkToFit="0" vertical="bottom" wrapText="0"/>
    </xf>
    <xf borderId="0" fillId="0" fontId="2" numFmtId="166" xfId="0" applyAlignment="1" applyFont="1" applyNumberFormat="1">
      <alignment readingOrder="0" shrinkToFit="0" wrapText="0"/>
    </xf>
    <xf borderId="0" fillId="0" fontId="2" numFmtId="167" xfId="0" applyAlignment="1" applyFont="1" applyNumberFormat="1">
      <alignment readingOrder="0" shrinkToFit="0" wrapText="0"/>
    </xf>
    <xf borderId="0" fillId="2" fontId="2" numFmtId="0" xfId="0" applyAlignment="1" applyFont="1">
      <alignment shrinkToFit="0" wrapText="0"/>
    </xf>
    <xf borderId="6" fillId="0" fontId="1" numFmtId="0" xfId="0" applyAlignment="1" applyBorder="1" applyFont="1">
      <alignment vertical="bottom"/>
    </xf>
    <xf borderId="6" fillId="0" fontId="1" numFmtId="0" xfId="0" applyAlignment="1" applyBorder="1" applyFont="1">
      <alignment vertical="bottom"/>
    </xf>
    <xf borderId="0" fillId="0" fontId="1" numFmtId="0" xfId="0" applyAlignment="1" applyFont="1">
      <alignment vertical="bottom"/>
    </xf>
    <xf borderId="0" fillId="0" fontId="1" numFmtId="0" xfId="0" applyAlignment="1" applyFont="1">
      <alignment vertical="bottom"/>
    </xf>
    <xf borderId="0" fillId="0" fontId="1" numFmtId="0" xfId="0" applyAlignment="1" applyFont="1">
      <alignment readingOrder="0" vertical="bottom"/>
    </xf>
    <xf borderId="0" fillId="2" fontId="1" numFmtId="0" xfId="0" applyAlignment="1" applyFont="1">
      <alignment readingOrder="0" shrinkToFit="0" vertical="bottom" wrapText="0"/>
    </xf>
    <xf borderId="3" fillId="0" fontId="1" numFmtId="0" xfId="0" applyAlignment="1" applyBorder="1" applyFont="1">
      <alignment vertical="bottom"/>
    </xf>
    <xf borderId="3" fillId="0" fontId="1" numFmtId="0" xfId="0" applyAlignment="1" applyBorder="1" applyFont="1">
      <alignment vertical="bottom"/>
    </xf>
    <xf borderId="0" fillId="0" fontId="2" numFmtId="0" xfId="0" applyAlignment="1" applyFont="1">
      <alignment shrinkToFit="0" wrapText="0"/>
    </xf>
    <xf borderId="0" fillId="2" fontId="2" numFmtId="167" xfId="0" applyAlignment="1" applyFont="1" applyNumberFormat="1">
      <alignment readingOrder="0" shrinkToFit="0" wrapText="0"/>
    </xf>
    <xf borderId="0" fillId="2" fontId="2" numFmtId="0" xfId="0" applyAlignment="1" applyFont="1">
      <alignment shrinkToFit="0" wrapText="0"/>
    </xf>
    <xf borderId="6" fillId="0" fontId="1" numFmtId="0" xfId="0" applyAlignment="1" applyBorder="1" applyFont="1">
      <alignment readingOrder="0" vertical="bottom"/>
    </xf>
    <xf borderId="3" fillId="0" fontId="1" numFmtId="0" xfId="0" applyAlignment="1" applyBorder="1" applyFont="1">
      <alignment readingOrder="0" vertical="bottom"/>
    </xf>
    <xf borderId="0" fillId="0" fontId="1" numFmtId="11" xfId="0" applyAlignment="1" applyFont="1" applyNumberFormat="1">
      <alignment vertical="bottom"/>
    </xf>
    <xf borderId="0" fillId="0" fontId="2" numFmtId="11" xfId="0" applyAlignment="1" applyFont="1" applyNumberFormat="1">
      <alignment readingOrder="0" shrinkToFit="0" wrapText="0"/>
    </xf>
    <xf borderId="6" fillId="0" fontId="1" numFmtId="0" xfId="0" applyAlignment="1" applyBorder="1" applyFont="1">
      <alignment shrinkToFit="0" vertical="bottom" wrapText="0"/>
    </xf>
    <xf borderId="0" fillId="3" fontId="2" numFmtId="167" xfId="0" applyAlignment="1" applyFont="1" applyNumberFormat="1">
      <alignment readingOrder="0" shrinkToFit="0" wrapText="0"/>
    </xf>
    <xf borderId="0" fillId="0" fontId="2" numFmtId="167" xfId="0" applyAlignment="1" applyFont="1" applyNumberFormat="1">
      <alignment shrinkToFit="0" wrapText="0"/>
    </xf>
    <xf borderId="0" fillId="0" fontId="1" numFmtId="0" xfId="0" applyAlignment="1" applyFont="1">
      <alignment horizontal="right" shrinkToFit="0" vertical="bottom" wrapText="0"/>
    </xf>
    <xf borderId="0" fillId="0" fontId="1" numFmtId="169" xfId="0" applyAlignment="1" applyFont="1" applyNumberFormat="1">
      <alignment horizontal="right" shrinkToFit="0" vertical="bottom" wrapText="0"/>
    </xf>
    <xf borderId="0" fillId="2" fontId="2" numFmtId="2" xfId="0" applyAlignment="1" applyFont="1" applyNumberFormat="1">
      <alignment readingOrder="0" shrinkToFit="0" wrapText="0"/>
    </xf>
    <xf borderId="0" fillId="2" fontId="1" numFmtId="0" xfId="0" applyAlignment="1" applyFont="1">
      <alignment horizontal="right" shrinkToFit="0" vertical="bottom" wrapText="0"/>
    </xf>
    <xf borderId="0" fillId="2" fontId="1" numFmtId="169" xfId="0" applyAlignment="1" applyFont="1" applyNumberFormat="1">
      <alignment horizontal="right" shrinkToFit="0" vertical="bottom" wrapText="0"/>
    </xf>
    <xf borderId="0" fillId="2" fontId="2" numFmtId="169" xfId="0" applyAlignment="1" applyFont="1" applyNumberFormat="1">
      <alignment readingOrder="0" shrinkToFit="0" wrapText="0"/>
    </xf>
    <xf borderId="0" fillId="2" fontId="1" numFmtId="170" xfId="0" applyAlignment="1" applyFont="1" applyNumberFormat="1">
      <alignment horizontal="right" shrinkToFit="0" vertical="bottom" wrapText="0"/>
    </xf>
    <xf borderId="0" fillId="2" fontId="2" numFmtId="1" xfId="0" applyAlignment="1" applyFont="1" applyNumberFormat="1">
      <alignment readingOrder="0" shrinkToFit="0" wrapText="0"/>
    </xf>
    <xf borderId="0" fillId="2" fontId="2" numFmtId="171" xfId="0" applyAlignment="1" applyFont="1" applyNumberFormat="1">
      <alignment shrinkToFit="0" wrapText="0"/>
    </xf>
    <xf borderId="0" fillId="3" fontId="2" numFmtId="2" xfId="0" applyAlignment="1" applyFont="1" applyNumberFormat="1">
      <alignment readingOrder="0" shrinkToFit="0" wrapText="0"/>
    </xf>
    <xf borderId="0" fillId="3" fontId="2" numFmtId="171" xfId="0" applyAlignment="1" applyFont="1" applyNumberFormat="1">
      <alignment readingOrder="0" shrinkToFit="0" wrapText="0"/>
    </xf>
    <xf borderId="0" fillId="2" fontId="1" numFmtId="0" xfId="0" applyAlignment="1" applyFont="1">
      <alignment horizontal="right" readingOrder="0" shrinkToFit="0" vertical="bottom" wrapText="0"/>
    </xf>
    <xf borderId="0" fillId="3" fontId="2" numFmtId="2" xfId="0" applyAlignment="1" applyFont="1" applyNumberFormat="1">
      <alignment shrinkToFit="0" wrapText="0"/>
    </xf>
    <xf borderId="0" fillId="3" fontId="1" numFmtId="0" xfId="0" applyAlignment="1" applyFont="1">
      <alignment horizontal="right" readingOrder="0" shrinkToFit="0" vertical="bottom" wrapText="0"/>
    </xf>
    <xf borderId="0" fillId="2" fontId="2" numFmtId="167" xfId="0" applyAlignment="1" applyFont="1" applyNumberFormat="1">
      <alignment shrinkToFit="0" wrapText="0"/>
    </xf>
    <xf borderId="0" fillId="0" fontId="2" numFmtId="2" xfId="0" applyAlignment="1" applyFont="1" applyNumberFormat="1">
      <alignment shrinkToFit="0" wrapText="0"/>
    </xf>
    <xf borderId="0" fillId="0" fontId="2" numFmtId="169" xfId="0" applyAlignment="1" applyFont="1" applyNumberFormat="1">
      <alignment readingOrder="0" shrinkToFit="0" wrapText="0"/>
    </xf>
    <xf borderId="0" fillId="0" fontId="5" numFmtId="0" xfId="0" applyAlignment="1" applyFont="1">
      <alignment readingOrder="0" shrinkToFit="0" wrapText="0"/>
    </xf>
    <xf borderId="0" fillId="2" fontId="1" numFmtId="169" xfId="0" applyAlignment="1" applyFont="1" applyNumberFormat="1">
      <alignment readingOrder="0" shrinkToFit="0" vertical="bottom" wrapText="0"/>
    </xf>
    <xf borderId="0" fillId="2" fontId="2" numFmtId="166" xfId="0" applyAlignment="1" applyFont="1" applyNumberFormat="1">
      <alignment readingOrder="0" shrinkToFit="0" wrapText="0"/>
    </xf>
    <xf borderId="0" fillId="2" fontId="2" numFmtId="2" xfId="0" applyAlignment="1" applyFont="1" applyNumberFormat="1">
      <alignment shrinkToFit="0" wrapText="0"/>
    </xf>
    <xf borderId="0" fillId="4" fontId="2" numFmtId="167" xfId="0" applyAlignment="1" applyFont="1" applyNumberFormat="1">
      <alignment readingOrder="0" shrinkToFit="0" wrapText="0"/>
    </xf>
    <xf borderId="0" fillId="3" fontId="1" numFmtId="0" xfId="0" applyAlignment="1" applyFont="1">
      <alignment horizontal="right" shrinkToFit="0" vertical="bottom" wrapText="0"/>
    </xf>
    <xf borderId="0" fillId="3" fontId="1" numFmtId="0" xfId="0" applyAlignment="1" applyFont="1">
      <alignment horizontal="right" shrinkToFit="0" vertical="bottom" wrapText="0"/>
    </xf>
    <xf borderId="0" fillId="2" fontId="1" numFmtId="167" xfId="0" applyAlignment="1" applyFont="1" applyNumberFormat="1">
      <alignment readingOrder="0" shrinkToFit="0" vertical="bottom" wrapText="0"/>
    </xf>
    <xf borderId="0" fillId="2" fontId="2" numFmtId="172" xfId="0" applyAlignment="1" applyFont="1" applyNumberFormat="1">
      <alignment readingOrder="0" shrinkToFit="0" wrapText="0"/>
    </xf>
    <xf borderId="0" fillId="0" fontId="1" numFmtId="172" xfId="0" applyAlignment="1" applyFont="1" applyNumberFormat="1">
      <alignment shrinkToFit="0" vertical="bottom" wrapText="0"/>
    </xf>
    <xf borderId="0" fillId="0" fontId="1" numFmtId="166" xfId="0" applyAlignment="1" applyFont="1" applyNumberFormat="1">
      <alignment readingOrder="0" shrinkToFit="0" vertical="bottom" wrapText="0"/>
    </xf>
    <xf borderId="0" fillId="0" fontId="1" numFmtId="1" xfId="0" applyAlignment="1" applyFont="1" applyNumberFormat="1">
      <alignment readingOrder="0" shrinkToFit="0" vertical="bottom" wrapText="0"/>
    </xf>
    <xf borderId="0" fillId="0" fontId="1" numFmtId="167" xfId="0" applyAlignment="1" applyFont="1" applyNumberFormat="1">
      <alignment shrinkToFit="0" vertical="bottom" wrapText="0"/>
    </xf>
    <xf borderId="0" fillId="2" fontId="2" numFmtId="165" xfId="0" applyAlignment="1" applyFont="1" applyNumberFormat="1">
      <alignment readingOrder="0" shrinkToFit="0" wrapText="0"/>
    </xf>
    <xf borderId="0" fillId="2" fontId="2" numFmtId="166" xfId="0" applyAlignment="1" applyFont="1" applyNumberFormat="1">
      <alignment shrinkToFit="0" wrapText="0"/>
    </xf>
    <xf borderId="0" fillId="2" fontId="1" numFmtId="172" xfId="0" applyAlignment="1" applyFont="1" applyNumberFormat="1">
      <alignment shrinkToFit="0" vertical="bottom" wrapText="0"/>
    </xf>
    <xf borderId="0" fillId="2" fontId="1" numFmtId="172" xfId="0" applyAlignment="1" applyFont="1" applyNumberFormat="1">
      <alignment horizontal="right" shrinkToFit="0" vertical="bottom" wrapText="0"/>
    </xf>
    <xf borderId="0" fillId="2" fontId="1" numFmtId="0" xfId="0" applyAlignment="1" applyFont="1">
      <alignment shrinkToFit="0" vertical="bottom" wrapText="0"/>
    </xf>
    <xf borderId="0" fillId="0" fontId="1" numFmtId="167" xfId="0" applyAlignment="1" applyFont="1" applyNumberFormat="1">
      <alignment horizontal="right" readingOrder="0" shrinkToFit="0" vertical="bottom" wrapText="0"/>
    </xf>
    <xf borderId="0" fillId="0" fontId="5" numFmtId="0" xfId="0" applyAlignment="1" applyFont="1">
      <alignment readingOrder="0"/>
    </xf>
    <xf borderId="0" fillId="0" fontId="5" numFmtId="0" xfId="0" applyFont="1"/>
    <xf borderId="0" fillId="0" fontId="8" numFmtId="0" xfId="0" applyAlignment="1" applyFont="1">
      <alignment readingOrder="0"/>
    </xf>
    <xf borderId="0" fillId="0" fontId="2" numFmtId="3" xfId="0" applyAlignment="1" applyFont="1" applyNumberFormat="1">
      <alignment readingOrder="0"/>
    </xf>
    <xf borderId="0" fillId="4" fontId="2" numFmtId="0" xfId="0" applyAlignment="1" applyFont="1">
      <alignment readingOrder="0"/>
    </xf>
    <xf borderId="0" fillId="4" fontId="2" numFmtId="173" xfId="0" applyAlignment="1" applyFont="1" applyNumberFormat="1">
      <alignment readingOrder="0"/>
    </xf>
    <xf borderId="0" fillId="4" fontId="2" numFmtId="173" xfId="0" applyAlignment="1" applyFont="1" applyNumberFormat="1">
      <alignment horizontal="right" readingOrder="0"/>
    </xf>
    <xf borderId="0" fillId="3" fontId="2" numFmtId="0" xfId="0" applyAlignment="1" applyFont="1">
      <alignment horizontal="right" readingOrder="0"/>
    </xf>
    <xf borderId="0" fillId="0" fontId="2" numFmtId="174" xfId="0" applyFont="1" applyNumberFormat="1"/>
    <xf borderId="0" fillId="0" fontId="6" numFmtId="0" xfId="0" applyAlignment="1" applyFont="1">
      <alignment horizontal="left" readingOrder="0" shrinkToFit="0" wrapText="0"/>
    </xf>
    <xf borderId="0" fillId="0" fontId="4" numFmtId="0" xfId="0" applyAlignment="1" applyFont="1">
      <alignment readingOrder="0"/>
    </xf>
    <xf borderId="0" fillId="3" fontId="2" numFmtId="0" xfId="0" applyAlignment="1" applyFont="1">
      <alignment readingOrder="0"/>
    </xf>
    <xf borderId="0" fillId="0" fontId="4" numFmtId="9" xfId="0" applyAlignment="1" applyFont="1" applyNumberFormat="1">
      <alignment readingOrder="0"/>
    </xf>
    <xf borderId="0" fillId="0" fontId="4" numFmtId="9" xfId="0" applyFont="1" applyNumberFormat="1"/>
    <xf borderId="0" fillId="3" fontId="2" numFmtId="9" xfId="0" applyAlignment="1" applyFont="1" applyNumberFormat="1">
      <alignment readingOrder="0"/>
    </xf>
    <xf borderId="0" fillId="0" fontId="2" numFmtId="9" xfId="0" applyAlignment="1" applyFont="1" applyNumberFormat="1">
      <alignment readingOrder="0"/>
    </xf>
    <xf borderId="0" fillId="0" fontId="4" numFmtId="174" xfId="0" applyAlignment="1" applyFont="1" applyNumberFormat="1">
      <alignment readingOrder="0"/>
    </xf>
    <xf borderId="0" fillId="2" fontId="2" numFmtId="174" xfId="0" applyAlignment="1" applyFont="1" applyNumberFormat="1">
      <alignment readingOrder="0"/>
    </xf>
    <xf borderId="0" fillId="3" fontId="2" numFmtId="175" xfId="0" applyAlignment="1" applyFont="1" applyNumberFormat="1">
      <alignment readingOrder="0"/>
    </xf>
    <xf borderId="0" fillId="3" fontId="2" numFmtId="174" xfId="0" applyAlignment="1" applyFont="1" applyNumberFormat="1">
      <alignment readingOrder="0"/>
    </xf>
    <xf borderId="0" fillId="2" fontId="2" numFmtId="174" xfId="0" applyAlignment="1" applyFont="1" applyNumberFormat="1">
      <alignment readingOrder="0"/>
    </xf>
    <xf borderId="0" fillId="0" fontId="2" numFmtId="174" xfId="0" applyAlignment="1" applyFont="1" applyNumberFormat="1">
      <alignment readingOrder="0"/>
    </xf>
    <xf borderId="0" fillId="3" fontId="1" numFmtId="0" xfId="0" applyAlignment="1" applyFont="1">
      <alignment horizontal="right" vertical="bottom"/>
    </xf>
    <xf borderId="0" fillId="3" fontId="2" numFmtId="0" xfId="0" applyFont="1"/>
    <xf borderId="0" fillId="3" fontId="1" numFmtId="0" xfId="0" applyAlignment="1" applyFont="1">
      <alignment horizontal="right" readingOrder="0" vertical="bottom"/>
    </xf>
    <xf borderId="0" fillId="3" fontId="1" numFmtId="9" xfId="0" applyAlignment="1" applyFont="1" applyNumberFormat="1">
      <alignment horizontal="right" readingOrder="0" vertical="bottom"/>
    </xf>
    <xf borderId="0" fillId="3" fontId="1" numFmtId="9" xfId="0" applyAlignment="1" applyFont="1" applyNumberFormat="1">
      <alignment horizontal="right" vertical="bottom"/>
    </xf>
    <xf borderId="0" fillId="3" fontId="2" numFmtId="9" xfId="0" applyFont="1" applyNumberFormat="1"/>
    <xf borderId="0" fillId="2" fontId="2" numFmtId="174" xfId="0" applyAlignment="1" applyFont="1" applyNumberFormat="1">
      <alignment readingOrder="0"/>
    </xf>
    <xf borderId="0" fillId="0" fontId="2" numFmtId="0" xfId="0" applyAlignment="1" applyFont="1">
      <alignment readingOrder="0"/>
    </xf>
    <xf borderId="0" fillId="2" fontId="2" numFmtId="166" xfId="0" applyAlignment="1" applyFont="1" applyNumberFormat="1">
      <alignment readingOrder="0"/>
    </xf>
    <xf borderId="0" fillId="0" fontId="4" numFmtId="167" xfId="0" applyFont="1" applyNumberFormat="1"/>
    <xf borderId="0" fillId="0" fontId="2" numFmtId="0" xfId="0" applyAlignment="1" applyFont="1">
      <alignment readingOrder="0" shrinkToFit="0" wrapText="0"/>
    </xf>
    <xf borderId="1" fillId="0" fontId="2" numFmtId="0" xfId="0" applyAlignment="1" applyBorder="1" applyFont="1">
      <alignment readingOrder="0" shrinkToFit="0" wrapText="0"/>
    </xf>
    <xf borderId="2" fillId="0" fontId="2" numFmtId="0" xfId="0" applyAlignment="1" applyBorder="1" applyFont="1">
      <alignment readingOrder="0" shrinkToFit="0" wrapText="0"/>
    </xf>
    <xf borderId="0" fillId="0" fontId="5" numFmtId="0" xfId="0" applyAlignment="1" applyFont="1">
      <alignment horizontal="center" readingOrder="0"/>
    </xf>
    <xf borderId="2" fillId="0" fontId="2" numFmtId="0" xfId="0" applyAlignment="1" applyBorder="1" applyFont="1">
      <alignment horizontal="center" readingOrder="0"/>
    </xf>
    <xf borderId="1" fillId="0" fontId="9" numFmtId="0" xfId="0" applyBorder="1" applyFont="1"/>
    <xf borderId="0" fillId="0" fontId="2" numFmtId="0" xfId="0" applyAlignment="1" applyFont="1">
      <alignment horizontal="center" readingOrder="0"/>
    </xf>
    <xf borderId="1" fillId="0" fontId="2" numFmtId="0" xfId="0" applyAlignment="1" applyBorder="1" applyFont="1">
      <alignment horizontal="center" readingOrder="0"/>
    </xf>
    <xf borderId="5" fillId="0" fontId="2" numFmtId="0" xfId="0" applyBorder="1" applyFont="1"/>
    <xf borderId="3" fillId="0" fontId="2" numFmtId="0" xfId="0" applyBorder="1" applyFont="1"/>
    <xf borderId="4" fillId="0" fontId="2" numFmtId="0" xfId="0" applyAlignment="1" applyBorder="1" applyFont="1">
      <alignment readingOrder="0"/>
    </xf>
    <xf borderId="4" fillId="0" fontId="2" numFmtId="0" xfId="0" applyBorder="1" applyFont="1"/>
    <xf borderId="5" fillId="0" fontId="2" numFmtId="0" xfId="0" applyAlignment="1" applyBorder="1" applyFont="1">
      <alignment readingOrder="0"/>
    </xf>
    <xf borderId="8" fillId="2" fontId="1" numFmtId="0" xfId="0" applyAlignment="1" applyBorder="1" applyFont="1">
      <alignment horizontal="right" readingOrder="0" shrinkToFit="0" vertical="bottom" wrapText="0"/>
    </xf>
    <xf borderId="6" fillId="2" fontId="1" numFmtId="0" xfId="0" applyAlignment="1" applyBorder="1" applyFont="1">
      <alignment horizontal="right" readingOrder="0" shrinkToFit="0" vertical="bottom" wrapText="0"/>
    </xf>
    <xf borderId="6" fillId="2" fontId="1" numFmtId="0" xfId="0" applyAlignment="1" applyBorder="1" applyFont="1">
      <alignment horizontal="right" shrinkToFit="0" vertical="bottom" wrapText="0"/>
    </xf>
    <xf borderId="7" fillId="2" fontId="1" numFmtId="0" xfId="0" applyAlignment="1" applyBorder="1" applyFont="1">
      <alignment horizontal="right" readingOrder="0" shrinkToFit="0" vertical="bottom" wrapText="0"/>
    </xf>
    <xf borderId="6" fillId="3" fontId="1" numFmtId="0" xfId="0" applyAlignment="1" applyBorder="1" applyFont="1">
      <alignment horizontal="right" readingOrder="0" shrinkToFit="0" vertical="bottom" wrapText="0"/>
    </xf>
    <xf borderId="6" fillId="3" fontId="1" numFmtId="0" xfId="0" applyAlignment="1" applyBorder="1" applyFont="1">
      <alignment horizontal="right" shrinkToFit="0" vertical="bottom" wrapText="0"/>
    </xf>
    <xf borderId="7" fillId="3" fontId="1" numFmtId="0" xfId="0" applyAlignment="1" applyBorder="1" applyFont="1">
      <alignment horizontal="right" shrinkToFit="0" vertical="bottom" wrapText="0"/>
    </xf>
    <xf borderId="8" fillId="0" fontId="1" numFmtId="0" xfId="0" applyAlignment="1" applyBorder="1" applyFont="1">
      <alignment horizontal="right" shrinkToFit="0" vertical="bottom" wrapText="0"/>
    </xf>
    <xf borderId="7" fillId="0" fontId="1" numFmtId="0" xfId="0" applyAlignment="1" applyBorder="1" applyFont="1">
      <alignment horizontal="right" shrinkToFit="0" vertical="bottom" wrapText="0"/>
    </xf>
    <xf borderId="6" fillId="3" fontId="1" numFmtId="0" xfId="0" applyAlignment="1" applyBorder="1" applyFont="1">
      <alignment horizontal="right" shrinkToFit="0" vertical="bottom" wrapText="0"/>
    </xf>
    <xf borderId="7" fillId="3" fontId="1" numFmtId="0" xfId="0" applyAlignment="1" applyBorder="1" applyFont="1">
      <alignment horizontal="right" shrinkToFit="0" vertical="bottom" wrapText="0"/>
    </xf>
    <xf borderId="8" fillId="3" fontId="1" numFmtId="0" xfId="0" applyAlignment="1" applyBorder="1" applyFont="1">
      <alignment horizontal="right" shrinkToFit="0" vertical="bottom" wrapText="0"/>
    </xf>
    <xf borderId="7" fillId="4" fontId="1" numFmtId="0" xfId="0" applyAlignment="1" applyBorder="1" applyFont="1">
      <alignment horizontal="right" readingOrder="0" shrinkToFit="0" vertical="bottom" wrapText="0"/>
    </xf>
    <xf borderId="8" fillId="4" fontId="1" numFmtId="0" xfId="0" applyAlignment="1" applyBorder="1" applyFont="1">
      <alignment horizontal="right" shrinkToFit="0" vertical="bottom" wrapText="0"/>
    </xf>
    <xf borderId="6" fillId="0" fontId="1" numFmtId="0" xfId="0" applyAlignment="1" applyBorder="1" applyFont="1">
      <alignment horizontal="right" shrinkToFit="0" vertical="bottom" wrapText="0"/>
    </xf>
    <xf borderId="8" fillId="2" fontId="1" numFmtId="0" xfId="0" applyAlignment="1" applyBorder="1" applyFont="1">
      <alignment horizontal="right" shrinkToFit="0" vertical="bottom" wrapText="0"/>
    </xf>
    <xf borderId="6" fillId="4" fontId="1" numFmtId="0" xfId="0" applyAlignment="1" applyBorder="1" applyFont="1">
      <alignment horizontal="right" shrinkToFit="0" vertical="bottom" wrapText="0"/>
    </xf>
    <xf borderId="2" fillId="3" fontId="1" numFmtId="0" xfId="0" applyAlignment="1" applyBorder="1" applyFont="1">
      <alignment horizontal="right" shrinkToFit="0" vertical="bottom" wrapText="0"/>
    </xf>
    <xf borderId="1" fillId="3" fontId="1" numFmtId="0" xfId="0" applyAlignment="1" applyBorder="1" applyFont="1">
      <alignment horizontal="right" shrinkToFit="0" vertical="bottom" wrapText="0"/>
    </xf>
    <xf borderId="2" fillId="0" fontId="1" numFmtId="0" xfId="0" applyAlignment="1" applyBorder="1" applyFont="1">
      <alignment readingOrder="0" shrinkToFit="0" vertical="bottom" wrapText="0"/>
    </xf>
    <xf borderId="1" fillId="0" fontId="1" numFmtId="0" xfId="0" applyAlignment="1" applyBorder="1" applyFont="1">
      <alignment shrinkToFit="0" vertical="bottom" wrapText="0"/>
    </xf>
    <xf borderId="2" fillId="0" fontId="1" numFmtId="0" xfId="0" applyAlignment="1" applyBorder="1" applyFont="1">
      <alignment shrinkToFit="0" vertical="bottom" wrapText="0"/>
    </xf>
    <xf borderId="1" fillId="0" fontId="1" numFmtId="0" xfId="0" applyAlignment="1" applyBorder="1" applyFont="1">
      <alignment shrinkToFit="0" vertical="bottom" wrapText="0"/>
    </xf>
    <xf borderId="2" fillId="0" fontId="1" numFmtId="0" xfId="0" applyAlignment="1" applyBorder="1" applyFont="1">
      <alignment vertical="bottom"/>
    </xf>
    <xf borderId="1" fillId="0" fontId="1" numFmtId="0" xfId="0" applyAlignment="1" applyBorder="1" applyFont="1">
      <alignment vertical="bottom"/>
    </xf>
    <xf borderId="2" fillId="0" fontId="1" numFmtId="0" xfId="0" applyAlignment="1" applyBorder="1" applyFont="1">
      <alignment readingOrder="0" vertical="bottom"/>
    </xf>
    <xf borderId="1" fillId="0" fontId="1" numFmtId="0" xfId="0" applyAlignment="1" applyBorder="1" applyFont="1">
      <alignment readingOrder="0" vertical="bottom"/>
    </xf>
    <xf borderId="0" fillId="0" fontId="1" numFmtId="0" xfId="0" applyAlignment="1" applyFont="1">
      <alignment horizontal="right" vertical="bottom"/>
    </xf>
    <xf borderId="0" fillId="2" fontId="1" numFmtId="0" xfId="0" applyAlignment="1" applyFont="1">
      <alignment horizontal="right" shrinkToFit="0" vertical="bottom" wrapText="0"/>
    </xf>
    <xf borderId="1" fillId="3" fontId="1" numFmtId="0" xfId="0" applyAlignment="1" applyBorder="1" applyFont="1">
      <alignment horizontal="right" shrinkToFit="0" vertical="bottom" wrapText="0"/>
    </xf>
    <xf borderId="2" fillId="0" fontId="1" numFmtId="0" xfId="0" applyAlignment="1" applyBorder="1" applyFont="1">
      <alignment horizontal="right" shrinkToFit="0" vertical="bottom" wrapText="0"/>
    </xf>
    <xf borderId="1" fillId="0" fontId="1" numFmtId="0" xfId="0" applyAlignment="1" applyBorder="1" applyFont="1">
      <alignment horizontal="right" shrinkToFit="0" vertical="bottom" wrapText="0"/>
    </xf>
    <xf borderId="2" fillId="2" fontId="1" numFmtId="0" xfId="0" applyAlignment="1" applyBorder="1" applyFont="1">
      <alignment horizontal="right" shrinkToFit="0" vertical="bottom" wrapText="0"/>
    </xf>
    <xf borderId="0" fillId="0" fontId="1" numFmtId="0" xfId="0" applyAlignment="1" applyFont="1">
      <alignment horizontal="right" shrinkToFit="0" vertical="bottom" wrapText="0"/>
    </xf>
    <xf borderId="1" fillId="4" fontId="1" numFmtId="0" xfId="0" applyAlignment="1" applyBorder="1" applyFont="1">
      <alignment vertical="bottom"/>
    </xf>
    <xf borderId="1" fillId="4" fontId="1" numFmtId="0" xfId="0" applyAlignment="1" applyBorder="1" applyFont="1">
      <alignment horizontal="right" readingOrder="0" shrinkToFit="0" vertical="bottom" wrapText="0"/>
    </xf>
    <xf borderId="2" fillId="2" fontId="1" numFmtId="0" xfId="0" applyAlignment="1" applyBorder="1" applyFont="1">
      <alignment horizontal="right" readingOrder="0" shrinkToFit="0" vertical="bottom" wrapText="0"/>
    </xf>
    <xf borderId="2" fillId="0" fontId="1" numFmtId="0" xfId="0" applyAlignment="1" applyBorder="1" applyFont="1">
      <alignment horizontal="right" readingOrder="0" shrinkToFit="0" vertical="bottom" wrapText="0"/>
    </xf>
    <xf borderId="0" fillId="0" fontId="1" numFmtId="0" xfId="0" applyAlignment="1" applyFont="1">
      <alignment horizontal="right" readingOrder="0" shrinkToFit="0" vertical="bottom" wrapText="0"/>
    </xf>
    <xf borderId="1" fillId="4" fontId="1" numFmtId="0" xfId="0" applyAlignment="1" applyBorder="1" applyFont="1">
      <alignment horizontal="right" shrinkToFit="0" vertical="bottom" wrapText="0"/>
    </xf>
    <xf borderId="2" fillId="4" fontId="1" numFmtId="0" xfId="0" applyAlignment="1" applyBorder="1" applyFont="1">
      <alignment horizontal="right" shrinkToFit="0" vertical="bottom" wrapText="0"/>
    </xf>
    <xf borderId="2" fillId="3" fontId="1" numFmtId="0" xfId="0" applyAlignment="1" applyBorder="1" applyFont="1">
      <alignment horizontal="right" readingOrder="0" shrinkToFit="0" vertical="bottom" wrapText="0"/>
    </xf>
    <xf borderId="0" fillId="4" fontId="1" numFmtId="0" xfId="0" applyAlignment="1" applyFont="1">
      <alignment horizontal="right" shrinkToFit="0" vertical="bottom" wrapText="0"/>
    </xf>
    <xf borderId="1" fillId="0" fontId="2" numFmtId="0" xfId="0" applyBorder="1" applyFont="1"/>
    <xf borderId="2" fillId="0" fontId="2" numFmtId="0" xfId="0" applyAlignment="1" applyBorder="1" applyFont="1">
      <alignment readingOrder="0"/>
    </xf>
    <xf borderId="1" fillId="2" fontId="1" numFmtId="0" xfId="0" applyAlignment="1" applyBorder="1" applyFont="1">
      <alignment horizontal="right" shrinkToFit="0" vertical="bottom" wrapText="0"/>
    </xf>
    <xf borderId="0" fillId="2" fontId="1" numFmtId="0" xfId="0" applyAlignment="1" applyFont="1">
      <alignment shrinkToFit="0" vertical="bottom" wrapText="0"/>
    </xf>
    <xf borderId="3" fillId="0" fontId="1" numFmtId="0" xfId="0" applyAlignment="1" applyBorder="1" applyFont="1">
      <alignment shrinkToFit="0" vertical="bottom" wrapText="0"/>
    </xf>
    <xf borderId="5" fillId="0" fontId="1" numFmtId="0" xfId="0" applyAlignment="1" applyBorder="1" applyFont="1">
      <alignment horizontal="center" readingOrder="0" shrinkToFit="0" vertical="bottom" wrapText="0"/>
    </xf>
    <xf borderId="3" fillId="0" fontId="1" numFmtId="0" xfId="0" applyAlignment="1" applyBorder="1" applyFont="1">
      <alignment horizontal="center" readingOrder="0" shrinkToFit="0" vertical="bottom" wrapText="0"/>
    </xf>
    <xf borderId="4" fillId="0" fontId="1" numFmtId="0" xfId="0" applyAlignment="1" applyBorder="1" applyFont="1">
      <alignment horizontal="center" readingOrder="0" shrinkToFit="0" vertical="bottom" wrapText="0"/>
    </xf>
    <xf borderId="5" fillId="0" fontId="1" numFmtId="0" xfId="0" applyAlignment="1" applyBorder="1" applyFont="1">
      <alignment horizontal="center" shrinkToFit="0" vertical="bottom" wrapText="0"/>
    </xf>
    <xf borderId="4" fillId="0" fontId="1" numFmtId="0" xfId="0" applyAlignment="1" applyBorder="1" applyFont="1">
      <alignment horizontal="center" shrinkToFit="0" vertical="bottom" wrapText="0"/>
    </xf>
    <xf borderId="3" fillId="0" fontId="1" numFmtId="0" xfId="0" applyAlignment="1" applyBorder="1" applyFont="1">
      <alignment horizontal="center" shrinkToFit="0" vertical="bottom" wrapText="0"/>
    </xf>
    <xf borderId="3" fillId="0" fontId="1" numFmtId="0" xfId="0" applyAlignment="1" applyBorder="1" applyFont="1">
      <alignment horizontal="center" shrinkToFit="0" vertical="bottom" wrapText="0"/>
    </xf>
    <xf borderId="8" fillId="3" fontId="1" numFmtId="0" xfId="0" applyAlignment="1" applyBorder="1" applyFont="1">
      <alignment horizontal="right" readingOrder="0" shrinkToFit="0" vertical="bottom" wrapText="0"/>
    </xf>
    <xf borderId="7" fillId="3" fontId="1" numFmtId="0" xfId="0" applyAlignment="1" applyBorder="1" applyFont="1">
      <alignment horizontal="right" readingOrder="0" shrinkToFit="0" vertical="bottom" wrapText="0"/>
    </xf>
    <xf borderId="1" fillId="0" fontId="1" numFmtId="0" xfId="0" applyAlignment="1" applyBorder="1" applyFont="1">
      <alignment horizontal="right" shrinkToFit="0" vertical="bottom" wrapText="0"/>
    </xf>
    <xf borderId="2" fillId="2" fontId="1" numFmtId="2" xfId="0" applyAlignment="1" applyBorder="1" applyFont="1" applyNumberFormat="1">
      <alignment horizontal="right" readingOrder="0" vertical="bottom"/>
    </xf>
    <xf borderId="0" fillId="2" fontId="1" numFmtId="2" xfId="0" applyAlignment="1" applyFont="1" applyNumberFormat="1">
      <alignment horizontal="right" readingOrder="0" vertical="bottom"/>
    </xf>
    <xf borderId="0" fillId="0" fontId="1" numFmtId="171" xfId="0" applyAlignment="1" applyFont="1" applyNumberFormat="1">
      <alignment horizontal="right" readingOrder="0" vertical="bottom"/>
    </xf>
    <xf borderId="1" fillId="0" fontId="1" numFmtId="171" xfId="0" applyAlignment="1" applyBorder="1" applyFont="1" applyNumberFormat="1">
      <alignment horizontal="right" readingOrder="0" vertical="bottom"/>
    </xf>
    <xf borderId="0" fillId="2" fontId="1" numFmtId="0" xfId="0" applyAlignment="1" applyFont="1">
      <alignment readingOrder="0" vertical="bottom"/>
    </xf>
    <xf borderId="1" fillId="2" fontId="1" numFmtId="0" xfId="0" applyAlignment="1" applyBorder="1" applyFont="1">
      <alignment horizontal="right" readingOrder="0" shrinkToFit="0" vertical="bottom" wrapText="0"/>
    </xf>
    <xf borderId="1" fillId="0" fontId="1" numFmtId="0" xfId="0" applyAlignment="1" applyBorder="1" applyFont="1">
      <alignment horizontal="right" readingOrder="0" shrinkToFit="0" vertical="bottom" wrapText="0"/>
    </xf>
    <xf borderId="1" fillId="3" fontId="1" numFmtId="0" xfId="0" applyAlignment="1" applyBorder="1" applyFont="1">
      <alignment horizontal="right" readingOrder="0" shrinkToFit="0" vertical="bottom" wrapText="0"/>
    </xf>
    <xf borderId="5" fillId="0" fontId="1" numFmtId="0" xfId="0" applyAlignment="1" applyBorder="1" applyFont="1">
      <alignment shrinkToFit="0" vertical="bottom" wrapText="0"/>
    </xf>
    <xf borderId="4" fillId="0" fontId="1" numFmtId="0" xfId="0" applyAlignment="1" applyBorder="1" applyFont="1">
      <alignment shrinkToFit="0" vertical="bottom" wrapText="0"/>
    </xf>
    <xf borderId="4" fillId="0" fontId="1" numFmtId="0" xfId="0" applyAlignment="1" applyBorder="1" applyFont="1">
      <alignment shrinkToFit="0" vertical="bottom" wrapText="0"/>
    </xf>
    <xf borderId="6" fillId="2" fontId="1" numFmtId="176" xfId="0" applyAlignment="1" applyBorder="1" applyFont="1" applyNumberFormat="1">
      <alignment horizontal="right" readingOrder="0" shrinkToFit="0" vertical="bottom" wrapText="0"/>
    </xf>
    <xf borderId="7" fillId="2" fontId="1" numFmtId="176" xfId="0" applyAlignment="1" applyBorder="1" applyFont="1" applyNumberFormat="1">
      <alignment horizontal="right" readingOrder="0" shrinkToFit="0" vertical="bottom" wrapText="0"/>
    </xf>
    <xf borderId="6" fillId="2" fontId="1" numFmtId="3" xfId="0" applyAlignment="1" applyBorder="1" applyFont="1" applyNumberFormat="1">
      <alignment horizontal="right" readingOrder="0" shrinkToFit="0" vertical="bottom" wrapText="0"/>
    </xf>
    <xf borderId="6" fillId="2" fontId="1" numFmtId="3" xfId="0" applyAlignment="1" applyBorder="1" applyFont="1" applyNumberFormat="1">
      <alignment horizontal="right" readingOrder="0" shrinkToFit="0" vertical="bottom" wrapText="0"/>
    </xf>
    <xf borderId="6" fillId="3" fontId="1" numFmtId="3" xfId="0" applyAlignment="1" applyBorder="1" applyFont="1" applyNumberFormat="1">
      <alignment horizontal="right" readingOrder="0" shrinkToFit="0" vertical="bottom" wrapText="0"/>
    </xf>
    <xf borderId="7" fillId="2" fontId="1" numFmtId="3" xfId="0" applyAlignment="1" applyBorder="1" applyFont="1" applyNumberFormat="1">
      <alignment horizontal="right" readingOrder="0" shrinkToFit="0" vertical="bottom" wrapText="0"/>
    </xf>
    <xf borderId="8" fillId="0" fontId="1" numFmtId="4" xfId="0" applyAlignment="1" applyBorder="1" applyFont="1" applyNumberFormat="1">
      <alignment horizontal="right" shrinkToFit="0" vertical="bottom" wrapText="0"/>
    </xf>
    <xf borderId="7" fillId="0" fontId="1" numFmtId="4" xfId="0" applyAlignment="1" applyBorder="1" applyFont="1" applyNumberFormat="1">
      <alignment horizontal="right" shrinkToFit="0" vertical="bottom" wrapText="0"/>
    </xf>
    <xf borderId="8" fillId="2" fontId="1" numFmtId="3" xfId="0" applyAlignment="1" applyBorder="1" applyFont="1" applyNumberFormat="1">
      <alignment horizontal="right" readingOrder="0" shrinkToFit="0" vertical="bottom" wrapText="0"/>
    </xf>
    <xf borderId="6" fillId="3" fontId="1" numFmtId="3" xfId="0" applyAlignment="1" applyBorder="1" applyFont="1" applyNumberFormat="1">
      <alignment horizontal="right" shrinkToFit="0" vertical="bottom" wrapText="0"/>
    </xf>
    <xf borderId="7" fillId="3" fontId="1" numFmtId="4" xfId="0" applyAlignment="1" applyBorder="1" applyFont="1" applyNumberFormat="1">
      <alignment horizontal="right" shrinkToFit="0" vertical="bottom" wrapText="0"/>
    </xf>
    <xf borderId="8" fillId="3" fontId="1" numFmtId="3" xfId="0" applyAlignment="1" applyBorder="1" applyFont="1" applyNumberFormat="1">
      <alignment horizontal="right" readingOrder="0" shrinkToFit="0" vertical="bottom" wrapText="0"/>
    </xf>
    <xf borderId="7" fillId="3" fontId="1" numFmtId="3" xfId="0" applyAlignment="1" applyBorder="1" applyFont="1" applyNumberFormat="1">
      <alignment horizontal="right" readingOrder="0" shrinkToFit="0" vertical="bottom" wrapText="0"/>
    </xf>
    <xf borderId="7" fillId="4" fontId="1" numFmtId="3" xfId="0" applyAlignment="1" applyBorder="1" applyFont="1" applyNumberFormat="1">
      <alignment horizontal="right" readingOrder="0" shrinkToFit="0" vertical="bottom" wrapText="0"/>
    </xf>
    <xf borderId="7" fillId="2" fontId="1" numFmtId="3" xfId="0" applyAlignment="1" applyBorder="1" applyFont="1" applyNumberFormat="1">
      <alignment horizontal="right" readingOrder="0" shrinkToFit="0" vertical="bottom" wrapText="0"/>
    </xf>
    <xf borderId="1" fillId="2" fontId="1" numFmtId="0" xfId="0" applyAlignment="1" applyBorder="1" applyFont="1">
      <alignment horizontal="right" shrinkToFit="0" vertical="bottom" wrapText="0"/>
    </xf>
    <xf borderId="0" fillId="2" fontId="1" numFmtId="0" xfId="0" applyAlignment="1" applyFont="1">
      <alignment horizontal="right" readingOrder="0" vertical="bottom"/>
    </xf>
    <xf borderId="0" fillId="3" fontId="1" numFmtId="0" xfId="0" applyAlignment="1" applyFont="1">
      <alignment readingOrder="0" vertical="bottom"/>
    </xf>
    <xf borderId="0" fillId="2" fontId="1" numFmtId="0" xfId="0" applyAlignment="1" applyFont="1">
      <alignment horizontal="right" vertical="bottom"/>
    </xf>
    <xf borderId="1" fillId="2" fontId="1" numFmtId="0" xfId="0" applyAlignment="1" applyBorder="1" applyFont="1">
      <alignment horizontal="right" vertical="bottom"/>
    </xf>
    <xf borderId="0" fillId="3" fontId="1" numFmtId="0" xfId="0" applyAlignment="1" applyFont="1">
      <alignment horizontal="right" vertical="bottom"/>
    </xf>
    <xf borderId="1" fillId="3" fontId="1" numFmtId="0" xfId="0" applyAlignment="1" applyBorder="1" applyFont="1">
      <alignment horizontal="right" vertical="bottom"/>
    </xf>
    <xf borderId="2" fillId="0" fontId="1" numFmtId="0" xfId="0" applyAlignment="1" applyBorder="1" applyFont="1">
      <alignment horizontal="right" vertical="bottom"/>
    </xf>
    <xf borderId="0" fillId="0" fontId="1" numFmtId="0" xfId="0" applyAlignment="1" applyFont="1">
      <alignment horizontal="right" vertical="bottom"/>
    </xf>
    <xf borderId="1" fillId="0" fontId="1" numFmtId="0" xfId="0" applyAlignment="1" applyBorder="1" applyFont="1">
      <alignment vertical="bottom"/>
    </xf>
    <xf borderId="0" fillId="3" fontId="1" numFmtId="176" xfId="0" applyAlignment="1" applyFont="1" applyNumberFormat="1">
      <alignment readingOrder="0" vertical="bottom"/>
    </xf>
    <xf borderId="1" fillId="3" fontId="1" numFmtId="176" xfId="0" applyAlignment="1" applyBorder="1" applyFont="1" applyNumberFormat="1">
      <alignment readingOrder="0" vertical="bottom"/>
    </xf>
    <xf borderId="1" fillId="0" fontId="1" numFmtId="0" xfId="0" applyAlignment="1" applyBorder="1" applyFont="1">
      <alignment horizontal="right" vertical="bottom"/>
    </xf>
    <xf borderId="1" fillId="0" fontId="1" numFmtId="0" xfId="0" applyAlignment="1" applyBorder="1" applyFont="1">
      <alignment horizontal="right" vertical="bottom"/>
    </xf>
    <xf borderId="2" fillId="0" fontId="1" numFmtId="0" xfId="0" applyAlignment="1" applyBorder="1" applyFont="1">
      <alignment horizontal="center" vertical="bottom"/>
    </xf>
    <xf borderId="0" fillId="0" fontId="1" numFmtId="0" xfId="0" applyAlignment="1" applyFont="1">
      <alignment horizontal="center" vertical="bottom"/>
    </xf>
    <xf borderId="0" fillId="0" fontId="1" numFmtId="0" xfId="0" applyAlignment="1" applyFont="1">
      <alignment horizontal="center" readingOrder="0" vertical="bottom"/>
    </xf>
    <xf borderId="0" fillId="0" fontId="1" numFmtId="0" xfId="0" applyAlignment="1" applyFont="1">
      <alignment horizontal="center" vertical="bottom"/>
    </xf>
    <xf borderId="1" fillId="0" fontId="1" numFmtId="0" xfId="0" applyAlignment="1" applyBorder="1" applyFont="1">
      <alignment horizontal="center" vertical="bottom"/>
    </xf>
    <xf borderId="1" fillId="0" fontId="1" numFmtId="0" xfId="0" applyAlignment="1" applyBorder="1" applyFont="1">
      <alignment horizontal="center" vertical="bottom"/>
    </xf>
    <xf borderId="2" fillId="2" fontId="1" numFmtId="0" xfId="0" applyAlignment="1" applyBorder="1" applyFont="1">
      <alignment horizontal="right" readingOrder="0" vertical="bottom"/>
    </xf>
    <xf borderId="1" fillId="3" fontId="1" numFmtId="0" xfId="0" applyAlignment="1" applyBorder="1" applyFont="1">
      <alignment horizontal="right" readingOrder="0" vertical="bottom"/>
    </xf>
    <xf borderId="5" fillId="2" fontId="1" numFmtId="0" xfId="0" applyAlignment="1" applyBorder="1" applyFont="1">
      <alignment readingOrder="0" vertical="bottom"/>
    </xf>
    <xf borderId="3" fillId="2" fontId="1" numFmtId="0" xfId="0" applyAlignment="1" applyBorder="1" applyFont="1">
      <alignment readingOrder="0" vertical="bottom"/>
    </xf>
    <xf borderId="3" fillId="2" fontId="1" numFmtId="0" xfId="0" applyAlignment="1" applyBorder="1" applyFont="1">
      <alignment horizontal="right" readingOrder="0" vertical="bottom"/>
    </xf>
    <xf borderId="3" fillId="2" fontId="1" numFmtId="0" xfId="0" applyAlignment="1" applyBorder="1" applyFont="1">
      <alignment horizontal="right" vertical="bottom"/>
    </xf>
    <xf borderId="4" fillId="2" fontId="1" numFmtId="0" xfId="0" applyAlignment="1" applyBorder="1" applyFont="1">
      <alignment horizontal="right" readingOrder="0" vertical="bottom"/>
    </xf>
    <xf borderId="3" fillId="2" fontId="1" numFmtId="0" xfId="0" applyAlignment="1" applyBorder="1" applyFont="1">
      <alignment horizontal="right" readingOrder="0" shrinkToFit="0" vertical="bottom" wrapText="0"/>
    </xf>
    <xf borderId="3" fillId="2" fontId="1" numFmtId="0" xfId="0" applyAlignment="1" applyBorder="1" applyFont="1">
      <alignment horizontal="right" shrinkToFit="0" vertical="bottom" wrapText="0"/>
    </xf>
    <xf borderId="4" fillId="2" fontId="1" numFmtId="0" xfId="0" applyAlignment="1" applyBorder="1" applyFont="1">
      <alignment horizontal="right" shrinkToFit="0" vertical="bottom" wrapText="0"/>
    </xf>
    <xf borderId="5" fillId="0" fontId="1" numFmtId="0" xfId="0" applyAlignment="1" applyBorder="1" applyFont="1">
      <alignment horizontal="right" shrinkToFit="0" vertical="bottom" wrapText="0"/>
    </xf>
    <xf borderId="4" fillId="0" fontId="1" numFmtId="0" xfId="0" applyAlignment="1" applyBorder="1" applyFont="1">
      <alignment horizontal="right" shrinkToFit="0" vertical="bottom" wrapText="0"/>
    </xf>
    <xf borderId="5" fillId="2" fontId="1" numFmtId="0" xfId="0" applyAlignment="1" applyBorder="1" applyFont="1">
      <alignment horizontal="right" readingOrder="0" shrinkToFit="0" vertical="bottom" wrapText="0"/>
    </xf>
    <xf borderId="3" fillId="0" fontId="1" numFmtId="0" xfId="0" applyAlignment="1" applyBorder="1" applyFont="1">
      <alignment horizontal="right" shrinkToFit="0" vertical="bottom" wrapText="0"/>
    </xf>
    <xf borderId="4" fillId="2" fontId="1" numFmtId="0" xfId="0" applyAlignment="1" applyBorder="1" applyFont="1">
      <alignment horizontal="right" readingOrder="0" shrinkToFit="0" vertical="bottom" wrapText="0"/>
    </xf>
    <xf borderId="3" fillId="0" fontId="1" numFmtId="0" xfId="0" applyAlignment="1" applyBorder="1" applyFont="1">
      <alignment horizontal="right" vertical="bottom"/>
    </xf>
    <xf borderId="4" fillId="0" fontId="1" numFmtId="0" xfId="0" applyAlignment="1" applyBorder="1" applyFont="1">
      <alignment horizontal="right" vertical="bottom"/>
    </xf>
    <xf borderId="5" fillId="0" fontId="1" numFmtId="0" xfId="0" applyAlignment="1" applyBorder="1" applyFont="1">
      <alignment horizontal="right" readingOrder="0" shrinkToFit="0" vertical="bottom" wrapText="0"/>
    </xf>
    <xf borderId="3" fillId="0" fontId="1" numFmtId="0" xfId="0" applyAlignment="1" applyBorder="1" applyFont="1">
      <alignment horizontal="right" readingOrder="0" shrinkToFit="0" vertical="bottom" wrapText="0"/>
    </xf>
    <xf borderId="4" fillId="0" fontId="1" numFmtId="0" xfId="0" applyAlignment="1" applyBorder="1" applyFont="1">
      <alignment horizontal="right" readingOrder="0" shrinkToFit="0" vertical="bottom" wrapText="0"/>
    </xf>
    <xf borderId="5" fillId="0" fontId="1" numFmtId="0" xfId="0" applyAlignment="1" applyBorder="1" applyFont="1">
      <alignment horizontal="right" vertical="bottom"/>
    </xf>
    <xf borderId="8" fillId="0" fontId="1" numFmtId="0" xfId="0" applyAlignment="1" applyBorder="1" applyFont="1">
      <alignment horizontal="right" readingOrder="0" shrinkToFit="0" vertical="bottom" wrapText="0"/>
    </xf>
    <xf borderId="6" fillId="0" fontId="1" numFmtId="0" xfId="0" applyAlignment="1" applyBorder="1" applyFont="1">
      <alignment horizontal="right" readingOrder="0" shrinkToFit="0" vertical="bottom" wrapText="0"/>
    </xf>
    <xf borderId="7" fillId="0" fontId="1" numFmtId="0" xfId="0" applyAlignment="1" applyBorder="1" applyFont="1">
      <alignment horizontal="right" readingOrder="0" shrinkToFit="0" vertical="bottom" wrapText="0"/>
    </xf>
    <xf borderId="6" fillId="0" fontId="1" numFmtId="0" xfId="0" applyAlignment="1" applyBorder="1" applyFont="1">
      <alignment horizontal="right" shrinkToFit="0" vertical="bottom" wrapText="0"/>
    </xf>
    <xf borderId="5" fillId="3" fontId="1" numFmtId="0" xfId="0" applyAlignment="1" applyBorder="1" applyFont="1">
      <alignment horizontal="right" shrinkToFit="0" vertical="bottom" wrapText="0"/>
    </xf>
    <xf borderId="3" fillId="3" fontId="1" numFmtId="0" xfId="0" applyAlignment="1" applyBorder="1" applyFont="1">
      <alignment horizontal="right" shrinkToFit="0" vertical="bottom" wrapText="0"/>
    </xf>
    <xf borderId="3" fillId="2" fontId="1" numFmtId="0" xfId="0" applyAlignment="1" applyBorder="1" applyFont="1">
      <alignment horizontal="right" shrinkToFit="0" vertical="bottom" wrapText="0"/>
    </xf>
    <xf borderId="4" fillId="3" fontId="1" numFmtId="0" xfId="0" applyAlignment="1" applyBorder="1" applyFont="1">
      <alignment horizontal="right" shrinkToFit="0" vertical="bottom" wrapText="0"/>
    </xf>
    <xf borderId="8" fillId="0" fontId="2" numFmtId="0" xfId="0" applyBorder="1" applyFont="1"/>
    <xf borderId="7" fillId="0" fontId="2" numFmtId="0" xfId="0" applyBorder="1" applyFont="1"/>
    <xf borderId="0" fillId="0" fontId="10" numFmtId="0" xfId="0" applyAlignment="1" applyFont="1">
      <alignment vertical="bottom"/>
    </xf>
    <xf borderId="0" fillId="0" fontId="11" numFmtId="0" xfId="0" applyAlignment="1" applyFont="1">
      <alignment vertical="bottom"/>
    </xf>
    <xf borderId="0" fillId="0" fontId="5" numFmtId="0" xfId="0" applyAlignment="1" applyFont="1">
      <alignment horizontal="center" readingOrder="0" shrinkToFit="0" wrapText="0"/>
    </xf>
    <xf borderId="0" fillId="0" fontId="6" numFmtId="0" xfId="0" applyAlignment="1" applyFont="1">
      <alignment horizontal="center" readingOrder="0"/>
    </xf>
    <xf borderId="0" fillId="6" fontId="2" numFmtId="0" xfId="0" applyFill="1" applyFont="1"/>
    <xf borderId="0" fillId="6" fontId="2" numFmtId="0" xfId="0" applyAlignment="1" applyFont="1">
      <alignment shrinkToFit="0" wrapText="0"/>
    </xf>
    <xf borderId="0" fillId="6" fontId="4" numFmtId="0" xfId="0" applyFont="1"/>
    <xf borderId="8" fillId="0" fontId="2" numFmtId="0" xfId="0" applyAlignment="1" applyBorder="1" applyFont="1">
      <alignment readingOrder="0" shrinkToFit="0" wrapText="0"/>
    </xf>
    <xf borderId="6" fillId="0" fontId="4" numFmtId="0" xfId="0" applyAlignment="1" applyBorder="1" applyFont="1">
      <alignment readingOrder="0" shrinkToFit="0" wrapText="0"/>
    </xf>
    <xf borderId="7" fillId="0" fontId="4" numFmtId="0" xfId="0" applyAlignment="1" applyBorder="1" applyFont="1">
      <alignment readingOrder="0" shrinkToFit="0" wrapText="0"/>
    </xf>
    <xf borderId="9" fillId="0" fontId="4" numFmtId="0" xfId="0" applyAlignment="1" applyBorder="1" applyFont="1">
      <alignment readingOrder="0" shrinkToFit="0" wrapText="0"/>
    </xf>
    <xf borderId="8" fillId="0" fontId="4" numFmtId="0" xfId="0" applyAlignment="1" applyBorder="1" applyFont="1">
      <alignment readingOrder="0" shrinkToFit="0" wrapText="0"/>
    </xf>
    <xf borderId="10" fillId="0" fontId="2" numFmtId="0" xfId="0" applyAlignment="1" applyBorder="1" applyFont="1">
      <alignment readingOrder="0" shrinkToFit="0" wrapText="0"/>
    </xf>
    <xf borderId="11" fillId="0" fontId="4" numFmtId="0" xfId="0" applyAlignment="1" applyBorder="1" applyFont="1">
      <alignment readingOrder="0" shrinkToFit="0" wrapText="0"/>
    </xf>
    <xf borderId="1" fillId="0" fontId="4" numFmtId="0" xfId="0" applyAlignment="1" applyBorder="1" applyFont="1">
      <alignment readingOrder="0" shrinkToFit="0" wrapText="0"/>
    </xf>
    <xf borderId="5" fillId="0" fontId="2" numFmtId="0" xfId="0" applyAlignment="1" applyBorder="1" applyFont="1">
      <alignment readingOrder="0" shrinkToFit="0" wrapText="0"/>
    </xf>
    <xf borderId="3" fillId="0" fontId="4" numFmtId="0" xfId="0" applyAlignment="1" applyBorder="1" applyFont="1">
      <alignment readingOrder="0" shrinkToFit="0" wrapText="0"/>
    </xf>
    <xf borderId="4" fillId="0" fontId="4" numFmtId="0" xfId="0" applyAlignment="1" applyBorder="1" applyFont="1">
      <alignment readingOrder="0" shrinkToFit="0" wrapText="0"/>
    </xf>
    <xf borderId="4" fillId="0" fontId="1" numFmtId="0" xfId="0" applyAlignment="1" applyBorder="1" applyFont="1">
      <alignment readingOrder="0" shrinkToFit="0" vertical="bottom" wrapText="0"/>
    </xf>
    <xf borderId="5" fillId="0" fontId="4" numFmtId="0" xfId="0" applyBorder="1" applyFont="1"/>
    <xf borderId="3" fillId="0" fontId="4" numFmtId="0" xfId="0" applyBorder="1" applyFont="1"/>
    <xf borderId="12" fillId="0" fontId="2" numFmtId="0" xfId="0" applyAlignment="1" applyBorder="1" applyFont="1">
      <alignment readingOrder="0" shrinkToFit="0" wrapText="0"/>
    </xf>
    <xf borderId="12" fillId="0" fontId="4" numFmtId="0" xfId="0" applyAlignment="1" applyBorder="1" applyFont="1">
      <alignment readingOrder="0" shrinkToFit="0" wrapText="0"/>
    </xf>
    <xf borderId="13" fillId="0" fontId="4" numFmtId="0" xfId="0" applyAlignment="1" applyBorder="1" applyFont="1">
      <alignment readingOrder="0" shrinkToFit="0" wrapText="0"/>
    </xf>
    <xf borderId="5" fillId="0" fontId="4" numFmtId="0" xfId="0" applyAlignment="1" applyBorder="1" applyFont="1">
      <alignment readingOrder="0" shrinkToFit="0" wrapText="0"/>
    </xf>
    <xf borderId="14" fillId="0" fontId="2" numFmtId="0" xfId="0" applyAlignment="1" applyBorder="1" applyFont="1">
      <alignment readingOrder="0" shrinkToFit="0" wrapText="0"/>
    </xf>
    <xf borderId="14" fillId="0" fontId="4" numFmtId="0" xfId="0" applyAlignment="1" applyBorder="1" applyFont="1">
      <alignment readingOrder="0" shrinkToFit="0" wrapText="0"/>
    </xf>
    <xf borderId="15" fillId="0" fontId="4" numFmtId="0" xfId="0" applyAlignment="1" applyBorder="1" applyFont="1">
      <alignment readingOrder="0" shrinkToFit="0" wrapText="0"/>
    </xf>
    <xf borderId="10" fillId="0" fontId="4" numFmtId="0" xfId="0" applyAlignment="1" applyBorder="1" applyFont="1">
      <alignment readingOrder="0" shrinkToFit="0" wrapText="0"/>
    </xf>
    <xf borderId="15" fillId="0" fontId="2" numFmtId="0" xfId="0" applyAlignment="1" applyBorder="1" applyFont="1">
      <alignment readingOrder="0" shrinkToFit="0" wrapText="0"/>
    </xf>
    <xf borderId="0" fillId="0" fontId="2" numFmtId="167" xfId="0" applyAlignment="1" applyFont="1" applyNumberFormat="1">
      <alignment readingOrder="0"/>
    </xf>
    <xf borderId="16" fillId="0" fontId="5" numFmtId="0" xfId="0" applyAlignment="1" applyBorder="1" applyFont="1">
      <alignment readingOrder="0"/>
    </xf>
    <xf borderId="17" fillId="0" fontId="2" numFmtId="0" xfId="0" applyBorder="1" applyFont="1"/>
    <xf borderId="18" fillId="0" fontId="2" numFmtId="0" xfId="0" applyBorder="1" applyFont="1"/>
    <xf borderId="0" fillId="0" fontId="2" numFmtId="0" xfId="0" applyAlignment="1" applyFont="1">
      <alignment readingOrder="0" shrinkToFit="0" wrapText="1"/>
    </xf>
    <xf borderId="19" fillId="0" fontId="2" numFmtId="0" xfId="0" applyAlignment="1" applyBorder="1" applyFont="1">
      <alignment readingOrder="0" shrinkToFit="0" wrapText="1"/>
    </xf>
    <xf borderId="20" fillId="0" fontId="2" numFmtId="0" xfId="0" applyAlignment="1" applyBorder="1" applyFont="1">
      <alignment readingOrder="0" shrinkToFit="0" wrapText="1"/>
    </xf>
    <xf borderId="0" fillId="0" fontId="2" numFmtId="0" xfId="0" applyAlignment="1" applyFont="1">
      <alignment shrinkToFit="0" wrapText="1"/>
    </xf>
    <xf borderId="21" fillId="0" fontId="2" numFmtId="0" xfId="0" applyAlignment="1" applyBorder="1" applyFont="1">
      <alignment readingOrder="0"/>
    </xf>
    <xf borderId="22" fillId="0" fontId="2" numFmtId="0" xfId="0" applyBorder="1" applyFont="1"/>
    <xf borderId="20" fillId="0" fontId="2" numFmtId="0" xfId="0" applyAlignment="1" applyBorder="1" applyFont="1">
      <alignment shrinkToFit="0" wrapText="1"/>
    </xf>
    <xf borderId="23" fillId="0" fontId="2" numFmtId="0" xfId="0" applyAlignment="1" applyBorder="1" applyFont="1">
      <alignment readingOrder="0"/>
    </xf>
    <xf borderId="24" fillId="0" fontId="2" numFmtId="0" xfId="0" applyAlignment="1" applyBorder="1" applyFont="1">
      <alignment readingOrder="0"/>
    </xf>
    <xf borderId="19" fillId="0" fontId="2" numFmtId="0" xfId="0" applyAlignment="1" applyBorder="1" applyFont="1">
      <alignment readingOrder="0"/>
    </xf>
    <xf borderId="20" fillId="0" fontId="2" numFmtId="0" xfId="0" applyBorder="1" applyFont="1"/>
    <xf borderId="19" fillId="0" fontId="2" numFmtId="0" xfId="0" applyBorder="1" applyFont="1"/>
    <xf borderId="19" fillId="0" fontId="1" numFmtId="0" xfId="0" applyAlignment="1" applyBorder="1" applyFont="1">
      <alignment vertical="bottom"/>
    </xf>
    <xf borderId="0" fillId="0" fontId="1" numFmtId="0" xfId="0" applyAlignment="1" applyFont="1">
      <alignment shrinkToFit="0" vertical="bottom" wrapText="1"/>
    </xf>
    <xf borderId="0" fillId="0" fontId="1" numFmtId="11" xfId="0" applyAlignment="1" applyFont="1" applyNumberFormat="1">
      <alignment shrinkToFit="0" vertical="bottom" wrapText="1"/>
    </xf>
    <xf borderId="20" fillId="0" fontId="1" numFmtId="0" xfId="0" applyAlignment="1" applyBorder="1" applyFont="1">
      <alignment vertical="bottom"/>
    </xf>
    <xf borderId="0" fillId="0" fontId="1" numFmtId="0" xfId="0" applyAlignment="1" applyFont="1">
      <alignment horizontal="center" shrinkToFit="0" vertical="bottom" wrapText="1"/>
    </xf>
    <xf borderId="0" fillId="0" fontId="1" numFmtId="167" xfId="0" applyAlignment="1" applyFont="1" applyNumberFormat="1">
      <alignment horizontal="center" shrinkToFit="0" vertical="bottom" wrapText="0"/>
    </xf>
    <xf borderId="0" fillId="0" fontId="1" numFmtId="11" xfId="0" applyAlignment="1" applyFont="1" applyNumberFormat="1">
      <alignment horizontal="center" shrinkToFit="0" vertical="bottom" wrapText="1"/>
    </xf>
    <xf borderId="20" fillId="0" fontId="1" numFmtId="11" xfId="0" applyAlignment="1" applyBorder="1" applyFont="1" applyNumberFormat="1">
      <alignment horizontal="center" shrinkToFit="0" vertical="bottom" wrapText="1"/>
    </xf>
    <xf borderId="20" fillId="0" fontId="1" numFmtId="0" xfId="0" applyAlignment="1" applyBorder="1" applyFont="1">
      <alignment horizontal="right" vertical="bottom"/>
    </xf>
    <xf borderId="19" fillId="0" fontId="1" numFmtId="0" xfId="0" applyAlignment="1" applyBorder="1" applyFont="1">
      <alignment vertical="bottom"/>
    </xf>
    <xf borderId="19" fillId="0" fontId="1" numFmtId="0" xfId="0" applyAlignment="1" applyBorder="1" applyFont="1">
      <alignment readingOrder="0" vertical="bottom"/>
    </xf>
    <xf borderId="0" fillId="0" fontId="1" numFmtId="166" xfId="0" applyAlignment="1" applyFont="1" applyNumberFormat="1">
      <alignment horizontal="right" vertical="bottom"/>
    </xf>
    <xf borderId="0" fillId="0" fontId="1" numFmtId="11" xfId="0" applyAlignment="1" applyFont="1" applyNumberFormat="1">
      <alignment horizontal="right" vertical="bottom"/>
    </xf>
    <xf borderId="20" fillId="0" fontId="1" numFmtId="11" xfId="0" applyAlignment="1" applyBorder="1" applyFont="1" applyNumberFormat="1">
      <alignment horizontal="right" vertical="bottom"/>
    </xf>
    <xf borderId="0" fillId="0" fontId="1" numFmtId="4" xfId="0" applyAlignment="1" applyFont="1" applyNumberFormat="1">
      <alignment horizontal="right" vertical="bottom"/>
    </xf>
    <xf borderId="20" fillId="0" fontId="1" numFmtId="4" xfId="0" applyAlignment="1" applyBorder="1" applyFont="1" applyNumberFormat="1">
      <alignment horizontal="right" vertical="bottom"/>
    </xf>
    <xf borderId="19" fillId="0" fontId="2" numFmtId="0" xfId="0" applyAlignment="1" applyBorder="1" applyFont="1">
      <alignment readingOrder="0" shrinkToFit="0" wrapText="0"/>
    </xf>
    <xf borderId="25" fillId="0" fontId="2" numFmtId="0" xfId="0" applyAlignment="1" applyBorder="1" applyFont="1">
      <alignment readingOrder="0" shrinkToFit="0" wrapText="0"/>
    </xf>
    <xf borderId="26" fillId="0" fontId="2" numFmtId="0" xfId="0" applyAlignment="1" applyBorder="1" applyFont="1">
      <alignment readingOrder="0"/>
    </xf>
    <xf borderId="26" fillId="0" fontId="2" numFmtId="11" xfId="0" applyAlignment="1" applyBorder="1" applyFont="1" applyNumberFormat="1">
      <alignment readingOrder="0"/>
    </xf>
    <xf borderId="27" fillId="0" fontId="1" numFmtId="11" xfId="0" applyAlignment="1" applyBorder="1" applyFont="1" applyNumberFormat="1">
      <alignment horizontal="center" readingOrder="0" vertical="bottom"/>
    </xf>
    <xf borderId="6" fillId="0" fontId="2" numFmtId="3" xfId="0" applyBorder="1" applyFont="1" applyNumberFormat="1"/>
    <xf borderId="22" fillId="0" fontId="2" numFmtId="3" xfId="0" applyBorder="1" applyFont="1" applyNumberFormat="1"/>
    <xf borderId="0" fillId="0" fontId="2" numFmtId="11" xfId="0" applyAlignment="1" applyFont="1" applyNumberFormat="1">
      <alignment readingOrder="0" shrinkToFit="0" wrapText="1"/>
    </xf>
    <xf borderId="20" fillId="0" fontId="2" numFmtId="3" xfId="0" applyBorder="1" applyFont="1" applyNumberFormat="1"/>
    <xf borderId="0" fillId="0" fontId="2" numFmtId="167" xfId="0" applyAlignment="1" applyFont="1" applyNumberFormat="1">
      <alignment readingOrder="0" shrinkToFit="0" wrapText="1"/>
    </xf>
    <xf borderId="0" fillId="0" fontId="12" numFmtId="0" xfId="0" applyAlignment="1" applyFont="1">
      <alignment readingOrder="0"/>
    </xf>
    <xf borderId="0" fillId="0" fontId="12" numFmtId="11" xfId="0" applyAlignment="1" applyFont="1" applyNumberFormat="1">
      <alignment readingOrder="0"/>
    </xf>
    <xf borderId="20" fillId="0" fontId="2" numFmtId="11" xfId="0" applyAlignment="1" applyBorder="1" applyFont="1" applyNumberFormat="1">
      <alignment readingOrder="0"/>
    </xf>
    <xf borderId="0" fillId="0" fontId="2" numFmtId="11" xfId="0" applyAlignment="1" applyFont="1" applyNumberFormat="1">
      <alignment readingOrder="0"/>
    </xf>
    <xf borderId="20" fillId="0" fontId="2" numFmtId="0" xfId="0" applyAlignment="1" applyBorder="1" applyFont="1">
      <alignment readingOrder="0"/>
    </xf>
    <xf borderId="0" fillId="0" fontId="2" numFmtId="165" xfId="0" applyAlignment="1" applyFont="1" applyNumberFormat="1">
      <alignment readingOrder="0"/>
    </xf>
    <xf borderId="0" fillId="0" fontId="1" numFmtId="172" xfId="0" applyAlignment="1" applyFont="1" applyNumberFormat="1">
      <alignment horizontal="right" vertical="bottom"/>
    </xf>
    <xf borderId="0" fillId="0" fontId="1" numFmtId="172" xfId="0" applyAlignment="1" applyFont="1" applyNumberFormat="1">
      <alignment vertical="bottom"/>
    </xf>
    <xf borderId="20" fillId="0" fontId="2" numFmtId="177" xfId="0" applyAlignment="1" applyBorder="1" applyFont="1" applyNumberFormat="1">
      <alignment readingOrder="0"/>
    </xf>
    <xf borderId="0" fillId="0" fontId="12" numFmtId="4" xfId="0" applyAlignment="1" applyFont="1" applyNumberFormat="1">
      <alignment readingOrder="0"/>
    </xf>
    <xf borderId="0" fillId="0" fontId="2" numFmtId="4" xfId="0" applyAlignment="1" applyFont="1" applyNumberFormat="1">
      <alignment readingOrder="0"/>
    </xf>
    <xf borderId="20" fillId="0" fontId="2" numFmtId="4" xfId="0" applyAlignment="1" applyBorder="1" applyFont="1" applyNumberFormat="1">
      <alignment readingOrder="0"/>
    </xf>
    <xf borderId="0" fillId="0" fontId="1" numFmtId="172" xfId="0" applyAlignment="1" applyFont="1" applyNumberFormat="1">
      <alignment readingOrder="0" vertical="bottom"/>
    </xf>
    <xf borderId="0" fillId="3" fontId="2" numFmtId="168" xfId="0" applyAlignment="1" applyFont="1" applyNumberFormat="1">
      <alignment readingOrder="0" shrinkToFit="0" wrapText="0"/>
    </xf>
    <xf borderId="20" fillId="0" fontId="1" numFmtId="177" xfId="0" applyAlignment="1" applyBorder="1" applyFont="1" applyNumberFormat="1">
      <alignment horizontal="right" readingOrder="0" vertical="bottom"/>
    </xf>
    <xf borderId="0" fillId="0" fontId="12" numFmtId="3" xfId="0" applyAlignment="1" applyFont="1" applyNumberFormat="1">
      <alignment readingOrder="0"/>
    </xf>
    <xf borderId="20" fillId="0" fontId="1" numFmtId="4" xfId="0" applyAlignment="1" applyBorder="1" applyFont="1" applyNumberFormat="1">
      <alignment horizontal="right" readingOrder="0" vertical="bottom"/>
    </xf>
    <xf borderId="0" fillId="0" fontId="1" numFmtId="0" xfId="0" applyAlignment="1" applyFont="1">
      <alignment horizontal="left" readingOrder="0" vertical="bottom"/>
    </xf>
    <xf borderId="0" fillId="0" fontId="1" numFmtId="11" xfId="0" applyAlignment="1" applyFont="1" applyNumberFormat="1">
      <alignment horizontal="center" readingOrder="0" vertical="bottom"/>
    </xf>
    <xf borderId="20" fillId="0" fontId="1" numFmtId="11" xfId="0" applyAlignment="1" applyBorder="1" applyFont="1" applyNumberFormat="1">
      <alignment horizontal="center" readingOrder="0" vertical="bottom"/>
    </xf>
    <xf borderId="0" fillId="0" fontId="1" numFmtId="3" xfId="0" applyAlignment="1" applyFont="1" applyNumberFormat="1">
      <alignment horizontal="right" vertical="bottom"/>
    </xf>
    <xf borderId="20" fillId="0" fontId="1" numFmtId="3" xfId="0" applyAlignment="1" applyBorder="1" applyFont="1" applyNumberFormat="1">
      <alignment horizontal="right" vertical="bottom"/>
    </xf>
    <xf borderId="27" fillId="0" fontId="2" numFmtId="11" xfId="0" applyAlignment="1" applyBorder="1" applyFont="1" applyNumberFormat="1">
      <alignment readingOrder="0"/>
    </xf>
    <xf borderId="0" fillId="0" fontId="2" numFmtId="178" xfId="0" applyAlignment="1" applyFont="1" applyNumberFormat="1">
      <alignment readingOrder="0"/>
    </xf>
    <xf borderId="6" fillId="0" fontId="2" numFmtId="3" xfId="0" applyAlignment="1" applyBorder="1" applyFont="1" applyNumberFormat="1">
      <alignment readingOrder="0"/>
    </xf>
    <xf borderId="3" fillId="4" fontId="2" numFmtId="0" xfId="0" applyAlignment="1" applyBorder="1" applyFont="1">
      <alignment readingOrder="0"/>
    </xf>
    <xf borderId="0" fillId="0" fontId="2" numFmtId="166" xfId="0" applyAlignment="1" applyFont="1" applyNumberFormat="1">
      <alignment readingOrder="0" shrinkToFit="0" wrapText="1"/>
    </xf>
    <xf borderId="0" fillId="0" fontId="2" numFmtId="178" xfId="0" applyAlignment="1" applyFont="1" applyNumberFormat="1">
      <alignment readingOrder="0" shrinkToFit="0" wrapText="1"/>
    </xf>
    <xf borderId="0" fillId="0" fontId="2" numFmtId="2" xfId="0" applyAlignment="1" applyFont="1" applyNumberFormat="1">
      <alignment readingOrder="0" shrinkToFit="0" wrapText="1"/>
    </xf>
    <xf borderId="0" fillId="0" fontId="2" numFmtId="172" xfId="0" applyAlignment="1" applyFont="1" applyNumberFormat="1">
      <alignment readingOrder="0" shrinkToFit="0" wrapText="0"/>
    </xf>
    <xf borderId="0" fillId="0" fontId="1" numFmtId="169" xfId="0" applyAlignment="1" applyFont="1" applyNumberFormat="1">
      <alignment readingOrder="0" vertical="bottom"/>
    </xf>
    <xf borderId="0" fillId="0" fontId="2" numFmtId="179" xfId="0" applyAlignment="1" applyFont="1" applyNumberFormat="1">
      <alignment readingOrder="0"/>
    </xf>
    <xf borderId="20" fillId="0" fontId="2" numFmtId="165" xfId="0" applyAlignment="1" applyBorder="1" applyFont="1" applyNumberFormat="1">
      <alignment readingOrder="0"/>
    </xf>
    <xf borderId="20" fillId="0" fontId="2" numFmtId="3" xfId="0" applyAlignment="1" applyBorder="1" applyFont="1" applyNumberFormat="1">
      <alignment readingOrder="0"/>
    </xf>
    <xf borderId="0" fillId="0" fontId="1" numFmtId="172" xfId="0" applyAlignment="1" applyFont="1" applyNumberFormat="1">
      <alignment horizontal="right" shrinkToFit="0" vertical="bottom" wrapText="0"/>
    </xf>
    <xf borderId="0" fillId="0" fontId="1" numFmtId="11" xfId="0" applyAlignment="1" applyFont="1" applyNumberFormat="1">
      <alignment horizontal="left" readingOrder="0" vertical="bottom"/>
    </xf>
    <xf borderId="0" fillId="3" fontId="2" numFmtId="167" xfId="0" applyFont="1" applyNumberFormat="1"/>
    <xf borderId="20" fillId="0" fontId="2" numFmtId="167" xfId="0" applyAlignment="1" applyBorder="1" applyFont="1" applyNumberFormat="1">
      <alignment readingOrder="0"/>
    </xf>
    <xf borderId="26" fillId="0" fontId="2" numFmtId="165" xfId="0" applyAlignment="1" applyBorder="1" applyFont="1" applyNumberFormat="1">
      <alignment readingOrder="0"/>
    </xf>
    <xf borderId="26" fillId="0" fontId="2" numFmtId="180" xfId="0" applyAlignment="1" applyBorder="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thony Cheng" id="{29f457ce-a671-423c-8bbc-14c49ce96ed9}"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1" dT="2026-02-02T00:10:36.00" personId="{29f457ce-a671-423c-8bbc-14c49ce96ed9}" id="{ef7a06e7-4899-486d-8593-9986b9aeadd4}" done="1">
    <x18tc:text xml:space="preserve">May want to split into DMS, DMS+Flotation, and DMS+Magnetic Separation pathways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www.kimnet.nl/site/binaries/site-content/collections/documents/2023/03/30/kostenkengetallen-voor-het-goederenvervoer/Cost+figures+for+freight+transport_def.pdf" TargetMode="External"/><Relationship Id="rId3" Type="http://schemas.openxmlformats.org/officeDocument/2006/relationships/drawing" Target="../drawings/drawing12.xml"/><Relationship Id="rId4"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www.accio.com/plp/cost-of-bulk-hydrated-lime" TargetMode="External"/><Relationship Id="rId3" Type="http://schemas.openxmlformats.org/officeDocument/2006/relationships/hyperlink" Target="https://tradingeconomics.com/commodity/soda-ash" TargetMode="External"/><Relationship Id="rId4" Type="http://schemas.openxmlformats.org/officeDocument/2006/relationships/hyperlink" Target="https://www.bluefieldresearch.com/ns/u-s-water-and-sewer-bill-has-increased-24-in-five-years-raising-affordability-concerns/" TargetMode="External"/><Relationship Id="rId5" Type="http://schemas.openxmlformats.org/officeDocument/2006/relationships/drawing" Target="../drawings/drawing15.xml"/><Relationship Id="rId6"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6.xml"/><Relationship Id="rId5"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hyperlink" Target="https://m.convert-me.com/en/convert/energy/cmsgas/cmsgas-to-mymmbtu.html?u=cmsgas&amp;v=1" TargetMode="External"/><Relationship Id="rId2" Type="http://schemas.openxmlformats.org/officeDocument/2006/relationships/hyperlink" Target="https://www.cetinerengineering.com/conversiontables.html" TargetMode="External"/><Relationship Id="rId3"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8.xml"/><Relationship Id="rId3" Type="http://schemas.openxmlformats.org/officeDocument/2006/relationships/vmlDrawing" Target="../drawings/vmlDrawing1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1" t="s">
        <v>0</v>
      </c>
      <c r="C2" s="2" t="s">
        <v>1</v>
      </c>
    </row>
    <row r="3">
      <c r="B3" s="3" t="s">
        <v>2</v>
      </c>
      <c r="C3" s="2" t="s">
        <v>3</v>
      </c>
    </row>
    <row r="4">
      <c r="B4" s="4" t="s">
        <v>4</v>
      </c>
      <c r="C4" s="2" t="s">
        <v>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2.25"/>
    <col customWidth="1" hidden="1" min="3" max="10" width="12.63"/>
    <col customWidth="1" min="11" max="11" width="12.63"/>
    <col customWidth="1" hidden="1" min="12" max="27" width="12.63"/>
    <col customWidth="1" min="28" max="28" width="12.63"/>
    <col customWidth="1" hidden="1" min="29" max="35" width="12.63"/>
    <col customWidth="1" min="36" max="36" width="12.63"/>
    <col customWidth="1" hidden="1" min="37" max="37" width="12.63"/>
  </cols>
  <sheetData>
    <row r="1">
      <c r="A1" s="5" t="s">
        <v>6</v>
      </c>
      <c r="B1" s="6" t="s">
        <v>7</v>
      </c>
      <c r="C1" s="5" t="s">
        <v>8</v>
      </c>
      <c r="D1" s="5" t="s">
        <v>9</v>
      </c>
      <c r="E1" s="5" t="s">
        <v>10</v>
      </c>
      <c r="F1" s="5" t="s">
        <v>11</v>
      </c>
      <c r="G1" s="5" t="s">
        <v>12</v>
      </c>
      <c r="H1" s="5" t="s">
        <v>13</v>
      </c>
      <c r="I1" s="5" t="s">
        <v>14</v>
      </c>
      <c r="J1" s="5" t="s">
        <v>15</v>
      </c>
      <c r="K1" s="7" t="s">
        <v>16</v>
      </c>
      <c r="L1" s="8" t="s">
        <v>17</v>
      </c>
      <c r="M1" s="5" t="s">
        <v>18</v>
      </c>
      <c r="N1" s="5" t="s">
        <v>19</v>
      </c>
      <c r="O1" s="5" t="s">
        <v>20</v>
      </c>
      <c r="P1" s="7" t="s">
        <v>21</v>
      </c>
      <c r="Q1" s="8" t="s">
        <v>22</v>
      </c>
      <c r="R1" s="5" t="s">
        <v>23</v>
      </c>
      <c r="S1" s="5" t="s">
        <v>24</v>
      </c>
      <c r="T1" s="5" t="s">
        <v>25</v>
      </c>
      <c r="U1" s="5" t="s">
        <v>26</v>
      </c>
      <c r="V1" s="5" t="s">
        <v>27</v>
      </c>
      <c r="W1" s="5" t="s">
        <v>28</v>
      </c>
      <c r="X1" s="5" t="s">
        <v>29</v>
      </c>
      <c r="Y1" s="7" t="s">
        <v>30</v>
      </c>
      <c r="Z1" s="9" t="s">
        <v>31</v>
      </c>
      <c r="AA1" s="10" t="s">
        <v>32</v>
      </c>
      <c r="AB1" s="10" t="s">
        <v>33</v>
      </c>
      <c r="AC1" s="11" t="s">
        <v>34</v>
      </c>
      <c r="AD1" s="11" t="s">
        <v>35</v>
      </c>
      <c r="AE1" s="11" t="s">
        <v>36</v>
      </c>
      <c r="AF1" s="12" t="s">
        <v>37</v>
      </c>
      <c r="AG1" s="11" t="s">
        <v>38</v>
      </c>
      <c r="AH1" s="13" t="s">
        <v>39</v>
      </c>
      <c r="AI1" s="8" t="s">
        <v>40</v>
      </c>
      <c r="AJ1" s="5" t="s">
        <v>41</v>
      </c>
      <c r="AK1" s="5" t="s">
        <v>42</v>
      </c>
    </row>
    <row r="2">
      <c r="A2" s="5" t="s">
        <v>43</v>
      </c>
      <c r="B2" s="14"/>
      <c r="C2" s="15"/>
      <c r="D2" s="15"/>
      <c r="E2" s="15"/>
      <c r="F2" s="15"/>
      <c r="G2" s="15"/>
      <c r="H2" s="15"/>
      <c r="I2" s="15"/>
      <c r="J2" s="15"/>
      <c r="K2" s="16"/>
      <c r="L2" s="17"/>
      <c r="M2" s="18" t="s">
        <v>44</v>
      </c>
      <c r="N2" s="18" t="s">
        <v>45</v>
      </c>
      <c r="O2" s="18"/>
      <c r="P2" s="16"/>
      <c r="Q2" s="19"/>
      <c r="R2" s="20"/>
      <c r="S2" s="20"/>
      <c r="T2" s="20"/>
      <c r="U2" s="20"/>
      <c r="V2" s="20"/>
      <c r="W2" s="20"/>
      <c r="X2" s="20"/>
      <c r="Y2" s="21"/>
      <c r="Z2" s="22"/>
      <c r="AA2" s="5" t="s">
        <v>46</v>
      </c>
      <c r="AB2" s="10"/>
      <c r="AC2" s="5" t="s">
        <v>47</v>
      </c>
      <c r="AD2" s="5" t="s">
        <v>48</v>
      </c>
      <c r="AE2" s="20"/>
      <c r="AF2" s="23" t="s">
        <v>49</v>
      </c>
      <c r="AG2" s="20"/>
      <c r="AH2" s="7" t="s">
        <v>50</v>
      </c>
      <c r="AI2" s="19"/>
      <c r="AJ2" s="24" t="s">
        <v>51</v>
      </c>
      <c r="AK2" s="20"/>
    </row>
    <row r="3">
      <c r="A3" s="5" t="s">
        <v>52</v>
      </c>
      <c r="B3" s="14"/>
      <c r="C3" s="15" t="s">
        <v>53</v>
      </c>
      <c r="D3" s="15" t="s">
        <v>53</v>
      </c>
      <c r="E3" s="15"/>
      <c r="F3" s="15" t="s">
        <v>53</v>
      </c>
      <c r="G3" s="15" t="s">
        <v>53</v>
      </c>
      <c r="H3" s="15" t="s">
        <v>53</v>
      </c>
      <c r="I3" s="15" t="s">
        <v>53</v>
      </c>
      <c r="J3" s="15" t="s">
        <v>53</v>
      </c>
      <c r="K3" s="16" t="s">
        <v>53</v>
      </c>
      <c r="L3" s="8" t="s">
        <v>54</v>
      </c>
      <c r="M3" s="5" t="s">
        <v>54</v>
      </c>
      <c r="N3" s="5" t="s">
        <v>55</v>
      </c>
      <c r="O3" s="5" t="s">
        <v>55</v>
      </c>
      <c r="P3" s="25" t="s">
        <v>56</v>
      </c>
      <c r="Q3" s="8" t="s">
        <v>57</v>
      </c>
      <c r="R3" s="5" t="s">
        <v>57</v>
      </c>
      <c r="S3" s="5" t="s">
        <v>57</v>
      </c>
      <c r="T3" s="5" t="s">
        <v>57</v>
      </c>
      <c r="U3" s="5" t="s">
        <v>57</v>
      </c>
      <c r="V3" s="5" t="s">
        <v>57</v>
      </c>
      <c r="W3" s="5" t="s">
        <v>57</v>
      </c>
      <c r="X3" s="5" t="s">
        <v>57</v>
      </c>
      <c r="Y3" s="7" t="s">
        <v>57</v>
      </c>
      <c r="Z3" s="26" t="s">
        <v>58</v>
      </c>
      <c r="AA3" s="11" t="s">
        <v>58</v>
      </c>
      <c r="AB3" s="11" t="s">
        <v>58</v>
      </c>
      <c r="AC3" s="11" t="s">
        <v>58</v>
      </c>
      <c r="AD3" s="11" t="s">
        <v>58</v>
      </c>
      <c r="AE3" s="11" t="s">
        <v>58</v>
      </c>
      <c r="AF3" s="12" t="s">
        <v>58</v>
      </c>
      <c r="AG3" s="11" t="s">
        <v>58</v>
      </c>
      <c r="AH3" s="13" t="s">
        <v>58</v>
      </c>
      <c r="AI3" s="8" t="s">
        <v>59</v>
      </c>
      <c r="AJ3" s="5" t="s">
        <v>59</v>
      </c>
      <c r="AK3" s="5"/>
    </row>
    <row r="4">
      <c r="A4" s="5" t="s">
        <v>60</v>
      </c>
      <c r="B4" s="14" t="s">
        <v>61</v>
      </c>
      <c r="C4" s="15">
        <v>25000.0</v>
      </c>
      <c r="D4" s="15">
        <v>15600.0</v>
      </c>
      <c r="E4" s="15">
        <v>25300.0</v>
      </c>
      <c r="F4" s="15">
        <v>45000.0</v>
      </c>
      <c r="G4" s="15">
        <v>25000.0</v>
      </c>
      <c r="H4" s="15">
        <v>88000.0</v>
      </c>
      <c r="I4" s="15">
        <v>210000.0</v>
      </c>
      <c r="J4" s="15">
        <v>20000.0</v>
      </c>
      <c r="K4" s="16">
        <v>6000.0</v>
      </c>
      <c r="L4" s="17">
        <v>5400.0</v>
      </c>
      <c r="M4" s="15">
        <v>22500.0</v>
      </c>
      <c r="N4" s="15">
        <f>29593/Conversions!B8</f>
        <v>16806.2602</v>
      </c>
      <c r="O4" s="15">
        <v>13074.0</v>
      </c>
      <c r="P4" s="16">
        <v>25000.0</v>
      </c>
      <c r="Q4" s="17">
        <v>44201.0</v>
      </c>
      <c r="R4" s="15">
        <v>20000.0</v>
      </c>
      <c r="S4" s="15">
        <v>267084.0</v>
      </c>
      <c r="T4" s="15">
        <v>296760.0</v>
      </c>
      <c r="U4" s="15">
        <v>311598.0</v>
      </c>
      <c r="V4" s="15">
        <v>27715.0</v>
      </c>
      <c r="W4" s="15">
        <v>112556.0</v>
      </c>
      <c r="X4" s="15">
        <v>242000.0</v>
      </c>
      <c r="Y4" s="16">
        <v>71528.0</v>
      </c>
      <c r="Z4" s="27">
        <v>84261.0</v>
      </c>
      <c r="AA4" s="15">
        <v>20589.0</v>
      </c>
      <c r="AB4" s="15">
        <v>66800.0</v>
      </c>
      <c r="AC4" s="15" t="s">
        <v>62</v>
      </c>
      <c r="AD4" s="15">
        <v>48000.0</v>
      </c>
      <c r="AE4" s="15">
        <v>22500.0</v>
      </c>
      <c r="AF4" s="28">
        <v>32300.0</v>
      </c>
      <c r="AG4" s="15">
        <v>35000.0</v>
      </c>
      <c r="AH4" s="16">
        <f>33000*0.881</f>
        <v>29073</v>
      </c>
      <c r="AI4" s="17"/>
      <c r="AJ4" s="15">
        <v>46000.0</v>
      </c>
      <c r="AK4" s="15"/>
    </row>
    <row r="5">
      <c r="A5" s="5" t="s">
        <v>63</v>
      </c>
      <c r="B5" s="29"/>
      <c r="C5" s="30">
        <v>30.0</v>
      </c>
      <c r="D5" s="30">
        <v>25.0</v>
      </c>
      <c r="E5" s="31">
        <v>40.0</v>
      </c>
      <c r="F5" s="31">
        <v>40.0</v>
      </c>
      <c r="G5" s="31">
        <v>30.0</v>
      </c>
      <c r="H5" s="31">
        <v>21.0</v>
      </c>
      <c r="I5" s="31">
        <v>7.0</v>
      </c>
      <c r="J5" s="31">
        <v>50.0</v>
      </c>
      <c r="K5" s="32">
        <v>25.0</v>
      </c>
      <c r="L5" s="33">
        <v>25.0</v>
      </c>
      <c r="M5" s="31">
        <v>20.0</v>
      </c>
      <c r="N5" s="31">
        <v>50.0</v>
      </c>
      <c r="O5" s="31">
        <v>10.0</v>
      </c>
      <c r="P5" s="32"/>
      <c r="Q5" s="34">
        <v>4.5</v>
      </c>
      <c r="R5" s="31">
        <v>20.0</v>
      </c>
      <c r="S5" s="31">
        <v>6.0</v>
      </c>
      <c r="T5" s="31">
        <v>19.0</v>
      </c>
      <c r="U5" s="31">
        <v>32.0</v>
      </c>
      <c r="V5" s="35">
        <v>15.333</v>
      </c>
      <c r="W5" s="31">
        <v>18.0</v>
      </c>
      <c r="X5" s="31">
        <v>11.0</v>
      </c>
      <c r="Y5" s="32">
        <v>24.0</v>
      </c>
      <c r="Z5" s="36">
        <v>43.0</v>
      </c>
      <c r="AA5" s="31">
        <v>25.2</v>
      </c>
      <c r="AB5" s="15">
        <v>40.0</v>
      </c>
      <c r="AC5" s="31">
        <v>40.0</v>
      </c>
      <c r="AD5" s="31">
        <v>40.0</v>
      </c>
      <c r="AE5" s="31">
        <v>40.0</v>
      </c>
      <c r="AF5" s="37">
        <v>40.0</v>
      </c>
      <c r="AG5" s="31">
        <v>19.0</v>
      </c>
      <c r="AH5" s="32">
        <v>50.0</v>
      </c>
      <c r="AI5" s="33" t="s">
        <v>64</v>
      </c>
      <c r="AJ5" s="31" t="s">
        <v>65</v>
      </c>
      <c r="AK5" s="31"/>
    </row>
    <row r="6">
      <c r="A6" s="5" t="s">
        <v>66</v>
      </c>
      <c r="B6" s="29" t="s">
        <v>67</v>
      </c>
      <c r="C6" s="30"/>
      <c r="D6" s="30"/>
      <c r="E6" s="31"/>
      <c r="F6" s="31"/>
      <c r="G6" s="31"/>
      <c r="H6" s="31"/>
      <c r="I6" s="31"/>
      <c r="J6" s="31"/>
      <c r="K6" s="32"/>
      <c r="L6" s="38"/>
      <c r="M6" s="39"/>
      <c r="N6" s="39"/>
      <c r="O6" s="39"/>
      <c r="P6" s="32"/>
      <c r="Q6" s="34"/>
      <c r="R6" s="31"/>
      <c r="S6" s="31"/>
      <c r="T6" s="31"/>
      <c r="U6" s="31"/>
      <c r="V6" s="35"/>
      <c r="W6" s="31"/>
      <c r="X6" s="31"/>
      <c r="Y6" s="32"/>
      <c r="Z6" s="36"/>
      <c r="AA6" s="31"/>
      <c r="AB6" s="15"/>
      <c r="AC6" s="31"/>
      <c r="AD6" s="31"/>
      <c r="AE6" s="31"/>
      <c r="AF6" s="37"/>
      <c r="AG6" s="31"/>
      <c r="AH6" s="32"/>
      <c r="AI6" s="33"/>
      <c r="AJ6" s="31"/>
      <c r="AK6" s="31"/>
    </row>
    <row r="7">
      <c r="A7" s="5" t="s">
        <v>68</v>
      </c>
      <c r="B7" s="29"/>
      <c r="C7" s="30"/>
      <c r="D7" s="30"/>
      <c r="E7" s="31"/>
      <c r="F7" s="31"/>
      <c r="G7" s="31"/>
      <c r="H7" s="31"/>
      <c r="I7" s="31"/>
      <c r="J7" s="31"/>
      <c r="K7" s="32"/>
      <c r="L7" s="38"/>
      <c r="M7" s="39"/>
      <c r="N7" s="39"/>
      <c r="O7" s="39"/>
      <c r="P7" s="32"/>
      <c r="Q7" s="34"/>
      <c r="R7" s="31"/>
      <c r="S7" s="31"/>
      <c r="T7" s="31"/>
      <c r="U7" s="31"/>
      <c r="V7" s="35"/>
      <c r="W7" s="31"/>
      <c r="X7" s="31"/>
      <c r="Y7" s="32"/>
      <c r="Z7" s="36" t="b">
        <v>1</v>
      </c>
      <c r="AA7" s="31"/>
      <c r="AB7" s="15" t="b">
        <v>1</v>
      </c>
      <c r="AC7" s="31"/>
      <c r="AD7" s="31" t="b">
        <v>0</v>
      </c>
      <c r="AE7" s="31"/>
      <c r="AF7" s="37"/>
      <c r="AG7" s="31"/>
      <c r="AH7" s="32"/>
      <c r="AI7" s="33"/>
      <c r="AJ7" s="31" t="b">
        <v>1</v>
      </c>
      <c r="AK7" s="31"/>
    </row>
    <row r="8">
      <c r="A8" s="6" t="s">
        <v>69</v>
      </c>
      <c r="B8" s="40"/>
      <c r="C8" s="40" t="s">
        <v>70</v>
      </c>
      <c r="D8" s="40" t="s">
        <v>70</v>
      </c>
      <c r="E8" s="40" t="s">
        <v>70</v>
      </c>
      <c r="F8" s="40" t="s">
        <v>70</v>
      </c>
      <c r="G8" s="40" t="s">
        <v>70</v>
      </c>
      <c r="H8" s="40" t="s">
        <v>70</v>
      </c>
      <c r="I8" s="40" t="s">
        <v>70</v>
      </c>
      <c r="J8" s="40" t="s">
        <v>70</v>
      </c>
      <c r="K8" s="41" t="s">
        <v>70</v>
      </c>
      <c r="L8" s="42"/>
      <c r="M8" s="43"/>
      <c r="N8" s="43"/>
      <c r="O8" s="43"/>
      <c r="P8" s="44"/>
      <c r="Q8" s="42"/>
      <c r="R8" s="43"/>
      <c r="S8" s="43"/>
      <c r="T8" s="43"/>
      <c r="U8" s="43"/>
      <c r="V8" s="43"/>
      <c r="W8" s="43"/>
      <c r="X8" s="43"/>
      <c r="Y8" s="45"/>
      <c r="Z8" s="46"/>
      <c r="AA8" s="6"/>
      <c r="AB8" s="2" t="s">
        <v>71</v>
      </c>
      <c r="AC8" s="2" t="s">
        <v>71</v>
      </c>
      <c r="AD8" s="2" t="s">
        <v>71</v>
      </c>
      <c r="AE8" s="6"/>
      <c r="AF8" s="47"/>
      <c r="AG8" s="6"/>
      <c r="AH8" s="44"/>
      <c r="AI8" s="48"/>
      <c r="AJ8" s="6" t="s">
        <v>71</v>
      </c>
      <c r="AK8" s="6"/>
    </row>
    <row r="9">
      <c r="A9" s="6" t="s">
        <v>72</v>
      </c>
      <c r="B9" s="49" t="s">
        <v>73</v>
      </c>
      <c r="C9" s="50" t="s">
        <v>74</v>
      </c>
      <c r="D9" s="50" t="s">
        <v>75</v>
      </c>
      <c r="E9" s="50" t="s">
        <v>76</v>
      </c>
      <c r="F9" s="50" t="s">
        <v>77</v>
      </c>
      <c r="G9" s="50" t="s">
        <v>78</v>
      </c>
      <c r="H9" s="50" t="s">
        <v>79</v>
      </c>
      <c r="I9" s="50" t="s">
        <v>80</v>
      </c>
      <c r="J9" s="50" t="s">
        <v>81</v>
      </c>
      <c r="K9" s="51" t="s">
        <v>82</v>
      </c>
      <c r="L9" s="52" t="s">
        <v>83</v>
      </c>
      <c r="M9" s="53" t="s">
        <v>84</v>
      </c>
      <c r="N9" s="54"/>
      <c r="O9" s="53" t="s">
        <v>85</v>
      </c>
      <c r="P9" s="55"/>
      <c r="Q9" s="56"/>
      <c r="R9" s="54"/>
      <c r="S9" s="54"/>
      <c r="T9" s="54"/>
      <c r="U9" s="54"/>
      <c r="V9" s="54"/>
      <c r="W9" s="54"/>
      <c r="X9" s="54"/>
      <c r="Y9" s="57"/>
      <c r="Z9" s="58" t="s">
        <v>86</v>
      </c>
      <c r="AA9" s="53" t="s">
        <v>87</v>
      </c>
      <c r="AB9" s="59" t="s">
        <v>88</v>
      </c>
      <c r="AC9" s="59" t="s">
        <v>89</v>
      </c>
      <c r="AD9" s="59" t="s">
        <v>90</v>
      </c>
      <c r="AE9" s="59" t="s">
        <v>91</v>
      </c>
      <c r="AF9" s="60" t="s">
        <v>92</v>
      </c>
      <c r="AG9" s="59" t="s">
        <v>93</v>
      </c>
      <c r="AH9" s="61" t="s">
        <v>94</v>
      </c>
      <c r="AI9" s="56"/>
      <c r="AJ9" s="62" t="s">
        <v>95</v>
      </c>
      <c r="AK9" s="49"/>
    </row>
    <row r="10">
      <c r="A10" s="5" t="s">
        <v>96</v>
      </c>
      <c r="B10" s="40"/>
      <c r="C10" s="63" t="s">
        <v>97</v>
      </c>
      <c r="D10" s="63" t="s">
        <v>97</v>
      </c>
      <c r="E10" s="63" t="s">
        <v>97</v>
      </c>
      <c r="F10" s="63" t="s">
        <v>97</v>
      </c>
      <c r="G10" s="63" t="s">
        <v>97</v>
      </c>
      <c r="H10" s="63" t="s">
        <v>97</v>
      </c>
      <c r="I10" s="63" t="s">
        <v>97</v>
      </c>
      <c r="J10" s="63" t="s">
        <v>97</v>
      </c>
      <c r="K10" s="64" t="s">
        <v>98</v>
      </c>
      <c r="L10" s="19"/>
      <c r="M10" s="20"/>
      <c r="N10" s="20"/>
      <c r="O10" s="15" t="s">
        <v>97</v>
      </c>
      <c r="P10" s="7"/>
      <c r="Q10" s="19"/>
      <c r="R10" s="20"/>
      <c r="S10" s="20"/>
      <c r="T10" s="20"/>
      <c r="U10" s="20"/>
      <c r="V10" s="20"/>
      <c r="W10" s="20"/>
      <c r="X10" s="20"/>
      <c r="Y10" s="21"/>
      <c r="Z10" s="65" t="s">
        <v>99</v>
      </c>
      <c r="AA10" s="5" t="s">
        <v>99</v>
      </c>
      <c r="AB10" s="11" t="s">
        <v>99</v>
      </c>
      <c r="AC10" s="5" t="s">
        <v>99</v>
      </c>
      <c r="AD10" s="5" t="s">
        <v>99</v>
      </c>
      <c r="AE10" s="5" t="s">
        <v>99</v>
      </c>
      <c r="AF10" s="23" t="s">
        <v>99</v>
      </c>
      <c r="AG10" s="5" t="s">
        <v>99</v>
      </c>
      <c r="AH10" s="7" t="s">
        <v>99</v>
      </c>
      <c r="AI10" s="8" t="s">
        <v>99</v>
      </c>
      <c r="AJ10" s="5" t="s">
        <v>100</v>
      </c>
      <c r="AK10" s="5"/>
    </row>
    <row r="11">
      <c r="A11" s="5" t="s">
        <v>101</v>
      </c>
      <c r="B11" s="66"/>
      <c r="C11" s="67">
        <v>1.19</v>
      </c>
      <c r="D11" s="67">
        <v>1.2</v>
      </c>
      <c r="E11" s="20"/>
      <c r="F11" s="20"/>
      <c r="G11" s="20"/>
      <c r="H11" s="20"/>
      <c r="I11" s="5">
        <v>1.225</v>
      </c>
      <c r="J11" s="20"/>
      <c r="K11" s="68">
        <v>1.058</v>
      </c>
      <c r="L11" s="19"/>
      <c r="M11" s="20"/>
      <c r="N11" s="20"/>
      <c r="O11" s="20"/>
      <c r="P11" s="21"/>
      <c r="Q11" s="19"/>
      <c r="R11" s="20"/>
      <c r="S11" s="20"/>
      <c r="T11" s="20"/>
      <c r="U11" s="20"/>
      <c r="V11" s="20"/>
      <c r="W11" s="20"/>
      <c r="X11" s="20"/>
      <c r="Y11" s="21"/>
      <c r="Z11" s="22"/>
      <c r="AA11" s="20"/>
      <c r="AB11" s="69">
        <v>1.9</v>
      </c>
      <c r="AC11" s="20"/>
      <c r="AD11" s="20"/>
      <c r="AE11" s="20"/>
      <c r="AF11" s="70"/>
      <c r="AG11" s="20"/>
      <c r="AH11" s="21"/>
      <c r="AI11" s="19"/>
      <c r="AJ11" s="71">
        <v>2.7</v>
      </c>
      <c r="AK11" s="20"/>
    </row>
    <row r="12">
      <c r="A12" s="5" t="s">
        <v>102</v>
      </c>
      <c r="B12" s="72"/>
      <c r="C12" s="73" t="s">
        <v>103</v>
      </c>
      <c r="D12" s="73" t="s">
        <v>103</v>
      </c>
      <c r="E12" s="73" t="s">
        <v>103</v>
      </c>
      <c r="F12" s="73" t="s">
        <v>103</v>
      </c>
      <c r="G12" s="73" t="s">
        <v>103</v>
      </c>
      <c r="H12" s="73" t="s">
        <v>103</v>
      </c>
      <c r="I12" s="73" t="s">
        <v>103</v>
      </c>
      <c r="J12" s="73" t="s">
        <v>103</v>
      </c>
      <c r="K12" s="74" t="s">
        <v>103</v>
      </c>
      <c r="L12" s="75" t="s">
        <v>103</v>
      </c>
      <c r="M12" s="73" t="s">
        <v>103</v>
      </c>
      <c r="N12" s="73" t="s">
        <v>103</v>
      </c>
      <c r="O12" s="73" t="s">
        <v>103</v>
      </c>
      <c r="P12" s="74" t="s">
        <v>103</v>
      </c>
      <c r="Q12" s="76" t="s">
        <v>103</v>
      </c>
      <c r="R12" s="77" t="s">
        <v>103</v>
      </c>
      <c r="S12" s="77" t="s">
        <v>103</v>
      </c>
      <c r="T12" s="77" t="s">
        <v>103</v>
      </c>
      <c r="U12" s="77" t="s">
        <v>103</v>
      </c>
      <c r="V12" s="77" t="s">
        <v>103</v>
      </c>
      <c r="W12" s="77" t="s">
        <v>103</v>
      </c>
      <c r="X12" s="77" t="s">
        <v>103</v>
      </c>
      <c r="Y12" s="78" t="s">
        <v>103</v>
      </c>
      <c r="Z12" s="79" t="s">
        <v>103</v>
      </c>
      <c r="AA12" s="77" t="s">
        <v>103</v>
      </c>
      <c r="AB12" s="77" t="s">
        <v>103</v>
      </c>
      <c r="AC12" s="77" t="s">
        <v>103</v>
      </c>
      <c r="AD12" s="77" t="s">
        <v>103</v>
      </c>
      <c r="AE12" s="77" t="s">
        <v>103</v>
      </c>
      <c r="AF12" s="80" t="s">
        <v>103</v>
      </c>
      <c r="AG12" s="77" t="s">
        <v>103</v>
      </c>
      <c r="AH12" s="78" t="s">
        <v>103</v>
      </c>
      <c r="AI12" s="76" t="s">
        <v>103</v>
      </c>
      <c r="AJ12" s="77" t="s">
        <v>103</v>
      </c>
      <c r="AK12" s="77"/>
    </row>
    <row r="13">
      <c r="A13" s="6" t="s">
        <v>104</v>
      </c>
      <c r="B13" s="40"/>
      <c r="C13" s="40" t="s">
        <v>105</v>
      </c>
      <c r="D13" s="40" t="s">
        <v>105</v>
      </c>
      <c r="E13" s="40" t="s">
        <v>105</v>
      </c>
      <c r="F13" s="40" t="s">
        <v>105</v>
      </c>
      <c r="G13" s="40" t="s">
        <v>105</v>
      </c>
      <c r="H13" s="40" t="s">
        <v>105</v>
      </c>
      <c r="I13" s="40" t="s">
        <v>105</v>
      </c>
      <c r="J13" s="40" t="s">
        <v>105</v>
      </c>
      <c r="K13" s="41" t="s">
        <v>105</v>
      </c>
      <c r="L13" s="42"/>
      <c r="M13" s="43"/>
      <c r="N13" s="43"/>
      <c r="O13" s="43"/>
      <c r="P13" s="44"/>
      <c r="Q13" s="42"/>
      <c r="R13" s="43"/>
      <c r="S13" s="43"/>
      <c r="T13" s="43"/>
      <c r="U13" s="43"/>
      <c r="V13" s="43"/>
      <c r="W13" s="43"/>
      <c r="X13" s="43"/>
      <c r="Y13" s="45"/>
      <c r="Z13" s="81"/>
      <c r="AA13" s="6"/>
      <c r="AB13" s="82" t="s">
        <v>106</v>
      </c>
      <c r="AC13" s="82" t="s">
        <v>107</v>
      </c>
      <c r="AD13" s="82" t="s">
        <v>107</v>
      </c>
      <c r="AE13" s="6"/>
      <c r="AF13" s="47"/>
      <c r="AG13" s="6"/>
      <c r="AH13" s="44"/>
      <c r="AI13" s="48"/>
      <c r="AJ13" s="6" t="s">
        <v>108</v>
      </c>
      <c r="AK13" s="6"/>
    </row>
    <row r="14">
      <c r="A14" s="6" t="s">
        <v>109</v>
      </c>
      <c r="B14" s="40"/>
      <c r="C14" s="82" t="s">
        <v>110</v>
      </c>
      <c r="D14" s="82" t="s">
        <v>110</v>
      </c>
      <c r="E14" s="82" t="s">
        <v>110</v>
      </c>
      <c r="F14" s="82" t="s">
        <v>110</v>
      </c>
      <c r="G14" s="82" t="s">
        <v>110</v>
      </c>
      <c r="H14" s="82" t="s">
        <v>110</v>
      </c>
      <c r="I14" s="82" t="s">
        <v>110</v>
      </c>
      <c r="J14" s="82" t="s">
        <v>110</v>
      </c>
      <c r="K14" s="41" t="s">
        <v>111</v>
      </c>
      <c r="L14" s="42"/>
      <c r="M14" s="43"/>
      <c r="N14" s="43"/>
      <c r="O14" s="43"/>
      <c r="P14" s="44"/>
      <c r="Q14" s="42"/>
      <c r="R14" s="43"/>
      <c r="S14" s="43"/>
      <c r="T14" s="43"/>
      <c r="U14" s="43"/>
      <c r="V14" s="43"/>
      <c r="W14" s="43"/>
      <c r="X14" s="43"/>
      <c r="Y14" s="45"/>
      <c r="Z14" s="81"/>
      <c r="AA14" s="6"/>
      <c r="AB14" s="82" t="s">
        <v>112</v>
      </c>
      <c r="AC14" s="82" t="s">
        <v>113</v>
      </c>
      <c r="AD14" s="82" t="s">
        <v>113</v>
      </c>
      <c r="AE14" s="6"/>
      <c r="AF14" s="47"/>
      <c r="AG14" s="6"/>
      <c r="AH14" s="44"/>
      <c r="AI14" s="48"/>
      <c r="AJ14" s="6" t="s">
        <v>114</v>
      </c>
      <c r="AK14" s="6"/>
    </row>
    <row r="15">
      <c r="A15" s="6" t="s">
        <v>115</v>
      </c>
      <c r="B15" s="49"/>
      <c r="C15" s="49" t="s">
        <v>116</v>
      </c>
      <c r="D15" s="49" t="s">
        <v>116</v>
      </c>
      <c r="E15" s="49" t="s">
        <v>116</v>
      </c>
      <c r="F15" s="49" t="s">
        <v>116</v>
      </c>
      <c r="G15" s="49" t="s">
        <v>116</v>
      </c>
      <c r="H15" s="83" t="s">
        <v>117</v>
      </c>
      <c r="I15" s="84" t="s">
        <v>118</v>
      </c>
      <c r="J15" s="49" t="s">
        <v>116</v>
      </c>
      <c r="K15" s="61" t="s">
        <v>119</v>
      </c>
      <c r="L15" s="56"/>
      <c r="M15" s="54"/>
      <c r="N15" s="54"/>
      <c r="O15" s="54"/>
      <c r="P15" s="55"/>
      <c r="Q15" s="56"/>
      <c r="R15" s="54"/>
      <c r="S15" s="54"/>
      <c r="T15" s="54"/>
      <c r="U15" s="54"/>
      <c r="V15" s="54"/>
      <c r="W15" s="54"/>
      <c r="X15" s="54"/>
      <c r="Y15" s="57"/>
      <c r="Z15" s="85" t="s">
        <v>116</v>
      </c>
      <c r="AA15" s="49" t="s">
        <v>116</v>
      </c>
      <c r="AB15" s="59" t="s">
        <v>120</v>
      </c>
      <c r="AC15" s="49" t="s">
        <v>116</v>
      </c>
      <c r="AD15" s="49" t="s">
        <v>116</v>
      </c>
      <c r="AE15" s="49" t="s">
        <v>116</v>
      </c>
      <c r="AF15" s="86" t="s">
        <v>116</v>
      </c>
      <c r="AG15" s="49" t="s">
        <v>116</v>
      </c>
      <c r="AH15" s="55" t="s">
        <v>116</v>
      </c>
      <c r="AI15" s="87"/>
      <c r="AJ15" s="59" t="s">
        <v>121</v>
      </c>
      <c r="AK15" s="49"/>
    </row>
    <row r="16">
      <c r="A16" s="5" t="s">
        <v>122</v>
      </c>
      <c r="B16" s="40"/>
      <c r="C16" s="88" t="s">
        <v>97</v>
      </c>
      <c r="D16" s="88" t="s">
        <v>97</v>
      </c>
      <c r="E16" s="88" t="s">
        <v>97</v>
      </c>
      <c r="F16" s="88" t="s">
        <v>97</v>
      </c>
      <c r="G16" s="88" t="s">
        <v>97</v>
      </c>
      <c r="H16" s="88" t="s">
        <v>97</v>
      </c>
      <c r="I16" s="88" t="s">
        <v>97</v>
      </c>
      <c r="J16" s="88" t="s">
        <v>97</v>
      </c>
      <c r="K16" s="64" t="s">
        <v>123</v>
      </c>
      <c r="L16" s="19"/>
      <c r="M16" s="20"/>
      <c r="N16" s="20"/>
      <c r="O16" s="20"/>
      <c r="P16" s="7"/>
      <c r="Q16" s="19"/>
      <c r="R16" s="20"/>
      <c r="S16" s="20"/>
      <c r="T16" s="20"/>
      <c r="U16" s="20"/>
      <c r="V16" s="20"/>
      <c r="W16" s="20"/>
      <c r="X16" s="20"/>
      <c r="Y16" s="21"/>
      <c r="Z16" s="65" t="s">
        <v>99</v>
      </c>
      <c r="AA16" s="5" t="s">
        <v>99</v>
      </c>
      <c r="AB16" s="11" t="s">
        <v>99</v>
      </c>
      <c r="AC16" s="5" t="s">
        <v>99</v>
      </c>
      <c r="AD16" s="5" t="s">
        <v>99</v>
      </c>
      <c r="AE16" s="5" t="s">
        <v>99</v>
      </c>
      <c r="AF16" s="23" t="s">
        <v>99</v>
      </c>
      <c r="AG16" s="5" t="s">
        <v>99</v>
      </c>
      <c r="AH16" s="7" t="s">
        <v>99</v>
      </c>
      <c r="AI16" s="8" t="s">
        <v>99</v>
      </c>
      <c r="AJ16" s="5" t="s">
        <v>100</v>
      </c>
      <c r="AK16" s="5"/>
    </row>
    <row r="17">
      <c r="A17" s="5" t="s">
        <v>124</v>
      </c>
      <c r="B17" s="43"/>
      <c r="C17" s="20"/>
      <c r="D17" s="20"/>
      <c r="E17" s="20"/>
      <c r="F17" s="20"/>
      <c r="G17" s="20"/>
      <c r="H17" s="20"/>
      <c r="I17" s="69">
        <v>1.25</v>
      </c>
      <c r="J17" s="20"/>
      <c r="K17" s="89">
        <v>1.25</v>
      </c>
      <c r="L17" s="19"/>
      <c r="M17" s="20"/>
      <c r="N17" s="20"/>
      <c r="O17" s="20"/>
      <c r="P17" s="21"/>
      <c r="Q17" s="19"/>
      <c r="R17" s="20"/>
      <c r="S17" s="20"/>
      <c r="T17" s="20"/>
      <c r="U17" s="20"/>
      <c r="V17" s="20"/>
      <c r="W17" s="20"/>
      <c r="X17" s="20"/>
      <c r="Y17" s="21"/>
      <c r="Z17" s="22"/>
      <c r="AA17" s="20"/>
      <c r="AB17" s="20"/>
      <c r="AC17" s="20"/>
      <c r="AD17" s="20"/>
      <c r="AE17" s="20"/>
      <c r="AF17" s="70"/>
      <c r="AG17" s="20"/>
      <c r="AH17" s="21"/>
      <c r="AI17" s="19"/>
      <c r="AJ17" s="20"/>
      <c r="AK17" s="20"/>
    </row>
    <row r="18">
      <c r="A18" s="5" t="s">
        <v>102</v>
      </c>
      <c r="B18" s="72"/>
      <c r="C18" s="73" t="s">
        <v>103</v>
      </c>
      <c r="D18" s="73" t="s">
        <v>103</v>
      </c>
      <c r="E18" s="73" t="s">
        <v>103</v>
      </c>
      <c r="F18" s="73" t="s">
        <v>103</v>
      </c>
      <c r="G18" s="73" t="s">
        <v>103</v>
      </c>
      <c r="H18" s="73" t="s">
        <v>103</v>
      </c>
      <c r="I18" s="73" t="s">
        <v>103</v>
      </c>
      <c r="J18" s="73" t="s">
        <v>103</v>
      </c>
      <c r="K18" s="74" t="s">
        <v>103</v>
      </c>
      <c r="L18" s="75" t="s">
        <v>103</v>
      </c>
      <c r="M18" s="73" t="s">
        <v>103</v>
      </c>
      <c r="N18" s="73" t="s">
        <v>103</v>
      </c>
      <c r="O18" s="73" t="s">
        <v>103</v>
      </c>
      <c r="P18" s="74" t="s">
        <v>103</v>
      </c>
      <c r="Q18" s="76" t="s">
        <v>103</v>
      </c>
      <c r="R18" s="77" t="s">
        <v>103</v>
      </c>
      <c r="S18" s="77" t="s">
        <v>103</v>
      </c>
      <c r="T18" s="77" t="s">
        <v>103</v>
      </c>
      <c r="U18" s="77" t="s">
        <v>103</v>
      </c>
      <c r="V18" s="77" t="s">
        <v>103</v>
      </c>
      <c r="W18" s="77" t="s">
        <v>103</v>
      </c>
      <c r="X18" s="77" t="s">
        <v>103</v>
      </c>
      <c r="Y18" s="78" t="s">
        <v>103</v>
      </c>
      <c r="Z18" s="79" t="s">
        <v>103</v>
      </c>
      <c r="AA18" s="77" t="s">
        <v>103</v>
      </c>
      <c r="AB18" s="77" t="s">
        <v>103</v>
      </c>
      <c r="AC18" s="77" t="s">
        <v>103</v>
      </c>
      <c r="AD18" s="77" t="s">
        <v>103</v>
      </c>
      <c r="AE18" s="77" t="s">
        <v>103</v>
      </c>
      <c r="AF18" s="80" t="s">
        <v>103</v>
      </c>
      <c r="AG18" s="77" t="s">
        <v>103</v>
      </c>
      <c r="AH18" s="78" t="s">
        <v>103</v>
      </c>
      <c r="AI18" s="76" t="s">
        <v>103</v>
      </c>
      <c r="AJ18" s="77" t="s">
        <v>103</v>
      </c>
      <c r="AK18" s="77"/>
    </row>
    <row r="19">
      <c r="A19" s="6" t="s">
        <v>125</v>
      </c>
      <c r="B19" s="90"/>
      <c r="C19" s="35"/>
      <c r="D19" s="35"/>
      <c r="E19" s="35"/>
      <c r="F19" s="35"/>
      <c r="G19" s="35"/>
      <c r="H19" s="35"/>
      <c r="I19" s="35"/>
      <c r="J19" s="35"/>
      <c r="K19" s="91"/>
      <c r="L19" s="8"/>
      <c r="M19" s="5"/>
      <c r="N19" s="5"/>
      <c r="O19" s="5"/>
      <c r="P19" s="7"/>
      <c r="Q19" s="8"/>
      <c r="R19" s="5"/>
      <c r="S19" s="5"/>
      <c r="T19" s="5"/>
      <c r="U19" s="5"/>
      <c r="V19" s="5"/>
      <c r="W19" s="5"/>
      <c r="X19" s="5"/>
      <c r="Y19" s="7"/>
      <c r="Z19" s="65"/>
      <c r="AA19" s="5"/>
      <c r="AB19" s="5" t="s">
        <v>126</v>
      </c>
      <c r="AC19" s="5"/>
      <c r="AD19" s="5"/>
      <c r="AE19" s="5"/>
      <c r="AF19" s="23"/>
      <c r="AG19" s="5"/>
      <c r="AH19" s="7"/>
      <c r="AI19" s="8"/>
      <c r="AJ19" s="5" t="s">
        <v>127</v>
      </c>
      <c r="AK19" s="20"/>
    </row>
    <row r="20">
      <c r="A20" s="6" t="s">
        <v>128</v>
      </c>
      <c r="B20" s="90"/>
      <c r="C20" s="35"/>
      <c r="D20" s="35"/>
      <c r="E20" s="35"/>
      <c r="F20" s="35"/>
      <c r="G20" s="35"/>
      <c r="H20" s="35"/>
      <c r="I20" s="35"/>
      <c r="J20" s="35"/>
      <c r="K20" s="91"/>
      <c r="L20" s="8"/>
      <c r="M20" s="5"/>
      <c r="N20" s="5"/>
      <c r="O20" s="5"/>
      <c r="P20" s="7"/>
      <c r="Q20" s="8"/>
      <c r="R20" s="5"/>
      <c r="S20" s="5"/>
      <c r="T20" s="5"/>
      <c r="U20" s="5"/>
      <c r="V20" s="5"/>
      <c r="W20" s="5"/>
      <c r="X20" s="5"/>
      <c r="Y20" s="7"/>
      <c r="Z20" s="65"/>
      <c r="AA20" s="5"/>
      <c r="AB20" s="5" t="s">
        <v>107</v>
      </c>
      <c r="AC20" s="5"/>
      <c r="AD20" s="5"/>
      <c r="AE20" s="5"/>
      <c r="AF20" s="23"/>
      <c r="AG20" s="5"/>
      <c r="AH20" s="7"/>
      <c r="AI20" s="8"/>
      <c r="AJ20" s="5" t="s">
        <v>107</v>
      </c>
      <c r="AK20" s="20"/>
    </row>
    <row r="21">
      <c r="A21" s="6" t="s">
        <v>129</v>
      </c>
      <c r="B21" s="90"/>
      <c r="C21" s="35"/>
      <c r="D21" s="35"/>
      <c r="E21" s="35"/>
      <c r="F21" s="35"/>
      <c r="G21" s="35"/>
      <c r="H21" s="35"/>
      <c r="I21" s="35"/>
      <c r="J21" s="35"/>
      <c r="K21" s="91"/>
      <c r="L21" s="8"/>
      <c r="M21" s="5"/>
      <c r="N21" s="5"/>
      <c r="O21" s="5"/>
      <c r="P21" s="7"/>
      <c r="Q21" s="8"/>
      <c r="R21" s="5"/>
      <c r="S21" s="5"/>
      <c r="T21" s="5"/>
      <c r="U21" s="5"/>
      <c r="V21" s="5"/>
      <c r="W21" s="5"/>
      <c r="X21" s="5"/>
      <c r="Y21" s="7"/>
      <c r="Z21" s="65"/>
      <c r="AA21" s="5"/>
      <c r="AB21" s="59" t="s">
        <v>130</v>
      </c>
      <c r="AC21" s="5"/>
      <c r="AD21" s="5"/>
      <c r="AE21" s="5"/>
      <c r="AF21" s="23"/>
      <c r="AG21" s="5"/>
      <c r="AH21" s="7"/>
      <c r="AI21" s="8"/>
      <c r="AJ21" s="59" t="s">
        <v>131</v>
      </c>
      <c r="AK21" s="20"/>
    </row>
    <row r="22">
      <c r="A22" s="5" t="s">
        <v>132</v>
      </c>
      <c r="B22" s="90"/>
      <c r="C22" s="35"/>
      <c r="D22" s="35"/>
      <c r="E22" s="35"/>
      <c r="F22" s="35"/>
      <c r="G22" s="35"/>
      <c r="H22" s="35"/>
      <c r="I22" s="35"/>
      <c r="J22" s="35"/>
      <c r="K22" s="91"/>
      <c r="L22" s="8"/>
      <c r="M22" s="5"/>
      <c r="N22" s="5"/>
      <c r="O22" s="5"/>
      <c r="P22" s="7"/>
      <c r="Q22" s="8"/>
      <c r="R22" s="5"/>
      <c r="S22" s="5"/>
      <c r="T22" s="5"/>
      <c r="U22" s="5"/>
      <c r="V22" s="5"/>
      <c r="W22" s="5"/>
      <c r="X22" s="5"/>
      <c r="Y22" s="7"/>
      <c r="Z22" s="65"/>
      <c r="AA22" s="5"/>
      <c r="AB22" s="5" t="s">
        <v>133</v>
      </c>
      <c r="AC22" s="5"/>
      <c r="AD22" s="5"/>
      <c r="AE22" s="5"/>
      <c r="AF22" s="23"/>
      <c r="AG22" s="5"/>
      <c r="AH22" s="7"/>
      <c r="AI22" s="8"/>
      <c r="AJ22" s="5" t="s">
        <v>100</v>
      </c>
      <c r="AK22" s="20"/>
    </row>
    <row r="23">
      <c r="A23" s="5" t="s">
        <v>134</v>
      </c>
      <c r="B23" s="90" t="s">
        <v>135</v>
      </c>
      <c r="C23" s="35">
        <v>3.56</v>
      </c>
      <c r="D23" s="35">
        <v>6.5</v>
      </c>
      <c r="E23" s="35">
        <v>7.42</v>
      </c>
      <c r="F23" s="35">
        <f>2700/365*0.7</f>
        <v>5.178082192</v>
      </c>
      <c r="G23" s="35">
        <v>4.75</v>
      </c>
      <c r="H23" s="35">
        <v>6.44</v>
      </c>
      <c r="I23" s="35">
        <v>6.44</v>
      </c>
      <c r="J23" s="35">
        <v>5.76</v>
      </c>
      <c r="K23" s="91">
        <v>2.44</v>
      </c>
      <c r="L23" s="8" t="s">
        <v>64</v>
      </c>
      <c r="M23" s="5" t="s">
        <v>64</v>
      </c>
      <c r="N23" s="5" t="s">
        <v>64</v>
      </c>
      <c r="O23" s="5" t="s">
        <v>64</v>
      </c>
      <c r="P23" s="7" t="s">
        <v>64</v>
      </c>
      <c r="Q23" s="8" t="s">
        <v>64</v>
      </c>
      <c r="R23" s="5" t="s">
        <v>64</v>
      </c>
      <c r="S23" s="5" t="s">
        <v>64</v>
      </c>
      <c r="T23" s="5" t="s">
        <v>64</v>
      </c>
      <c r="U23" s="5" t="s">
        <v>64</v>
      </c>
      <c r="V23" s="5" t="s">
        <v>64</v>
      </c>
      <c r="W23" s="5" t="s">
        <v>64</v>
      </c>
      <c r="X23" s="5" t="s">
        <v>64</v>
      </c>
      <c r="Y23" s="7" t="s">
        <v>64</v>
      </c>
      <c r="Z23" s="65" t="s">
        <v>64</v>
      </c>
      <c r="AA23" s="5" t="s">
        <v>64</v>
      </c>
      <c r="AB23" s="5" t="s">
        <v>64</v>
      </c>
      <c r="AC23" s="5" t="s">
        <v>64</v>
      </c>
      <c r="AD23" s="5" t="s">
        <v>64</v>
      </c>
      <c r="AE23" s="5" t="s">
        <v>64</v>
      </c>
      <c r="AF23" s="23" t="s">
        <v>64</v>
      </c>
      <c r="AG23" s="5" t="s">
        <v>64</v>
      </c>
      <c r="AH23" s="7" t="s">
        <v>64</v>
      </c>
      <c r="AI23" s="8" t="s">
        <v>64</v>
      </c>
      <c r="AJ23" s="5" t="s">
        <v>64</v>
      </c>
      <c r="AK23" s="20"/>
    </row>
    <row r="24">
      <c r="A24" s="5" t="s">
        <v>136</v>
      </c>
      <c r="B24" s="90"/>
      <c r="C24" s="92">
        <v>0.66</v>
      </c>
      <c r="D24" s="92">
        <v>0.7</v>
      </c>
      <c r="E24" s="92">
        <v>0.766</v>
      </c>
      <c r="F24" s="92">
        <v>0.7</v>
      </c>
      <c r="G24" s="92">
        <v>0.62</v>
      </c>
      <c r="H24" s="92">
        <v>0.65</v>
      </c>
      <c r="I24" s="92">
        <v>0.56</v>
      </c>
      <c r="J24" s="92">
        <v>0.51</v>
      </c>
      <c r="K24" s="93">
        <v>0.51</v>
      </c>
      <c r="L24" s="8"/>
      <c r="M24" s="5"/>
      <c r="N24" s="5"/>
      <c r="O24" s="5"/>
      <c r="P24" s="7"/>
      <c r="Q24" s="19" t="s">
        <v>64</v>
      </c>
      <c r="R24" s="20" t="s">
        <v>64</v>
      </c>
      <c r="S24" s="20" t="s">
        <v>64</v>
      </c>
      <c r="T24" s="20" t="s">
        <v>64</v>
      </c>
      <c r="U24" s="20" t="s">
        <v>64</v>
      </c>
      <c r="V24" s="20" t="s">
        <v>64</v>
      </c>
      <c r="W24" s="20" t="s">
        <v>64</v>
      </c>
      <c r="X24" s="20" t="s">
        <v>64</v>
      </c>
      <c r="Y24" s="21" t="s">
        <v>64</v>
      </c>
      <c r="Z24" s="22" t="s">
        <v>64</v>
      </c>
      <c r="AA24" s="20" t="s">
        <v>64</v>
      </c>
      <c r="AB24" s="20" t="s">
        <v>64</v>
      </c>
      <c r="AC24" s="20" t="s">
        <v>64</v>
      </c>
      <c r="AD24" s="20" t="s">
        <v>64</v>
      </c>
      <c r="AE24" s="20" t="s">
        <v>64</v>
      </c>
      <c r="AF24" s="70" t="s">
        <v>64</v>
      </c>
      <c r="AG24" s="20" t="s">
        <v>64</v>
      </c>
      <c r="AH24" s="21" t="s">
        <v>64</v>
      </c>
      <c r="AI24" s="19" t="s">
        <v>64</v>
      </c>
      <c r="AJ24" s="20" t="s">
        <v>64</v>
      </c>
      <c r="AK24" s="20"/>
    </row>
    <row r="25">
      <c r="A25" s="5" t="s">
        <v>137</v>
      </c>
      <c r="B25" s="6"/>
      <c r="C25" s="5" t="s">
        <v>64</v>
      </c>
      <c r="D25" s="5" t="s">
        <v>64</v>
      </c>
      <c r="E25" s="5" t="s">
        <v>64</v>
      </c>
      <c r="F25" s="5" t="s">
        <v>64</v>
      </c>
      <c r="G25" s="5" t="s">
        <v>64</v>
      </c>
      <c r="H25" s="5" t="s">
        <v>64</v>
      </c>
      <c r="I25" s="5" t="s">
        <v>64</v>
      </c>
      <c r="J25" s="5" t="s">
        <v>64</v>
      </c>
      <c r="K25" s="7" t="s">
        <v>64</v>
      </c>
      <c r="L25" s="8" t="s">
        <v>64</v>
      </c>
      <c r="M25" s="5" t="s">
        <v>64</v>
      </c>
      <c r="N25" s="5" t="s">
        <v>64</v>
      </c>
      <c r="O25" s="5" t="s">
        <v>64</v>
      </c>
      <c r="P25" s="7" t="s">
        <v>64</v>
      </c>
      <c r="Q25" s="94">
        <v>6.31</v>
      </c>
      <c r="R25" s="71">
        <v>6.07</v>
      </c>
      <c r="S25" s="71">
        <v>7.88</v>
      </c>
      <c r="T25" s="71">
        <v>3.85</v>
      </c>
      <c r="U25" s="71">
        <v>3.32</v>
      </c>
      <c r="V25" s="71">
        <v>7.35</v>
      </c>
      <c r="W25" s="71">
        <v>3.73</v>
      </c>
      <c r="X25" s="71">
        <v>11.57</v>
      </c>
      <c r="Y25" s="89">
        <v>3.89</v>
      </c>
      <c r="Z25" s="95">
        <v>0.93</v>
      </c>
      <c r="AA25" s="71">
        <v>7.02</v>
      </c>
      <c r="AB25" s="71">
        <v>5.3</v>
      </c>
      <c r="AC25" s="96"/>
      <c r="AD25" s="71">
        <v>5.24</v>
      </c>
      <c r="AE25" s="71">
        <v>0.21</v>
      </c>
      <c r="AF25" s="23" t="s">
        <v>64</v>
      </c>
      <c r="AG25" s="71">
        <v>2.85</v>
      </c>
      <c r="AH25" s="89">
        <v>0.45</v>
      </c>
      <c r="AI25" s="19"/>
      <c r="AJ25" s="69">
        <v>5.0</v>
      </c>
      <c r="AK25" s="20"/>
    </row>
    <row r="26">
      <c r="A26" s="5" t="s">
        <v>138</v>
      </c>
      <c r="B26" s="6"/>
      <c r="C26" s="5" t="s">
        <v>64</v>
      </c>
      <c r="D26" s="5" t="s">
        <v>64</v>
      </c>
      <c r="E26" s="5" t="s">
        <v>64</v>
      </c>
      <c r="F26" s="5" t="s">
        <v>64</v>
      </c>
      <c r="G26" s="5" t="s">
        <v>64</v>
      </c>
      <c r="H26" s="5" t="s">
        <v>64</v>
      </c>
      <c r="I26" s="5" t="s">
        <v>64</v>
      </c>
      <c r="J26" s="5" t="s">
        <v>64</v>
      </c>
      <c r="K26" s="7" t="s">
        <v>64</v>
      </c>
      <c r="L26" s="8" t="s">
        <v>64</v>
      </c>
      <c r="M26" s="5" t="s">
        <v>64</v>
      </c>
      <c r="N26" s="5" t="s">
        <v>64</v>
      </c>
      <c r="O26" s="5" t="s">
        <v>64</v>
      </c>
      <c r="P26" s="7" t="s">
        <v>64</v>
      </c>
      <c r="Q26" s="94">
        <v>0.1</v>
      </c>
      <c r="R26" s="97">
        <v>0.1</v>
      </c>
      <c r="S26" s="71">
        <v>0.17</v>
      </c>
      <c r="T26" s="97">
        <v>0.1</v>
      </c>
      <c r="U26" s="97">
        <v>0.1</v>
      </c>
      <c r="V26" s="71">
        <v>0.1</v>
      </c>
      <c r="W26" s="71">
        <v>0.16</v>
      </c>
      <c r="X26" s="71">
        <v>0.1</v>
      </c>
      <c r="Y26" s="89">
        <v>0.15</v>
      </c>
      <c r="Z26" s="98">
        <v>0.05</v>
      </c>
      <c r="AA26" s="71">
        <v>0.09</v>
      </c>
      <c r="AB26" s="69">
        <v>0.15</v>
      </c>
      <c r="AC26" s="97">
        <v>0.15</v>
      </c>
      <c r="AD26" s="97">
        <v>0.15</v>
      </c>
      <c r="AE26" s="97">
        <v>0.15</v>
      </c>
      <c r="AF26" s="23" t="s">
        <v>64</v>
      </c>
      <c r="AG26" s="97">
        <v>0.05</v>
      </c>
      <c r="AH26" s="99">
        <v>0.05</v>
      </c>
      <c r="AI26" s="8"/>
      <c r="AJ26" s="69">
        <v>0.15</v>
      </c>
      <c r="AK26" s="5"/>
    </row>
    <row r="27">
      <c r="A27" s="5" t="s">
        <v>139</v>
      </c>
      <c r="B27" s="6"/>
      <c r="C27" s="5" t="s">
        <v>64</v>
      </c>
      <c r="D27" s="5" t="s">
        <v>64</v>
      </c>
      <c r="E27" s="5" t="s">
        <v>64</v>
      </c>
      <c r="F27" s="5" t="s">
        <v>64</v>
      </c>
      <c r="G27" s="5" t="s">
        <v>64</v>
      </c>
      <c r="H27" s="5" t="s">
        <v>64</v>
      </c>
      <c r="I27" s="5" t="s">
        <v>64</v>
      </c>
      <c r="J27" s="5" t="s">
        <v>64</v>
      </c>
      <c r="K27" s="7" t="s">
        <v>64</v>
      </c>
      <c r="L27" s="8" t="s">
        <v>64</v>
      </c>
      <c r="M27" s="5" t="s">
        <v>64</v>
      </c>
      <c r="N27" s="5" t="s">
        <v>64</v>
      </c>
      <c r="O27" s="5" t="s">
        <v>64</v>
      </c>
      <c r="P27" s="7" t="s">
        <v>64</v>
      </c>
      <c r="Q27" s="94">
        <v>0.05</v>
      </c>
      <c r="R27" s="71">
        <v>0.05</v>
      </c>
      <c r="S27" s="71">
        <v>0.07</v>
      </c>
      <c r="T27" s="71">
        <v>0.05</v>
      </c>
      <c r="U27" s="71">
        <v>0.05</v>
      </c>
      <c r="V27" s="71">
        <v>0.05</v>
      </c>
      <c r="W27" s="71">
        <v>0.03</v>
      </c>
      <c r="X27" s="71">
        <v>0.05</v>
      </c>
      <c r="Y27" s="89">
        <v>0.03</v>
      </c>
      <c r="Z27" s="98">
        <v>0.03</v>
      </c>
      <c r="AA27" s="71">
        <v>0.06</v>
      </c>
      <c r="AB27" s="69">
        <v>0.06</v>
      </c>
      <c r="AC27" s="71">
        <v>0.25</v>
      </c>
      <c r="AD27" s="97">
        <v>0.06</v>
      </c>
      <c r="AE27" s="97">
        <v>0.06</v>
      </c>
      <c r="AF27" s="23">
        <v>0.32</v>
      </c>
      <c r="AG27" s="97">
        <v>0.03</v>
      </c>
      <c r="AH27" s="99">
        <v>0.03</v>
      </c>
      <c r="AI27" s="8"/>
      <c r="AJ27" s="69">
        <v>0.05</v>
      </c>
      <c r="AK27" s="5"/>
    </row>
    <row r="28">
      <c r="A28" s="5" t="s">
        <v>140</v>
      </c>
      <c r="B28" s="6"/>
      <c r="C28" s="5" t="s">
        <v>64</v>
      </c>
      <c r="D28" s="5" t="s">
        <v>64</v>
      </c>
      <c r="E28" s="5" t="s">
        <v>64</v>
      </c>
      <c r="F28" s="5" t="s">
        <v>64</v>
      </c>
      <c r="G28" s="5" t="s">
        <v>64</v>
      </c>
      <c r="H28" s="5" t="s">
        <v>64</v>
      </c>
      <c r="I28" s="5" t="s">
        <v>64</v>
      </c>
      <c r="J28" s="5" t="s">
        <v>64</v>
      </c>
      <c r="K28" s="7" t="s">
        <v>64</v>
      </c>
      <c r="L28" s="8" t="s">
        <v>64</v>
      </c>
      <c r="M28" s="5" t="s">
        <v>64</v>
      </c>
      <c r="N28" s="5" t="s">
        <v>64</v>
      </c>
      <c r="O28" s="5" t="s">
        <v>64</v>
      </c>
      <c r="P28" s="7" t="s">
        <v>64</v>
      </c>
      <c r="Q28" s="100">
        <v>1.35</v>
      </c>
      <c r="R28" s="97">
        <v>1.35</v>
      </c>
      <c r="S28" s="97">
        <v>1.35</v>
      </c>
      <c r="T28" s="97">
        <v>1.35</v>
      </c>
      <c r="U28" s="97">
        <v>1.35</v>
      </c>
      <c r="V28" s="97">
        <v>1.35</v>
      </c>
      <c r="W28" s="97">
        <v>1.35</v>
      </c>
      <c r="X28" s="97">
        <v>1.35</v>
      </c>
      <c r="Y28" s="99">
        <v>1.35</v>
      </c>
      <c r="Z28" s="98">
        <v>1.25</v>
      </c>
      <c r="AA28" s="97">
        <v>1.25</v>
      </c>
      <c r="AB28" s="69">
        <v>1.0</v>
      </c>
      <c r="AC28" s="97">
        <v>1.15</v>
      </c>
      <c r="AD28" s="97">
        <v>1.15</v>
      </c>
      <c r="AE28" s="97">
        <v>1.15</v>
      </c>
      <c r="AF28" s="23" t="s">
        <v>64</v>
      </c>
      <c r="AG28" s="97">
        <v>1.15</v>
      </c>
      <c r="AH28" s="99">
        <v>1.25</v>
      </c>
      <c r="AI28" s="8"/>
      <c r="AJ28" s="96">
        <v>1.3</v>
      </c>
      <c r="AK28" s="5"/>
    </row>
    <row r="29">
      <c r="A29" s="5" t="s">
        <v>141</v>
      </c>
      <c r="B29" s="6" t="s">
        <v>142</v>
      </c>
      <c r="C29" s="5" t="s">
        <v>64</v>
      </c>
      <c r="D29" s="5" t="s">
        <v>64</v>
      </c>
      <c r="E29" s="5" t="s">
        <v>64</v>
      </c>
      <c r="F29" s="5" t="s">
        <v>64</v>
      </c>
      <c r="G29" s="5" t="s">
        <v>64</v>
      </c>
      <c r="H29" s="5" t="s">
        <v>64</v>
      </c>
      <c r="I29" s="5" t="s">
        <v>64</v>
      </c>
      <c r="J29" s="5" t="s">
        <v>64</v>
      </c>
      <c r="K29" s="7" t="s">
        <v>64</v>
      </c>
      <c r="L29" s="8" t="s">
        <v>64</v>
      </c>
      <c r="M29" s="5" t="s">
        <v>64</v>
      </c>
      <c r="N29" s="5" t="s">
        <v>64</v>
      </c>
      <c r="O29" s="5" t="s">
        <v>64</v>
      </c>
      <c r="P29" s="7" t="s">
        <v>64</v>
      </c>
      <c r="Q29" s="100">
        <v>0.3</v>
      </c>
      <c r="R29" s="97">
        <v>0.3</v>
      </c>
      <c r="S29" s="97">
        <v>0.3</v>
      </c>
      <c r="T29" s="97">
        <v>0.3</v>
      </c>
      <c r="U29" s="97">
        <v>0.3</v>
      </c>
      <c r="V29" s="97">
        <v>0.3</v>
      </c>
      <c r="W29" s="97">
        <v>0.3</v>
      </c>
      <c r="X29" s="97">
        <v>0.3</v>
      </c>
      <c r="Y29" s="99">
        <v>0.3</v>
      </c>
      <c r="Z29" s="98">
        <v>0.2</v>
      </c>
      <c r="AA29" s="97">
        <v>0.2</v>
      </c>
      <c r="AB29" s="69">
        <v>0.1</v>
      </c>
      <c r="AC29" s="5" t="s">
        <v>64</v>
      </c>
      <c r="AD29" s="5" t="s">
        <v>64</v>
      </c>
      <c r="AE29" s="5" t="s">
        <v>64</v>
      </c>
      <c r="AF29" s="23" t="s">
        <v>64</v>
      </c>
      <c r="AG29" s="97">
        <v>0.2</v>
      </c>
      <c r="AH29" s="99">
        <v>0.2</v>
      </c>
      <c r="AI29" s="8"/>
      <c r="AJ29" s="69">
        <v>0.25</v>
      </c>
      <c r="AK29" s="5"/>
    </row>
    <row r="30">
      <c r="A30" s="5" t="s">
        <v>143</v>
      </c>
      <c r="B30" s="6" t="s">
        <v>144</v>
      </c>
      <c r="C30" s="5"/>
      <c r="D30" s="5"/>
      <c r="E30" s="5"/>
      <c r="F30" s="5"/>
      <c r="G30" s="5"/>
      <c r="H30" s="5"/>
      <c r="I30" s="5"/>
      <c r="J30" s="5"/>
      <c r="K30" s="7"/>
      <c r="L30" s="8"/>
      <c r="M30" s="5"/>
      <c r="N30" s="5"/>
      <c r="O30" s="5"/>
      <c r="P30" s="7"/>
      <c r="Q30" s="8"/>
      <c r="R30" s="5"/>
      <c r="S30" s="5"/>
      <c r="T30" s="5"/>
      <c r="U30" s="5"/>
      <c r="V30" s="5"/>
      <c r="W30" s="5"/>
      <c r="X30" s="5"/>
      <c r="Y30" s="7"/>
      <c r="Z30" s="65"/>
      <c r="AA30" s="5"/>
      <c r="AB30" s="5"/>
      <c r="AC30" s="5"/>
      <c r="AD30" s="5"/>
      <c r="AE30" s="5"/>
      <c r="AF30" s="23"/>
      <c r="AG30" s="5"/>
      <c r="AH30" s="7"/>
      <c r="AI30" s="8"/>
      <c r="AJ30" s="5"/>
      <c r="AK30" s="5"/>
    </row>
    <row r="31">
      <c r="A31" s="5" t="s">
        <v>145</v>
      </c>
      <c r="B31" s="6"/>
      <c r="C31" s="5"/>
      <c r="D31" s="5"/>
      <c r="E31" s="5"/>
      <c r="F31" s="5"/>
      <c r="G31" s="5"/>
      <c r="H31" s="5"/>
      <c r="I31" s="5"/>
      <c r="J31" s="5"/>
      <c r="K31" s="7"/>
      <c r="L31" s="8"/>
      <c r="M31" s="5"/>
      <c r="N31" s="5"/>
      <c r="O31" s="5"/>
      <c r="P31" s="7"/>
      <c r="Q31" s="8"/>
      <c r="R31" s="5"/>
      <c r="S31" s="5"/>
      <c r="T31" s="5"/>
      <c r="U31" s="5"/>
      <c r="V31" s="5"/>
      <c r="W31" s="5"/>
      <c r="X31" s="5"/>
      <c r="Y31" s="7"/>
      <c r="Z31" s="65"/>
      <c r="AA31" s="5"/>
      <c r="AB31" s="5"/>
      <c r="AC31" s="5"/>
      <c r="AD31" s="5"/>
      <c r="AE31" s="5"/>
      <c r="AF31" s="23"/>
      <c r="AG31" s="5"/>
      <c r="AH31" s="7"/>
      <c r="AI31" s="8"/>
      <c r="AJ31" s="5"/>
      <c r="AK31" s="5"/>
    </row>
    <row r="32">
      <c r="A32" s="5" t="s">
        <v>146</v>
      </c>
      <c r="B32" s="6"/>
      <c r="C32" s="5" t="s">
        <v>147</v>
      </c>
      <c r="D32" s="5" t="s">
        <v>147</v>
      </c>
      <c r="E32" s="5" t="s">
        <v>147</v>
      </c>
      <c r="F32" s="5" t="s">
        <v>147</v>
      </c>
      <c r="G32" s="5" t="s">
        <v>147</v>
      </c>
      <c r="H32" s="5" t="s">
        <v>147</v>
      </c>
      <c r="I32" s="5" t="s">
        <v>147</v>
      </c>
      <c r="J32" s="5" t="s">
        <v>147</v>
      </c>
      <c r="K32" s="7" t="s">
        <v>147</v>
      </c>
      <c r="L32" s="8" t="s">
        <v>148</v>
      </c>
      <c r="M32" s="5" t="s">
        <v>149</v>
      </c>
      <c r="N32" s="5" t="s">
        <v>150</v>
      </c>
      <c r="O32" s="5" t="s">
        <v>150</v>
      </c>
      <c r="P32" s="7" t="s">
        <v>150</v>
      </c>
      <c r="Q32" s="8" t="s">
        <v>151</v>
      </c>
      <c r="R32" s="5" t="s">
        <v>151</v>
      </c>
      <c r="S32" s="5" t="s">
        <v>151</v>
      </c>
      <c r="T32" s="5" t="s">
        <v>151</v>
      </c>
      <c r="U32" s="5" t="s">
        <v>151</v>
      </c>
      <c r="V32" s="5" t="s">
        <v>151</v>
      </c>
      <c r="W32" s="5" t="s">
        <v>151</v>
      </c>
      <c r="X32" s="5" t="s">
        <v>151</v>
      </c>
      <c r="Y32" s="7" t="s">
        <v>151</v>
      </c>
      <c r="Z32" s="65" t="s">
        <v>151</v>
      </c>
      <c r="AA32" s="5" t="s">
        <v>151</v>
      </c>
      <c r="AB32" s="5" t="s">
        <v>151</v>
      </c>
      <c r="AC32" s="5" t="s">
        <v>152</v>
      </c>
      <c r="AD32" s="5" t="s">
        <v>152</v>
      </c>
      <c r="AE32" s="5" t="s">
        <v>152</v>
      </c>
      <c r="AF32" s="23" t="s">
        <v>153</v>
      </c>
      <c r="AG32" s="5" t="s">
        <v>151</v>
      </c>
      <c r="AH32" s="7" t="s">
        <v>151</v>
      </c>
      <c r="AI32" s="8" t="s">
        <v>151</v>
      </c>
      <c r="AJ32" s="5" t="s">
        <v>151</v>
      </c>
      <c r="AK32" s="5"/>
    </row>
    <row r="33">
      <c r="A33" s="5" t="s">
        <v>154</v>
      </c>
      <c r="B33" s="6"/>
      <c r="C33" s="5" t="s">
        <v>155</v>
      </c>
      <c r="D33" s="5" t="s">
        <v>155</v>
      </c>
      <c r="E33" s="5" t="s">
        <v>155</v>
      </c>
      <c r="F33" s="5" t="s">
        <v>155</v>
      </c>
      <c r="G33" s="5" t="s">
        <v>155</v>
      </c>
      <c r="H33" s="5" t="s">
        <v>156</v>
      </c>
      <c r="I33" s="5" t="s">
        <v>156</v>
      </c>
      <c r="J33" s="5" t="s">
        <v>155</v>
      </c>
      <c r="K33" s="7" t="s">
        <v>157</v>
      </c>
      <c r="L33" s="8" t="s">
        <v>158</v>
      </c>
      <c r="M33" s="5" t="s">
        <v>158</v>
      </c>
      <c r="N33" s="5" t="s">
        <v>159</v>
      </c>
      <c r="O33" s="5" t="s">
        <v>158</v>
      </c>
      <c r="P33" s="7" t="s">
        <v>155</v>
      </c>
      <c r="Q33" s="8" t="s">
        <v>159</v>
      </c>
      <c r="R33" s="5" t="s">
        <v>159</v>
      </c>
      <c r="S33" s="5" t="s">
        <v>160</v>
      </c>
      <c r="T33" s="5" t="s">
        <v>159</v>
      </c>
      <c r="U33" s="5" t="s">
        <v>160</v>
      </c>
      <c r="V33" s="5" t="s">
        <v>159</v>
      </c>
      <c r="W33" s="5" t="s">
        <v>159</v>
      </c>
      <c r="X33" s="5" t="s">
        <v>158</v>
      </c>
      <c r="Y33" s="7" t="s">
        <v>159</v>
      </c>
      <c r="Z33" s="26" t="s">
        <v>161</v>
      </c>
      <c r="AA33" s="11" t="s">
        <v>157</v>
      </c>
      <c r="AB33" s="11" t="s">
        <v>157</v>
      </c>
      <c r="AC33" s="11" t="s">
        <v>157</v>
      </c>
      <c r="AD33" s="11" t="s">
        <v>157</v>
      </c>
      <c r="AE33" s="11" t="s">
        <v>157</v>
      </c>
      <c r="AF33" s="12" t="s">
        <v>157</v>
      </c>
      <c r="AG33" s="11" t="s">
        <v>162</v>
      </c>
      <c r="AH33" s="13" t="s">
        <v>157</v>
      </c>
      <c r="AI33" s="8" t="s">
        <v>163</v>
      </c>
      <c r="AJ33" s="5" t="s">
        <v>163</v>
      </c>
      <c r="AK33" s="5"/>
    </row>
    <row r="34">
      <c r="A34" s="5" t="s">
        <v>164</v>
      </c>
      <c r="B34" s="43"/>
      <c r="C34" s="20"/>
      <c r="D34" s="20"/>
      <c r="E34" s="20"/>
      <c r="F34" s="20"/>
      <c r="G34" s="20"/>
      <c r="H34" s="5" t="s">
        <v>165</v>
      </c>
      <c r="I34" s="5" t="s">
        <v>166</v>
      </c>
      <c r="J34" s="20"/>
      <c r="K34" s="101"/>
      <c r="L34" s="19"/>
      <c r="M34" s="20"/>
      <c r="N34" s="20"/>
      <c r="O34" s="20"/>
      <c r="P34" s="21"/>
      <c r="Q34" s="8" t="s">
        <v>167</v>
      </c>
      <c r="R34" s="5" t="s">
        <v>167</v>
      </c>
      <c r="S34" s="5" t="s">
        <v>167</v>
      </c>
      <c r="T34" s="5" t="s">
        <v>167</v>
      </c>
      <c r="U34" s="5" t="s">
        <v>167</v>
      </c>
      <c r="V34" s="5" t="s">
        <v>167</v>
      </c>
      <c r="W34" s="5" t="s">
        <v>167</v>
      </c>
      <c r="X34" s="5" t="s">
        <v>167</v>
      </c>
      <c r="Y34" s="7" t="s">
        <v>167</v>
      </c>
      <c r="Z34" s="65" t="s">
        <v>167</v>
      </c>
      <c r="AA34" s="5" t="s">
        <v>167</v>
      </c>
      <c r="AB34" s="5" t="s">
        <v>168</v>
      </c>
      <c r="AC34" s="5" t="s">
        <v>168</v>
      </c>
      <c r="AD34" s="5" t="s">
        <v>168</v>
      </c>
      <c r="AE34" s="5" t="s">
        <v>167</v>
      </c>
      <c r="AF34" s="23" t="s">
        <v>167</v>
      </c>
      <c r="AG34" s="5" t="s">
        <v>167</v>
      </c>
      <c r="AH34" s="7" t="s">
        <v>167</v>
      </c>
      <c r="AI34" s="8" t="s">
        <v>167</v>
      </c>
      <c r="AJ34" s="71" t="s">
        <v>169</v>
      </c>
      <c r="AK34" s="5"/>
    </row>
    <row r="35">
      <c r="A35" s="5" t="s">
        <v>170</v>
      </c>
      <c r="B35" s="43"/>
      <c r="C35" s="20"/>
      <c r="D35" s="20"/>
      <c r="E35" s="20"/>
      <c r="F35" s="20"/>
      <c r="G35" s="20"/>
      <c r="H35" s="5" t="s">
        <v>171</v>
      </c>
      <c r="I35" s="5" t="s">
        <v>171</v>
      </c>
      <c r="J35" s="20"/>
      <c r="K35" s="7" t="s">
        <v>172</v>
      </c>
      <c r="L35" s="19"/>
      <c r="M35" s="20"/>
      <c r="N35" s="20"/>
      <c r="O35" s="20"/>
      <c r="P35" s="21"/>
      <c r="Q35" s="8" t="s">
        <v>173</v>
      </c>
      <c r="R35" s="5" t="s">
        <v>174</v>
      </c>
      <c r="S35" s="5" t="s">
        <v>173</v>
      </c>
      <c r="T35" s="5" t="s">
        <v>173</v>
      </c>
      <c r="U35" s="5" t="s">
        <v>174</v>
      </c>
      <c r="V35" s="5" t="s">
        <v>174</v>
      </c>
      <c r="W35" s="5" t="s">
        <v>173</v>
      </c>
      <c r="X35" s="5" t="s">
        <v>173</v>
      </c>
      <c r="Y35" s="7" t="s">
        <v>173</v>
      </c>
      <c r="Z35" s="65" t="s">
        <v>175</v>
      </c>
      <c r="AA35" s="5" t="s">
        <v>175</v>
      </c>
      <c r="AB35" s="5" t="s">
        <v>176</v>
      </c>
      <c r="AC35" s="5" t="s">
        <v>176</v>
      </c>
      <c r="AD35" s="5" t="s">
        <v>176</v>
      </c>
      <c r="AE35" s="5" t="s">
        <v>177</v>
      </c>
      <c r="AF35" s="23" t="s">
        <v>178</v>
      </c>
      <c r="AG35" s="5" t="s">
        <v>178</v>
      </c>
      <c r="AH35" s="7" t="s">
        <v>178</v>
      </c>
      <c r="AI35" s="8" t="s">
        <v>179</v>
      </c>
      <c r="AJ35" s="5" t="s">
        <v>179</v>
      </c>
      <c r="AK35" s="5"/>
    </row>
    <row r="36">
      <c r="A36" s="5" t="s">
        <v>180</v>
      </c>
      <c r="B36" s="6"/>
      <c r="C36" s="5" t="s">
        <v>155</v>
      </c>
      <c r="D36" s="5" t="s">
        <v>155</v>
      </c>
      <c r="E36" s="5" t="s">
        <v>155</v>
      </c>
      <c r="F36" s="5" t="s">
        <v>155</v>
      </c>
      <c r="G36" s="5" t="s">
        <v>155</v>
      </c>
      <c r="H36" s="5" t="s">
        <v>181</v>
      </c>
      <c r="I36" s="5" t="s">
        <v>181</v>
      </c>
      <c r="J36" s="5" t="s">
        <v>155</v>
      </c>
      <c r="K36" s="7" t="s">
        <v>157</v>
      </c>
      <c r="L36" s="8" t="s">
        <v>158</v>
      </c>
      <c r="M36" s="5" t="s">
        <v>158</v>
      </c>
      <c r="N36" s="5" t="s">
        <v>159</v>
      </c>
      <c r="O36" s="5" t="s">
        <v>158</v>
      </c>
      <c r="P36" s="7" t="s">
        <v>155</v>
      </c>
      <c r="Q36" s="8" t="s">
        <v>159</v>
      </c>
      <c r="R36" s="5" t="s">
        <v>159</v>
      </c>
      <c r="S36" s="5" t="s">
        <v>160</v>
      </c>
      <c r="T36" s="5" t="s">
        <v>159</v>
      </c>
      <c r="U36" s="5" t="s">
        <v>160</v>
      </c>
      <c r="V36" s="5" t="s">
        <v>159</v>
      </c>
      <c r="W36" s="5" t="s">
        <v>159</v>
      </c>
      <c r="X36" s="5" t="s">
        <v>158</v>
      </c>
      <c r="Y36" s="7" t="s">
        <v>159</v>
      </c>
      <c r="Z36" s="26" t="s">
        <v>161</v>
      </c>
      <c r="AA36" s="11" t="s">
        <v>157</v>
      </c>
      <c r="AB36" s="11" t="s">
        <v>157</v>
      </c>
      <c r="AC36" s="11" t="s">
        <v>157</v>
      </c>
      <c r="AD36" s="11" t="s">
        <v>157</v>
      </c>
      <c r="AE36" s="11" t="s">
        <v>157</v>
      </c>
      <c r="AF36" s="12" t="s">
        <v>157</v>
      </c>
      <c r="AG36" s="11" t="s">
        <v>162</v>
      </c>
      <c r="AH36" s="13" t="s">
        <v>157</v>
      </c>
      <c r="AI36" s="8" t="s">
        <v>163</v>
      </c>
      <c r="AJ36" s="5" t="s">
        <v>163</v>
      </c>
      <c r="AK36" s="5"/>
    </row>
    <row r="37">
      <c r="A37" s="5" t="s">
        <v>182</v>
      </c>
      <c r="B37" s="43"/>
      <c r="C37" s="20"/>
      <c r="D37" s="20"/>
      <c r="E37" s="20"/>
      <c r="F37" s="20"/>
      <c r="G37" s="20"/>
      <c r="H37" s="20"/>
      <c r="I37" s="20"/>
      <c r="J37" s="20"/>
      <c r="K37" s="21"/>
      <c r="L37" s="19"/>
      <c r="M37" s="20"/>
      <c r="N37" s="20"/>
      <c r="O37" s="20"/>
      <c r="P37" s="21"/>
      <c r="Q37" s="8"/>
      <c r="R37" s="20"/>
      <c r="S37" s="5" t="s">
        <v>183</v>
      </c>
      <c r="T37" s="5" t="s">
        <v>184</v>
      </c>
      <c r="U37" s="5" t="s">
        <v>184</v>
      </c>
      <c r="V37" s="20"/>
      <c r="W37" s="20"/>
      <c r="X37" s="20"/>
      <c r="Y37" s="21"/>
      <c r="Z37" s="22"/>
      <c r="AA37" s="20"/>
      <c r="AB37" s="20"/>
      <c r="AC37" s="20"/>
      <c r="AD37" s="20"/>
      <c r="AE37" s="20"/>
      <c r="AF37" s="70"/>
      <c r="AG37" s="20"/>
      <c r="AH37" s="21"/>
      <c r="AI37" s="19"/>
      <c r="AJ37" s="20"/>
      <c r="AK37" s="20"/>
    </row>
    <row r="38">
      <c r="A38" s="5" t="s">
        <v>185</v>
      </c>
      <c r="B38" s="43"/>
      <c r="C38" s="20"/>
      <c r="D38" s="20"/>
      <c r="E38" s="20"/>
      <c r="F38" s="20"/>
      <c r="G38" s="20"/>
      <c r="H38" s="5" t="s">
        <v>186</v>
      </c>
      <c r="I38" s="5" t="s">
        <v>186</v>
      </c>
      <c r="J38" s="20"/>
      <c r="K38" s="7" t="s">
        <v>186</v>
      </c>
      <c r="L38" s="19"/>
      <c r="M38" s="20"/>
      <c r="N38" s="20"/>
      <c r="O38" s="20"/>
      <c r="P38" s="21"/>
      <c r="Q38" s="8" t="s">
        <v>187</v>
      </c>
      <c r="R38" s="5" t="s">
        <v>187</v>
      </c>
      <c r="S38" s="5" t="s">
        <v>187</v>
      </c>
      <c r="T38" s="5" t="s">
        <v>187</v>
      </c>
      <c r="U38" s="5" t="s">
        <v>187</v>
      </c>
      <c r="V38" s="5" t="s">
        <v>187</v>
      </c>
      <c r="W38" s="5" t="s">
        <v>187</v>
      </c>
      <c r="X38" s="5" t="s">
        <v>187</v>
      </c>
      <c r="Y38" s="7" t="s">
        <v>187</v>
      </c>
      <c r="Z38" s="26" t="s">
        <v>188</v>
      </c>
      <c r="AA38" s="11" t="s">
        <v>188</v>
      </c>
      <c r="AB38" s="11" t="s">
        <v>188</v>
      </c>
      <c r="AC38" s="11" t="s">
        <v>188</v>
      </c>
      <c r="AD38" s="11" t="s">
        <v>188</v>
      </c>
      <c r="AE38" s="11" t="s">
        <v>188</v>
      </c>
      <c r="AF38" s="12" t="s">
        <v>188</v>
      </c>
      <c r="AG38" s="11" t="s">
        <v>188</v>
      </c>
      <c r="AH38" s="13" t="s">
        <v>188</v>
      </c>
      <c r="AI38" s="8" t="s">
        <v>188</v>
      </c>
      <c r="AJ38" s="5" t="s">
        <v>188</v>
      </c>
      <c r="AK38" s="20"/>
    </row>
    <row r="39">
      <c r="A39" s="5" t="s">
        <v>189</v>
      </c>
      <c r="B39" s="43"/>
      <c r="C39" s="20"/>
      <c r="D39" s="20"/>
      <c r="E39" s="20"/>
      <c r="F39" s="20"/>
      <c r="G39" s="20"/>
      <c r="H39" s="5" t="s">
        <v>181</v>
      </c>
      <c r="I39" s="5" t="s">
        <v>181</v>
      </c>
      <c r="J39" s="20"/>
      <c r="K39" s="7" t="s">
        <v>157</v>
      </c>
      <c r="L39" s="19"/>
      <c r="M39" s="20"/>
      <c r="N39" s="20"/>
      <c r="O39" s="20"/>
      <c r="P39" s="21"/>
      <c r="Q39" s="8" t="s">
        <v>159</v>
      </c>
      <c r="R39" s="5" t="s">
        <v>159</v>
      </c>
      <c r="S39" s="5" t="s">
        <v>190</v>
      </c>
      <c r="T39" s="5" t="s">
        <v>159</v>
      </c>
      <c r="U39" s="5" t="s">
        <v>190</v>
      </c>
      <c r="V39" s="5" t="s">
        <v>159</v>
      </c>
      <c r="W39" s="5" t="s">
        <v>159</v>
      </c>
      <c r="X39" s="5" t="s">
        <v>158</v>
      </c>
      <c r="Y39" s="7" t="s">
        <v>159</v>
      </c>
      <c r="Z39" s="26" t="s">
        <v>161</v>
      </c>
      <c r="AA39" s="11" t="s">
        <v>157</v>
      </c>
      <c r="AB39" s="11" t="s">
        <v>157</v>
      </c>
      <c r="AC39" s="11" t="s">
        <v>157</v>
      </c>
      <c r="AD39" s="11" t="s">
        <v>157</v>
      </c>
      <c r="AE39" s="11" t="s">
        <v>157</v>
      </c>
      <c r="AF39" s="12" t="s">
        <v>157</v>
      </c>
      <c r="AG39" s="11" t="s">
        <v>162</v>
      </c>
      <c r="AH39" s="13" t="s">
        <v>157</v>
      </c>
      <c r="AI39" s="8" t="s">
        <v>163</v>
      </c>
      <c r="AJ39" s="5" t="s">
        <v>163</v>
      </c>
      <c r="AK39" s="20"/>
    </row>
    <row r="40">
      <c r="A40" s="5" t="s">
        <v>191</v>
      </c>
      <c r="B40" s="43"/>
      <c r="C40" s="20"/>
      <c r="D40" s="20"/>
      <c r="E40" s="20"/>
      <c r="F40" s="20"/>
      <c r="G40" s="20"/>
      <c r="H40" s="5"/>
      <c r="I40" s="5"/>
      <c r="J40" s="20"/>
      <c r="K40" s="7"/>
      <c r="L40" s="19"/>
      <c r="M40" s="20"/>
      <c r="N40" s="20"/>
      <c r="O40" s="20"/>
      <c r="P40" s="7"/>
      <c r="Q40" s="19"/>
      <c r="R40" s="5"/>
      <c r="S40" s="5"/>
      <c r="T40" s="5"/>
      <c r="U40" s="5"/>
      <c r="V40" s="5"/>
      <c r="W40" s="5"/>
      <c r="X40" s="5"/>
      <c r="Y40" s="7"/>
      <c r="Z40" s="19"/>
      <c r="AA40" s="11"/>
      <c r="AB40" s="11"/>
      <c r="AC40" s="11"/>
      <c r="AD40" s="11"/>
      <c r="AE40" s="11"/>
      <c r="AF40" s="12"/>
      <c r="AG40" s="11"/>
      <c r="AH40" s="7"/>
      <c r="AI40" s="19"/>
      <c r="AJ40" s="20"/>
      <c r="AK40" s="20"/>
    </row>
    <row r="41">
      <c r="A41" s="5" t="s">
        <v>192</v>
      </c>
      <c r="B41" s="43"/>
      <c r="C41" s="20"/>
      <c r="D41" s="20"/>
      <c r="E41" s="20"/>
      <c r="F41" s="20"/>
      <c r="G41" s="20"/>
      <c r="H41" s="5"/>
      <c r="I41" s="5"/>
      <c r="J41" s="20"/>
      <c r="K41" s="7"/>
      <c r="L41" s="19"/>
      <c r="M41" s="20"/>
      <c r="N41" s="20"/>
      <c r="O41" s="20"/>
      <c r="P41" s="7"/>
      <c r="Q41" s="19" t="s">
        <v>188</v>
      </c>
      <c r="R41" s="5" t="s">
        <v>188</v>
      </c>
      <c r="S41" s="5" t="s">
        <v>188</v>
      </c>
      <c r="T41" s="5" t="s">
        <v>188</v>
      </c>
      <c r="U41" s="5" t="s">
        <v>188</v>
      </c>
      <c r="V41" s="5" t="s">
        <v>188</v>
      </c>
      <c r="W41" s="5" t="s">
        <v>188</v>
      </c>
      <c r="X41" s="5" t="s">
        <v>188</v>
      </c>
      <c r="Y41" s="7" t="s">
        <v>188</v>
      </c>
      <c r="Z41" s="19"/>
      <c r="AA41" s="11"/>
      <c r="AB41" s="11"/>
      <c r="AC41" s="11"/>
      <c r="AD41" s="11"/>
      <c r="AE41" s="11"/>
      <c r="AF41" s="12"/>
      <c r="AG41" s="11"/>
      <c r="AH41" s="7"/>
      <c r="AI41" s="19"/>
      <c r="AJ41" s="5"/>
      <c r="AK41" s="20"/>
    </row>
    <row r="42">
      <c r="A42" s="102" t="s">
        <v>193</v>
      </c>
      <c r="B42" s="103"/>
      <c r="C42" s="104"/>
      <c r="D42" s="104"/>
      <c r="E42" s="104"/>
      <c r="F42" s="104"/>
      <c r="G42" s="104"/>
      <c r="H42" s="102"/>
      <c r="I42" s="102"/>
      <c r="J42" s="104"/>
      <c r="K42" s="105"/>
      <c r="L42" s="106"/>
      <c r="M42" s="104"/>
      <c r="N42" s="104"/>
      <c r="O42" s="104"/>
      <c r="P42" s="105"/>
      <c r="Q42" s="106" t="s">
        <v>159</v>
      </c>
      <c r="R42" s="102" t="s">
        <v>159</v>
      </c>
      <c r="S42" s="102" t="s">
        <v>190</v>
      </c>
      <c r="T42" s="102" t="s">
        <v>159</v>
      </c>
      <c r="U42" s="102" t="s">
        <v>190</v>
      </c>
      <c r="V42" s="102" t="s">
        <v>159</v>
      </c>
      <c r="W42" s="102" t="s">
        <v>159</v>
      </c>
      <c r="X42" s="102" t="s">
        <v>158</v>
      </c>
      <c r="Y42" s="105" t="s">
        <v>159</v>
      </c>
      <c r="Z42" s="106"/>
      <c r="AA42" s="107"/>
      <c r="AB42" s="107"/>
      <c r="AC42" s="107"/>
      <c r="AD42" s="107"/>
      <c r="AE42" s="107"/>
      <c r="AF42" s="108"/>
      <c r="AG42" s="107"/>
      <c r="AH42" s="105"/>
      <c r="AI42" s="106"/>
      <c r="AJ42" s="102"/>
      <c r="AK42" s="104"/>
    </row>
    <row r="43">
      <c r="A43" s="109" t="s">
        <v>194</v>
      </c>
      <c r="B43" s="110" t="s">
        <v>195</v>
      </c>
      <c r="C43" s="111"/>
      <c r="D43" s="111"/>
      <c r="E43" s="111"/>
      <c r="F43" s="111"/>
      <c r="G43" s="111"/>
      <c r="H43" s="109"/>
      <c r="I43" s="109"/>
      <c r="J43" s="111"/>
      <c r="K43" s="112"/>
      <c r="L43" s="113"/>
      <c r="M43" s="111"/>
      <c r="N43" s="111"/>
      <c r="O43" s="111"/>
      <c r="P43" s="112"/>
      <c r="Q43" s="113"/>
      <c r="R43" s="109"/>
      <c r="S43" s="109"/>
      <c r="T43" s="109"/>
      <c r="U43" s="109"/>
      <c r="V43" s="109"/>
      <c r="W43" s="109"/>
      <c r="X43" s="109"/>
      <c r="Y43" s="112"/>
      <c r="Z43" s="113"/>
      <c r="AA43" s="114"/>
      <c r="AB43" s="115"/>
      <c r="AC43" s="114"/>
      <c r="AD43" s="114"/>
      <c r="AE43" s="114"/>
      <c r="AF43" s="116"/>
      <c r="AG43" s="114"/>
      <c r="AH43" s="112"/>
      <c r="AI43" s="113"/>
      <c r="AJ43" s="115">
        <v>2.2</v>
      </c>
      <c r="AK43" s="111"/>
    </row>
    <row r="44">
      <c r="A44" s="5" t="s">
        <v>196</v>
      </c>
      <c r="B44" s="6" t="s">
        <v>195</v>
      </c>
      <c r="C44" s="20"/>
      <c r="D44" s="20"/>
      <c r="E44" s="20"/>
      <c r="F44" s="20"/>
      <c r="G44" s="20"/>
      <c r="H44" s="5"/>
      <c r="I44" s="5"/>
      <c r="J44" s="20"/>
      <c r="K44" s="7"/>
      <c r="L44" s="19"/>
      <c r="M44" s="20"/>
      <c r="N44" s="20"/>
      <c r="O44" s="20"/>
      <c r="P44" s="7"/>
      <c r="Q44" s="19"/>
      <c r="R44" s="5"/>
      <c r="S44" s="5"/>
      <c r="T44" s="5"/>
      <c r="U44" s="5"/>
      <c r="V44" s="5"/>
      <c r="W44" s="5"/>
      <c r="X44" s="5"/>
      <c r="Y44" s="7"/>
      <c r="Z44" s="19"/>
      <c r="AA44" s="11"/>
      <c r="AB44" s="2"/>
      <c r="AC44" s="11"/>
      <c r="AD44" s="11"/>
      <c r="AE44" s="11"/>
      <c r="AF44" s="12"/>
      <c r="AG44" s="11"/>
      <c r="AH44" s="7"/>
      <c r="AI44" s="19"/>
      <c r="AJ44" s="2">
        <v>1.6</v>
      </c>
      <c r="AK44" s="20"/>
    </row>
    <row r="45">
      <c r="A45" s="5" t="s">
        <v>197</v>
      </c>
      <c r="B45" s="6" t="s">
        <v>195</v>
      </c>
      <c r="C45" s="20"/>
      <c r="D45" s="20"/>
      <c r="E45" s="20"/>
      <c r="F45" s="20"/>
      <c r="G45" s="20"/>
      <c r="H45" s="5"/>
      <c r="I45" s="5"/>
      <c r="J45" s="20"/>
      <c r="K45" s="7"/>
      <c r="L45" s="19"/>
      <c r="M45" s="20"/>
      <c r="N45" s="20"/>
      <c r="O45" s="20"/>
      <c r="P45" s="7"/>
      <c r="Q45" s="19"/>
      <c r="R45" s="5"/>
      <c r="S45" s="5"/>
      <c r="T45" s="5"/>
      <c r="U45" s="5"/>
      <c r="V45" s="5"/>
      <c r="W45" s="5"/>
      <c r="X45" s="5"/>
      <c r="Y45" s="7"/>
      <c r="Z45" s="19"/>
      <c r="AA45" s="11"/>
      <c r="AB45" s="2"/>
      <c r="AC45" s="11"/>
      <c r="AD45" s="11"/>
      <c r="AE45" s="11"/>
      <c r="AF45" s="12"/>
      <c r="AG45" s="11"/>
      <c r="AH45" s="7"/>
      <c r="AI45" s="19"/>
      <c r="AJ45" s="2">
        <v>1.0</v>
      </c>
      <c r="AK45" s="20"/>
    </row>
    <row r="46">
      <c r="A46" s="5" t="s">
        <v>198</v>
      </c>
      <c r="B46" s="6" t="s">
        <v>195</v>
      </c>
      <c r="C46" s="20"/>
      <c r="D46" s="20"/>
      <c r="E46" s="20"/>
      <c r="F46" s="20"/>
      <c r="G46" s="20"/>
      <c r="H46" s="5"/>
      <c r="I46" s="5"/>
      <c r="J46" s="20"/>
      <c r="K46" s="7"/>
      <c r="L46" s="19"/>
      <c r="M46" s="20"/>
      <c r="N46" s="20"/>
      <c r="O46" s="20"/>
      <c r="P46" s="7"/>
      <c r="Q46" s="19"/>
      <c r="R46" s="5"/>
      <c r="S46" s="5"/>
      <c r="T46" s="5"/>
      <c r="U46" s="5"/>
      <c r="V46" s="5"/>
      <c r="W46" s="5"/>
      <c r="X46" s="5"/>
      <c r="Y46" s="7"/>
      <c r="Z46" s="19"/>
      <c r="AA46" s="11"/>
      <c r="AB46" s="2"/>
      <c r="AC46" s="11"/>
      <c r="AD46" s="11"/>
      <c r="AE46" s="11"/>
      <c r="AF46" s="12"/>
      <c r="AG46" s="11"/>
      <c r="AH46" s="7"/>
      <c r="AI46" s="19"/>
      <c r="AJ46" s="2">
        <v>1.1</v>
      </c>
      <c r="AK46" s="20"/>
    </row>
    <row r="47">
      <c r="A47" s="5" t="s">
        <v>199</v>
      </c>
      <c r="B47" s="6" t="s">
        <v>195</v>
      </c>
      <c r="C47" s="20"/>
      <c r="D47" s="20"/>
      <c r="E47" s="20"/>
      <c r="F47" s="20"/>
      <c r="G47" s="20"/>
      <c r="H47" s="5"/>
      <c r="I47" s="5"/>
      <c r="J47" s="20"/>
      <c r="K47" s="7"/>
      <c r="L47" s="19"/>
      <c r="M47" s="20"/>
      <c r="N47" s="20"/>
      <c r="O47" s="20"/>
      <c r="P47" s="7"/>
      <c r="Q47" s="19"/>
      <c r="R47" s="5"/>
      <c r="S47" s="5"/>
      <c r="T47" s="5"/>
      <c r="U47" s="5"/>
      <c r="V47" s="5"/>
      <c r="W47" s="5"/>
      <c r="X47" s="5"/>
      <c r="Y47" s="7"/>
      <c r="Z47" s="19"/>
      <c r="AA47" s="11"/>
      <c r="AB47" s="2"/>
      <c r="AC47" s="11"/>
      <c r="AD47" s="11"/>
      <c r="AE47" s="11"/>
      <c r="AF47" s="12"/>
      <c r="AG47" s="11"/>
      <c r="AH47" s="7"/>
      <c r="AI47" s="19"/>
      <c r="AJ47" s="2">
        <v>0.85</v>
      </c>
      <c r="AK47" s="20"/>
    </row>
    <row r="48">
      <c r="A48" s="5" t="s">
        <v>200</v>
      </c>
      <c r="B48" s="6" t="s">
        <v>195</v>
      </c>
      <c r="C48" s="20"/>
      <c r="D48" s="20"/>
      <c r="E48" s="20"/>
      <c r="F48" s="20"/>
      <c r="G48" s="20"/>
      <c r="H48" s="5"/>
      <c r="I48" s="5"/>
      <c r="J48" s="20"/>
      <c r="K48" s="7"/>
      <c r="L48" s="19"/>
      <c r="M48" s="20"/>
      <c r="N48" s="20"/>
      <c r="O48" s="20"/>
      <c r="P48" s="7"/>
      <c r="Q48" s="19"/>
      <c r="R48" s="5"/>
      <c r="S48" s="5"/>
      <c r="T48" s="5"/>
      <c r="U48" s="5"/>
      <c r="V48" s="5"/>
      <c r="W48" s="5"/>
      <c r="X48" s="5"/>
      <c r="Y48" s="7"/>
      <c r="Z48" s="19"/>
      <c r="AA48" s="11"/>
      <c r="AB48" s="2"/>
      <c r="AC48" s="11"/>
      <c r="AD48" s="11"/>
      <c r="AE48" s="11"/>
      <c r="AF48" s="12"/>
      <c r="AG48" s="11"/>
      <c r="AH48" s="7"/>
      <c r="AI48" s="19"/>
      <c r="AJ48" s="2">
        <v>0.65</v>
      </c>
      <c r="AK48" s="20"/>
    </row>
    <row r="49">
      <c r="A49" s="5" t="s">
        <v>201</v>
      </c>
      <c r="B49" s="6" t="s">
        <v>195</v>
      </c>
      <c r="C49" s="20"/>
      <c r="D49" s="20"/>
      <c r="E49" s="20"/>
      <c r="F49" s="20"/>
      <c r="G49" s="20"/>
      <c r="H49" s="5"/>
      <c r="I49" s="5"/>
      <c r="J49" s="20"/>
      <c r="K49" s="7"/>
      <c r="L49" s="19"/>
      <c r="M49" s="20"/>
      <c r="N49" s="20"/>
      <c r="O49" s="20"/>
      <c r="P49" s="7"/>
      <c r="Q49" s="19"/>
      <c r="R49" s="5"/>
      <c r="S49" s="5"/>
      <c r="T49" s="5"/>
      <c r="U49" s="5"/>
      <c r="V49" s="5"/>
      <c r="W49" s="5"/>
      <c r="X49" s="5"/>
      <c r="Y49" s="7"/>
      <c r="Z49" s="19"/>
      <c r="AA49" s="11"/>
      <c r="AB49" s="2">
        <v>0.9</v>
      </c>
      <c r="AC49" s="11"/>
      <c r="AD49" s="11"/>
      <c r="AE49" s="11"/>
      <c r="AF49" s="12"/>
      <c r="AG49" s="11"/>
      <c r="AH49" s="7"/>
      <c r="AI49" s="19"/>
      <c r="AJ49" s="2">
        <v>0.42</v>
      </c>
      <c r="AK49" s="20"/>
    </row>
    <row r="50">
      <c r="A50" s="5" t="s">
        <v>202</v>
      </c>
      <c r="B50" s="6" t="s">
        <v>195</v>
      </c>
      <c r="C50" s="20"/>
      <c r="D50" s="20"/>
      <c r="E50" s="20"/>
      <c r="F50" s="20"/>
      <c r="G50" s="20"/>
      <c r="H50" s="5"/>
      <c r="I50" s="5"/>
      <c r="J50" s="20"/>
      <c r="K50" s="7"/>
      <c r="L50" s="19"/>
      <c r="M50" s="20"/>
      <c r="N50" s="20"/>
      <c r="O50" s="20"/>
      <c r="P50" s="7"/>
      <c r="Q50" s="19"/>
      <c r="R50" s="5"/>
      <c r="S50" s="5"/>
      <c r="T50" s="5"/>
      <c r="U50" s="5"/>
      <c r="V50" s="5"/>
      <c r="W50" s="5"/>
      <c r="X50" s="5"/>
      <c r="Y50" s="7"/>
      <c r="Z50" s="19"/>
      <c r="AA50" s="11"/>
      <c r="AB50" s="2">
        <v>0.65</v>
      </c>
      <c r="AC50" s="11"/>
      <c r="AD50" s="11"/>
      <c r="AE50" s="11"/>
      <c r="AF50" s="12"/>
      <c r="AG50" s="11"/>
      <c r="AH50" s="7"/>
      <c r="AI50" s="19"/>
      <c r="AJ50" s="2">
        <v>0.31</v>
      </c>
      <c r="AK50" s="20"/>
    </row>
    <row r="51">
      <c r="A51" s="5" t="s">
        <v>203</v>
      </c>
      <c r="B51" s="6" t="s">
        <v>195</v>
      </c>
      <c r="C51" s="20"/>
      <c r="D51" s="20"/>
      <c r="E51" s="20"/>
      <c r="F51" s="20"/>
      <c r="G51" s="20"/>
      <c r="H51" s="5"/>
      <c r="I51" s="5"/>
      <c r="J51" s="20"/>
      <c r="K51" s="7"/>
      <c r="L51" s="19"/>
      <c r="M51" s="20"/>
      <c r="N51" s="20"/>
      <c r="O51" s="20"/>
      <c r="P51" s="7"/>
      <c r="Q51" s="19"/>
      <c r="R51" s="5"/>
      <c r="S51" s="5"/>
      <c r="T51" s="5"/>
      <c r="U51" s="5"/>
      <c r="V51" s="5"/>
      <c r="W51" s="5"/>
      <c r="X51" s="5"/>
      <c r="Y51" s="7"/>
      <c r="Z51" s="19"/>
      <c r="AA51" s="11"/>
      <c r="AB51" s="2">
        <v>0.45</v>
      </c>
      <c r="AC51" s="11"/>
      <c r="AD51" s="11"/>
      <c r="AE51" s="11"/>
      <c r="AF51" s="12"/>
      <c r="AG51" s="11"/>
      <c r="AH51" s="7"/>
      <c r="AI51" s="19"/>
      <c r="AJ51" s="2">
        <v>0.2</v>
      </c>
      <c r="AK51" s="20"/>
    </row>
    <row r="52">
      <c r="A52" s="5" t="s">
        <v>204</v>
      </c>
      <c r="B52" s="6" t="s">
        <v>195</v>
      </c>
      <c r="C52" s="20"/>
      <c r="D52" s="20"/>
      <c r="E52" s="20"/>
      <c r="F52" s="20"/>
      <c r="G52" s="20"/>
      <c r="H52" s="5"/>
      <c r="I52" s="5"/>
      <c r="J52" s="20"/>
      <c r="K52" s="117">
        <v>4.5</v>
      </c>
      <c r="L52" s="19"/>
      <c r="M52" s="20"/>
      <c r="N52" s="20"/>
      <c r="O52" s="20"/>
      <c r="P52" s="7"/>
      <c r="Q52" s="19"/>
      <c r="R52" s="5"/>
      <c r="S52" s="5"/>
      <c r="T52" s="5"/>
      <c r="U52" s="5"/>
      <c r="V52" s="5"/>
      <c r="W52" s="5"/>
      <c r="X52" s="5"/>
      <c r="Y52" s="7"/>
      <c r="Z52" s="19"/>
      <c r="AA52" s="11"/>
      <c r="AB52" s="2">
        <v>4.5</v>
      </c>
      <c r="AC52" s="11"/>
      <c r="AD52" s="11"/>
      <c r="AE52" s="11"/>
      <c r="AF52" s="12"/>
      <c r="AG52" s="11"/>
      <c r="AH52" s="7"/>
      <c r="AI52" s="19"/>
      <c r="AJ52" s="2">
        <v>1.5</v>
      </c>
      <c r="AK52" s="20"/>
    </row>
    <row r="53">
      <c r="A53" s="5" t="s">
        <v>205</v>
      </c>
      <c r="B53" s="6" t="s">
        <v>195</v>
      </c>
      <c r="C53" s="20"/>
      <c r="D53" s="20"/>
      <c r="E53" s="20"/>
      <c r="F53" s="20"/>
      <c r="G53" s="20"/>
      <c r="H53" s="5"/>
      <c r="I53" s="5"/>
      <c r="J53" s="20"/>
      <c r="K53" s="117">
        <v>2.8</v>
      </c>
      <c r="L53" s="19"/>
      <c r="M53" s="20"/>
      <c r="N53" s="20"/>
      <c r="O53" s="20"/>
      <c r="P53" s="7"/>
      <c r="Q53" s="19"/>
      <c r="R53" s="5"/>
      <c r="S53" s="5"/>
      <c r="T53" s="5"/>
      <c r="U53" s="5"/>
      <c r="V53" s="5"/>
      <c r="W53" s="5"/>
      <c r="X53" s="5"/>
      <c r="Y53" s="7"/>
      <c r="Z53" s="19"/>
      <c r="AA53" s="11"/>
      <c r="AB53" s="2">
        <v>2.8</v>
      </c>
      <c r="AC53" s="11"/>
      <c r="AD53" s="11"/>
      <c r="AE53" s="11"/>
      <c r="AF53" s="12"/>
      <c r="AG53" s="11"/>
      <c r="AH53" s="7"/>
      <c r="AI53" s="19"/>
      <c r="AJ53" s="2">
        <v>1.2</v>
      </c>
      <c r="AK53" s="20"/>
    </row>
    <row r="54">
      <c r="A54" s="5" t="s">
        <v>206</v>
      </c>
      <c r="B54" s="6" t="s">
        <v>195</v>
      </c>
      <c r="C54" s="20"/>
      <c r="D54" s="20"/>
      <c r="E54" s="20"/>
      <c r="F54" s="20"/>
      <c r="G54" s="20"/>
      <c r="H54" s="5"/>
      <c r="I54" s="5"/>
      <c r="J54" s="20"/>
      <c r="K54" s="117">
        <v>1.8</v>
      </c>
      <c r="L54" s="19"/>
      <c r="M54" s="20"/>
      <c r="N54" s="20"/>
      <c r="O54" s="20"/>
      <c r="P54" s="7"/>
      <c r="Q54" s="19"/>
      <c r="R54" s="5"/>
      <c r="S54" s="5"/>
      <c r="T54" s="5"/>
      <c r="U54" s="5"/>
      <c r="V54" s="5"/>
      <c r="W54" s="5"/>
      <c r="X54" s="5"/>
      <c r="Y54" s="7"/>
      <c r="Z54" s="19"/>
      <c r="AA54" s="11"/>
      <c r="AB54" s="2">
        <v>1.8</v>
      </c>
      <c r="AC54" s="11"/>
      <c r="AD54" s="11"/>
      <c r="AE54" s="11"/>
      <c r="AF54" s="12"/>
      <c r="AG54" s="11"/>
      <c r="AH54" s="7"/>
      <c r="AI54" s="19"/>
      <c r="AJ54" s="2">
        <v>0.8</v>
      </c>
      <c r="AK54" s="20"/>
    </row>
    <row r="55">
      <c r="A55" s="5" t="s">
        <v>207</v>
      </c>
      <c r="B55" s="6" t="s">
        <v>195</v>
      </c>
      <c r="C55" s="20"/>
      <c r="D55" s="20"/>
      <c r="E55" s="20"/>
      <c r="F55" s="20"/>
      <c r="G55" s="20"/>
      <c r="H55" s="5"/>
      <c r="I55" s="5"/>
      <c r="J55" s="20"/>
      <c r="K55" s="13">
        <v>0.22</v>
      </c>
      <c r="L55" s="19"/>
      <c r="M55" s="20"/>
      <c r="N55" s="20"/>
      <c r="O55" s="20"/>
      <c r="P55" s="7"/>
      <c r="Q55" s="19"/>
      <c r="R55" s="5"/>
      <c r="S55" s="5"/>
      <c r="T55" s="5"/>
      <c r="U55" s="5"/>
      <c r="V55" s="5"/>
      <c r="W55" s="5"/>
      <c r="X55" s="5"/>
      <c r="Y55" s="7"/>
      <c r="Z55" s="19"/>
      <c r="AA55" s="11"/>
      <c r="AB55" s="11">
        <v>0.22</v>
      </c>
      <c r="AC55" s="11"/>
      <c r="AD55" s="11"/>
      <c r="AE55" s="11"/>
      <c r="AF55" s="12"/>
      <c r="AG55" s="11"/>
      <c r="AH55" s="7"/>
      <c r="AI55" s="19"/>
      <c r="AJ55" s="2">
        <v>0.16</v>
      </c>
      <c r="AK55" s="20"/>
    </row>
    <row r="56">
      <c r="A56" s="5" t="s">
        <v>208</v>
      </c>
      <c r="B56" s="6" t="s">
        <v>195</v>
      </c>
      <c r="C56" s="20"/>
      <c r="D56" s="20"/>
      <c r="E56" s="20"/>
      <c r="F56" s="20"/>
      <c r="G56" s="20"/>
      <c r="H56" s="5"/>
      <c r="I56" s="5"/>
      <c r="J56" s="20"/>
      <c r="K56" s="13">
        <v>0.175</v>
      </c>
      <c r="L56" s="19"/>
      <c r="M56" s="20"/>
      <c r="N56" s="20"/>
      <c r="O56" s="20"/>
      <c r="P56" s="7"/>
      <c r="Q56" s="19"/>
      <c r="R56" s="5"/>
      <c r="S56" s="5"/>
      <c r="T56" s="5"/>
      <c r="U56" s="5"/>
      <c r="V56" s="5"/>
      <c r="W56" s="5"/>
      <c r="X56" s="5"/>
      <c r="Y56" s="7"/>
      <c r="Z56" s="19"/>
      <c r="AA56" s="11"/>
      <c r="AB56" s="11">
        <v>0.175</v>
      </c>
      <c r="AC56" s="11"/>
      <c r="AD56" s="11"/>
      <c r="AE56" s="11"/>
      <c r="AF56" s="12"/>
      <c r="AG56" s="11"/>
      <c r="AH56" s="7"/>
      <c r="AI56" s="19"/>
      <c r="AJ56" s="2">
        <v>0.13</v>
      </c>
      <c r="AK56" s="20"/>
    </row>
    <row r="57">
      <c r="A57" s="5" t="s">
        <v>209</v>
      </c>
      <c r="B57" s="6" t="s">
        <v>195</v>
      </c>
      <c r="C57" s="20"/>
      <c r="D57" s="20"/>
      <c r="E57" s="20"/>
      <c r="F57" s="20"/>
      <c r="G57" s="20"/>
      <c r="H57" s="5"/>
      <c r="I57" s="5"/>
      <c r="J57" s="20"/>
      <c r="K57" s="13">
        <v>0.13</v>
      </c>
      <c r="L57" s="19"/>
      <c r="M57" s="20"/>
      <c r="N57" s="20"/>
      <c r="O57" s="20"/>
      <c r="P57" s="7"/>
      <c r="Q57" s="19"/>
      <c r="R57" s="5"/>
      <c r="S57" s="5"/>
      <c r="T57" s="5"/>
      <c r="U57" s="5"/>
      <c r="V57" s="5"/>
      <c r="W57" s="5"/>
      <c r="X57" s="5"/>
      <c r="Y57" s="7"/>
      <c r="Z57" s="19"/>
      <c r="AA57" s="11"/>
      <c r="AB57" s="11">
        <v>0.13</v>
      </c>
      <c r="AC57" s="11"/>
      <c r="AD57" s="11"/>
      <c r="AE57" s="11"/>
      <c r="AF57" s="12"/>
      <c r="AG57" s="11"/>
      <c r="AH57" s="7"/>
      <c r="AI57" s="19"/>
      <c r="AJ57" s="2">
        <v>0.095</v>
      </c>
      <c r="AK57" s="20"/>
    </row>
    <row r="58">
      <c r="A58" s="5" t="s">
        <v>210</v>
      </c>
      <c r="B58" s="6" t="s">
        <v>195</v>
      </c>
      <c r="C58" s="20"/>
      <c r="D58" s="20"/>
      <c r="E58" s="20"/>
      <c r="F58" s="20"/>
      <c r="G58" s="20"/>
      <c r="H58" s="5"/>
      <c r="I58" s="5"/>
      <c r="J58" s="20"/>
      <c r="K58" s="7"/>
      <c r="L58" s="19"/>
      <c r="M58" s="20"/>
      <c r="N58" s="20"/>
      <c r="O58" s="20"/>
      <c r="P58" s="7"/>
      <c r="Q58" s="19"/>
      <c r="R58" s="5"/>
      <c r="S58" s="5"/>
      <c r="T58" s="5"/>
      <c r="U58" s="5"/>
      <c r="V58" s="5"/>
      <c r="W58" s="5"/>
      <c r="X58" s="5"/>
      <c r="Y58" s="7"/>
      <c r="Z58" s="19"/>
      <c r="AA58" s="11"/>
      <c r="AB58" s="2">
        <v>0.024</v>
      </c>
      <c r="AC58" s="11"/>
      <c r="AD58" s="11"/>
      <c r="AE58" s="11"/>
      <c r="AF58" s="12"/>
      <c r="AG58" s="11"/>
      <c r="AH58" s="7"/>
      <c r="AI58" s="19"/>
      <c r="AJ58" s="2">
        <v>0.011</v>
      </c>
      <c r="AK58" s="20"/>
    </row>
    <row r="59">
      <c r="A59" s="5" t="s">
        <v>211</v>
      </c>
      <c r="B59" s="6" t="s">
        <v>195</v>
      </c>
      <c r="C59" s="20"/>
      <c r="D59" s="20"/>
      <c r="E59" s="20"/>
      <c r="F59" s="20"/>
      <c r="G59" s="20"/>
      <c r="H59" s="5"/>
      <c r="I59" s="5"/>
      <c r="J59" s="20"/>
      <c r="K59" s="7"/>
      <c r="L59" s="19"/>
      <c r="M59" s="20"/>
      <c r="N59" s="20"/>
      <c r="O59" s="20"/>
      <c r="P59" s="7"/>
      <c r="Q59" s="19"/>
      <c r="R59" s="5"/>
      <c r="S59" s="5"/>
      <c r="T59" s="5"/>
      <c r="U59" s="5"/>
      <c r="V59" s="5"/>
      <c r="W59" s="5"/>
      <c r="X59" s="5"/>
      <c r="Y59" s="7"/>
      <c r="Z59" s="19"/>
      <c r="AA59" s="11"/>
      <c r="AB59" s="2">
        <v>0.018</v>
      </c>
      <c r="AC59" s="11"/>
      <c r="AD59" s="11"/>
      <c r="AE59" s="11"/>
      <c r="AF59" s="12"/>
      <c r="AG59" s="11"/>
      <c r="AH59" s="7"/>
      <c r="AI59" s="19"/>
      <c r="AJ59" s="2">
        <v>0.007</v>
      </c>
      <c r="AK59" s="20"/>
    </row>
    <row r="60">
      <c r="A60" s="5" t="s">
        <v>212</v>
      </c>
      <c r="B60" s="6" t="s">
        <v>195</v>
      </c>
      <c r="C60" s="20"/>
      <c r="D60" s="20"/>
      <c r="E60" s="20"/>
      <c r="F60" s="20"/>
      <c r="G60" s="20"/>
      <c r="H60" s="5"/>
      <c r="I60" s="5"/>
      <c r="J60" s="20"/>
      <c r="K60" s="7"/>
      <c r="L60" s="19"/>
      <c r="M60" s="20"/>
      <c r="N60" s="20"/>
      <c r="O60" s="20"/>
      <c r="P60" s="7"/>
      <c r="Q60" s="19"/>
      <c r="R60" s="5"/>
      <c r="S60" s="5"/>
      <c r="T60" s="5"/>
      <c r="U60" s="5"/>
      <c r="V60" s="5"/>
      <c r="W60" s="5"/>
      <c r="X60" s="5"/>
      <c r="Y60" s="7"/>
      <c r="Z60" s="19"/>
      <c r="AA60" s="11"/>
      <c r="AB60" s="2">
        <v>0.012</v>
      </c>
      <c r="AC60" s="11"/>
      <c r="AD60" s="11"/>
      <c r="AE60" s="11"/>
      <c r="AF60" s="12"/>
      <c r="AG60" s="11"/>
      <c r="AH60" s="7"/>
      <c r="AI60" s="19"/>
      <c r="AJ60" s="2">
        <v>0.004</v>
      </c>
      <c r="AK60" s="20"/>
    </row>
    <row r="61">
      <c r="A61" s="5" t="s">
        <v>213</v>
      </c>
      <c r="B61" s="6" t="s">
        <v>195</v>
      </c>
      <c r="C61" s="20"/>
      <c r="D61" s="20"/>
      <c r="E61" s="20"/>
      <c r="F61" s="20"/>
      <c r="G61" s="20"/>
      <c r="H61" s="5"/>
      <c r="I61" s="5"/>
      <c r="J61" s="20"/>
      <c r="K61" s="117">
        <v>0.56</v>
      </c>
      <c r="L61" s="19"/>
      <c r="M61" s="20"/>
      <c r="N61" s="20"/>
      <c r="O61" s="20"/>
      <c r="P61" s="7"/>
      <c r="Q61" s="19"/>
      <c r="R61" s="5"/>
      <c r="S61" s="5"/>
      <c r="T61" s="5"/>
      <c r="U61" s="5"/>
      <c r="V61" s="5"/>
      <c r="W61" s="5"/>
      <c r="X61" s="5"/>
      <c r="Y61" s="7"/>
      <c r="Z61" s="19"/>
      <c r="AA61" s="11"/>
      <c r="AB61" s="2">
        <v>0.56</v>
      </c>
      <c r="AC61" s="11"/>
      <c r="AD61" s="11"/>
      <c r="AE61" s="11"/>
      <c r="AF61" s="12"/>
      <c r="AG61" s="11"/>
      <c r="AH61" s="7"/>
      <c r="AI61" s="19"/>
      <c r="AJ61" s="2">
        <v>0.43</v>
      </c>
      <c r="AK61" s="20"/>
    </row>
    <row r="62">
      <c r="A62" s="5" t="s">
        <v>214</v>
      </c>
      <c r="B62" s="6" t="s">
        <v>195</v>
      </c>
      <c r="C62" s="20"/>
      <c r="D62" s="20"/>
      <c r="E62" s="20"/>
      <c r="F62" s="20"/>
      <c r="G62" s="20"/>
      <c r="H62" s="5"/>
      <c r="I62" s="5"/>
      <c r="J62" s="20"/>
      <c r="K62" s="117">
        <v>0.4</v>
      </c>
      <c r="L62" s="19"/>
      <c r="M62" s="20"/>
      <c r="N62" s="20"/>
      <c r="O62" s="20"/>
      <c r="P62" s="7"/>
      <c r="Q62" s="19"/>
      <c r="R62" s="5"/>
      <c r="S62" s="5"/>
      <c r="T62" s="5"/>
      <c r="U62" s="5"/>
      <c r="V62" s="5"/>
      <c r="W62" s="5"/>
      <c r="X62" s="5"/>
      <c r="Y62" s="7"/>
      <c r="Z62" s="19"/>
      <c r="AA62" s="11"/>
      <c r="AB62" s="2">
        <v>0.4</v>
      </c>
      <c r="AC62" s="11"/>
      <c r="AD62" s="11"/>
      <c r="AE62" s="11"/>
      <c r="AF62" s="12"/>
      <c r="AG62" s="11"/>
      <c r="AH62" s="7"/>
      <c r="AI62" s="19"/>
      <c r="AJ62" s="2">
        <v>0.32</v>
      </c>
      <c r="AK62" s="20"/>
    </row>
    <row r="63">
      <c r="A63" s="5" t="s">
        <v>215</v>
      </c>
      <c r="B63" s="6" t="s">
        <v>195</v>
      </c>
      <c r="C63" s="20"/>
      <c r="D63" s="20"/>
      <c r="E63" s="20"/>
      <c r="F63" s="20"/>
      <c r="G63" s="20"/>
      <c r="H63" s="5"/>
      <c r="I63" s="5"/>
      <c r="J63" s="20"/>
      <c r="K63" s="117">
        <v>0.3</v>
      </c>
      <c r="L63" s="19"/>
      <c r="M63" s="20"/>
      <c r="N63" s="20"/>
      <c r="O63" s="20"/>
      <c r="P63" s="7"/>
      <c r="Q63" s="19"/>
      <c r="R63" s="5"/>
      <c r="S63" s="5"/>
      <c r="T63" s="5"/>
      <c r="U63" s="5"/>
      <c r="V63" s="5"/>
      <c r="W63" s="5"/>
      <c r="X63" s="5"/>
      <c r="Y63" s="7"/>
      <c r="Z63" s="19"/>
      <c r="AA63" s="11"/>
      <c r="AB63" s="2">
        <v>0.3</v>
      </c>
      <c r="AC63" s="11"/>
      <c r="AD63" s="11"/>
      <c r="AE63" s="11"/>
      <c r="AF63" s="12"/>
      <c r="AG63" s="11"/>
      <c r="AH63" s="7"/>
      <c r="AI63" s="19"/>
      <c r="AJ63" s="2">
        <v>0.2</v>
      </c>
      <c r="AK63" s="20"/>
    </row>
    <row r="64">
      <c r="A64" s="5" t="s">
        <v>216</v>
      </c>
      <c r="B64" s="6" t="s">
        <v>217</v>
      </c>
      <c r="C64" s="20"/>
      <c r="D64" s="20"/>
      <c r="E64" s="20"/>
      <c r="F64" s="20"/>
      <c r="G64" s="20"/>
      <c r="H64" s="5"/>
      <c r="I64" s="5"/>
      <c r="J64" s="20"/>
      <c r="K64" s="13">
        <v>5.0</v>
      </c>
      <c r="L64" s="19"/>
      <c r="M64" s="20"/>
      <c r="N64" s="20"/>
      <c r="O64" s="20"/>
      <c r="P64" s="7"/>
      <c r="Q64" s="19"/>
      <c r="R64" s="5"/>
      <c r="S64" s="5"/>
      <c r="T64" s="5"/>
      <c r="U64" s="5"/>
      <c r="V64" s="5"/>
      <c r="W64" s="5"/>
      <c r="X64" s="5"/>
      <c r="Y64" s="7"/>
      <c r="Z64" s="19"/>
      <c r="AA64" s="11"/>
      <c r="AB64" s="11">
        <v>5.0</v>
      </c>
      <c r="AC64" s="11"/>
      <c r="AD64" s="11"/>
      <c r="AE64" s="11"/>
      <c r="AF64" s="12"/>
      <c r="AG64" s="11"/>
      <c r="AH64" s="7"/>
      <c r="AI64" s="19"/>
      <c r="AJ64" s="5">
        <v>0.6</v>
      </c>
      <c r="AK64" s="20"/>
    </row>
    <row r="65">
      <c r="A65" s="5" t="s">
        <v>218</v>
      </c>
      <c r="B65" s="6" t="s">
        <v>217</v>
      </c>
      <c r="C65" s="20"/>
      <c r="D65" s="20"/>
      <c r="E65" s="20"/>
      <c r="F65" s="20"/>
      <c r="G65" s="20"/>
      <c r="H65" s="5"/>
      <c r="I65" s="5"/>
      <c r="J65" s="20"/>
      <c r="K65" s="13">
        <v>1.5</v>
      </c>
      <c r="L65" s="19"/>
      <c r="M65" s="20"/>
      <c r="N65" s="20"/>
      <c r="O65" s="20"/>
      <c r="P65" s="7"/>
      <c r="Q65" s="19"/>
      <c r="R65" s="5"/>
      <c r="S65" s="5"/>
      <c r="T65" s="5"/>
      <c r="U65" s="5"/>
      <c r="V65" s="5"/>
      <c r="W65" s="5"/>
      <c r="X65" s="5"/>
      <c r="Y65" s="7"/>
      <c r="Z65" s="19"/>
      <c r="AA65" s="11"/>
      <c r="AB65" s="11">
        <v>1.5</v>
      </c>
      <c r="AC65" s="11"/>
      <c r="AD65" s="11"/>
      <c r="AE65" s="11"/>
      <c r="AF65" s="12"/>
      <c r="AG65" s="11"/>
      <c r="AH65" s="7"/>
      <c r="AI65" s="19"/>
      <c r="AJ65" s="5">
        <v>0.35</v>
      </c>
      <c r="AK65" s="20"/>
    </row>
    <row r="66">
      <c r="A66" s="5" t="s">
        <v>219</v>
      </c>
      <c r="B66" s="6" t="s">
        <v>217</v>
      </c>
      <c r="C66" s="20"/>
      <c r="D66" s="20"/>
      <c r="E66" s="20"/>
      <c r="F66" s="20"/>
      <c r="G66" s="20"/>
      <c r="H66" s="5"/>
      <c r="I66" s="5"/>
      <c r="J66" s="20"/>
      <c r="K66" s="13">
        <v>0.5</v>
      </c>
      <c r="L66" s="19"/>
      <c r="M66" s="20"/>
      <c r="N66" s="20"/>
      <c r="O66" s="20"/>
      <c r="P66" s="7"/>
      <c r="Q66" s="19"/>
      <c r="R66" s="5"/>
      <c r="S66" s="5"/>
      <c r="T66" s="5"/>
      <c r="U66" s="5"/>
      <c r="V66" s="5"/>
      <c r="W66" s="5"/>
      <c r="X66" s="5"/>
      <c r="Y66" s="7"/>
      <c r="Z66" s="19"/>
      <c r="AA66" s="11"/>
      <c r="AB66" s="11">
        <v>0.5</v>
      </c>
      <c r="AC66" s="11"/>
      <c r="AD66" s="11"/>
      <c r="AE66" s="11"/>
      <c r="AF66" s="12"/>
      <c r="AG66" s="11"/>
      <c r="AH66" s="7"/>
      <c r="AI66" s="19"/>
      <c r="AJ66" s="5">
        <v>0.2</v>
      </c>
      <c r="AK66" s="20"/>
    </row>
    <row r="67">
      <c r="A67" s="5" t="s">
        <v>220</v>
      </c>
      <c r="B67" s="6" t="s">
        <v>221</v>
      </c>
      <c r="C67" s="20"/>
      <c r="D67" s="20"/>
      <c r="E67" s="20"/>
      <c r="F67" s="20"/>
      <c r="G67" s="20"/>
      <c r="H67" s="5"/>
      <c r="I67" s="5"/>
      <c r="J67" s="20"/>
      <c r="K67" s="13">
        <v>0.37</v>
      </c>
      <c r="L67" s="19"/>
      <c r="M67" s="20"/>
      <c r="N67" s="20"/>
      <c r="O67" s="20"/>
      <c r="P67" s="7"/>
      <c r="Q67" s="19"/>
      <c r="R67" s="5"/>
      <c r="S67" s="5"/>
      <c r="T67" s="5"/>
      <c r="U67" s="5"/>
      <c r="V67" s="5"/>
      <c r="W67" s="5"/>
      <c r="X67" s="5"/>
      <c r="Y67" s="7"/>
      <c r="Z67" s="19"/>
      <c r="AA67" s="11"/>
      <c r="AB67" s="11">
        <v>0.37</v>
      </c>
      <c r="AC67" s="11"/>
      <c r="AD67" s="11"/>
      <c r="AE67" s="11"/>
      <c r="AF67" s="12"/>
      <c r="AG67" s="11"/>
      <c r="AH67" s="7"/>
      <c r="AI67" s="19"/>
      <c r="AJ67" s="5">
        <v>0.45</v>
      </c>
      <c r="AK67" s="20"/>
    </row>
    <row r="68">
      <c r="A68" s="5" t="s">
        <v>222</v>
      </c>
      <c r="B68" s="6" t="s">
        <v>221</v>
      </c>
      <c r="C68" s="20"/>
      <c r="D68" s="20"/>
      <c r="E68" s="20"/>
      <c r="F68" s="20"/>
      <c r="G68" s="20"/>
      <c r="H68" s="5"/>
      <c r="I68" s="5"/>
      <c r="J68" s="20"/>
      <c r="K68" s="117">
        <v>0.26</v>
      </c>
      <c r="L68" s="19"/>
      <c r="M68" s="20"/>
      <c r="N68" s="20"/>
      <c r="O68" s="20"/>
      <c r="P68" s="7"/>
      <c r="Q68" s="19"/>
      <c r="R68" s="5"/>
      <c r="S68" s="5"/>
      <c r="T68" s="5"/>
      <c r="U68" s="5"/>
      <c r="V68" s="5"/>
      <c r="W68" s="5"/>
      <c r="X68" s="5"/>
      <c r="Y68" s="7"/>
      <c r="Z68" s="19"/>
      <c r="AA68" s="11"/>
      <c r="AB68" s="2">
        <v>0.26</v>
      </c>
      <c r="AC68" s="11"/>
      <c r="AD68" s="11"/>
      <c r="AE68" s="11"/>
      <c r="AF68" s="12"/>
      <c r="AG68" s="11"/>
      <c r="AH68" s="7"/>
      <c r="AI68" s="19"/>
      <c r="AJ68" s="2">
        <v>0.267</v>
      </c>
      <c r="AK68" s="20"/>
    </row>
    <row r="69">
      <c r="A69" s="5" t="s">
        <v>223</v>
      </c>
      <c r="B69" s="6" t="s">
        <v>221</v>
      </c>
      <c r="C69" s="20"/>
      <c r="D69" s="20"/>
      <c r="E69" s="20"/>
      <c r="F69" s="20"/>
      <c r="G69" s="20"/>
      <c r="H69" s="5"/>
      <c r="I69" s="5"/>
      <c r="J69" s="20"/>
      <c r="K69" s="13">
        <v>0.18</v>
      </c>
      <c r="L69" s="19"/>
      <c r="M69" s="20"/>
      <c r="N69" s="20"/>
      <c r="O69" s="20"/>
      <c r="P69" s="7"/>
      <c r="Q69" s="19"/>
      <c r="R69" s="5"/>
      <c r="S69" s="5"/>
      <c r="T69" s="5"/>
      <c r="U69" s="5"/>
      <c r="V69" s="5"/>
      <c r="W69" s="5"/>
      <c r="X69" s="5"/>
      <c r="Y69" s="7"/>
      <c r="Z69" s="19"/>
      <c r="AA69" s="11"/>
      <c r="AB69" s="11">
        <v>0.18</v>
      </c>
      <c r="AC69" s="11"/>
      <c r="AD69" s="11"/>
      <c r="AE69" s="11"/>
      <c r="AF69" s="12"/>
      <c r="AG69" s="11"/>
      <c r="AH69" s="7"/>
      <c r="AI69" s="19"/>
      <c r="AJ69" s="2">
        <v>0.175</v>
      </c>
      <c r="AK69" s="20"/>
    </row>
    <row r="70">
      <c r="A70" s="5" t="s">
        <v>224</v>
      </c>
      <c r="B70" s="6" t="s">
        <v>225</v>
      </c>
      <c r="C70" s="20"/>
      <c r="D70" s="20"/>
      <c r="E70" s="20"/>
      <c r="F70" s="20"/>
      <c r="G70" s="20"/>
      <c r="H70" s="5"/>
      <c r="I70" s="5"/>
      <c r="J70" s="20"/>
      <c r="K70" s="13"/>
      <c r="L70" s="19"/>
      <c r="M70" s="20"/>
      <c r="N70" s="20"/>
      <c r="O70" s="20"/>
      <c r="P70" s="7"/>
      <c r="Q70" s="19"/>
      <c r="R70" s="5"/>
      <c r="S70" s="5"/>
      <c r="T70" s="5"/>
      <c r="U70" s="5"/>
      <c r="V70" s="5"/>
      <c r="W70" s="5"/>
      <c r="X70" s="5"/>
      <c r="Y70" s="7"/>
      <c r="Z70" s="19"/>
      <c r="AA70" s="11"/>
      <c r="AB70" s="11"/>
      <c r="AC70" s="11"/>
      <c r="AD70" s="11"/>
      <c r="AE70" s="11"/>
      <c r="AF70" s="12"/>
      <c r="AG70" s="11"/>
      <c r="AH70" s="7"/>
      <c r="AI70" s="19"/>
      <c r="AJ70" s="2">
        <v>0.13</v>
      </c>
      <c r="AK70" s="20"/>
    </row>
    <row r="71">
      <c r="A71" s="5" t="s">
        <v>226</v>
      </c>
      <c r="B71" s="6" t="s">
        <v>225</v>
      </c>
      <c r="C71" s="20"/>
      <c r="D71" s="20"/>
      <c r="E71" s="20"/>
      <c r="F71" s="20"/>
      <c r="G71" s="20"/>
      <c r="H71" s="5"/>
      <c r="I71" s="5"/>
      <c r="J71" s="20"/>
      <c r="K71" s="13"/>
      <c r="L71" s="19"/>
      <c r="M71" s="20"/>
      <c r="N71" s="20"/>
      <c r="O71" s="20"/>
      <c r="P71" s="7"/>
      <c r="Q71" s="19"/>
      <c r="R71" s="5"/>
      <c r="S71" s="5"/>
      <c r="T71" s="5"/>
      <c r="U71" s="5"/>
      <c r="V71" s="5"/>
      <c r="W71" s="5"/>
      <c r="X71" s="5"/>
      <c r="Y71" s="7"/>
      <c r="Z71" s="19"/>
      <c r="AA71" s="11"/>
      <c r="AB71" s="11"/>
      <c r="AC71" s="11"/>
      <c r="AD71" s="11"/>
      <c r="AE71" s="11"/>
      <c r="AF71" s="12"/>
      <c r="AG71" s="11"/>
      <c r="AH71" s="7"/>
      <c r="AI71" s="19"/>
      <c r="AJ71" s="2">
        <v>0.09</v>
      </c>
      <c r="AK71" s="20"/>
    </row>
    <row r="72">
      <c r="A72" s="5" t="s">
        <v>227</v>
      </c>
      <c r="B72" s="6" t="s">
        <v>225</v>
      </c>
      <c r="C72" s="20"/>
      <c r="D72" s="20"/>
      <c r="E72" s="20"/>
      <c r="F72" s="20"/>
      <c r="G72" s="20"/>
      <c r="H72" s="5"/>
      <c r="I72" s="5"/>
      <c r="J72" s="20"/>
      <c r="K72" s="13"/>
      <c r="L72" s="19"/>
      <c r="M72" s="20"/>
      <c r="N72" s="20"/>
      <c r="O72" s="20"/>
      <c r="P72" s="7"/>
      <c r="Q72" s="19"/>
      <c r="R72" s="5"/>
      <c r="S72" s="5"/>
      <c r="T72" s="5"/>
      <c r="U72" s="5"/>
      <c r="V72" s="5"/>
      <c r="W72" s="5"/>
      <c r="X72" s="5"/>
      <c r="Y72" s="7"/>
      <c r="Z72" s="19"/>
      <c r="AA72" s="11"/>
      <c r="AB72" s="11"/>
      <c r="AC72" s="11"/>
      <c r="AD72" s="11"/>
      <c r="AE72" s="11"/>
      <c r="AF72" s="12"/>
      <c r="AG72" s="11"/>
      <c r="AH72" s="7"/>
      <c r="AI72" s="19"/>
      <c r="AJ72" s="5">
        <v>0.07</v>
      </c>
      <c r="AK72" s="20"/>
    </row>
    <row r="73">
      <c r="A73" s="5" t="s">
        <v>228</v>
      </c>
      <c r="B73" s="6" t="s">
        <v>229</v>
      </c>
      <c r="C73" s="20"/>
      <c r="D73" s="20"/>
      <c r="E73" s="20"/>
      <c r="F73" s="20"/>
      <c r="G73" s="20"/>
      <c r="H73" s="5"/>
      <c r="I73" s="5"/>
      <c r="J73" s="20"/>
      <c r="K73" s="7"/>
      <c r="L73" s="19"/>
      <c r="M73" s="20"/>
      <c r="N73" s="20"/>
      <c r="O73" s="20"/>
      <c r="P73" s="7"/>
      <c r="Q73" s="19"/>
      <c r="R73" s="5"/>
      <c r="S73" s="5"/>
      <c r="T73" s="5"/>
      <c r="U73" s="5"/>
      <c r="V73" s="5"/>
      <c r="W73" s="5"/>
      <c r="X73" s="5"/>
      <c r="Y73" s="7"/>
      <c r="Z73" s="19"/>
      <c r="AA73" s="11"/>
      <c r="AB73" s="2">
        <v>0.219</v>
      </c>
      <c r="AC73" s="11"/>
      <c r="AD73" s="11"/>
      <c r="AE73" s="11"/>
      <c r="AF73" s="12"/>
      <c r="AG73" s="11"/>
      <c r="AH73" s="7"/>
      <c r="AI73" s="19"/>
      <c r="AJ73" s="2">
        <v>0.2</v>
      </c>
      <c r="AK73" s="20"/>
    </row>
    <row r="74">
      <c r="A74" s="5" t="s">
        <v>230</v>
      </c>
      <c r="B74" s="6" t="s">
        <v>229</v>
      </c>
      <c r="C74" s="20"/>
      <c r="D74" s="20"/>
      <c r="E74" s="20"/>
      <c r="F74" s="20"/>
      <c r="G74" s="20"/>
      <c r="H74" s="5"/>
      <c r="I74" s="5"/>
      <c r="J74" s="20"/>
      <c r="K74" s="7"/>
      <c r="L74" s="19"/>
      <c r="M74" s="20"/>
      <c r="N74" s="20"/>
      <c r="O74" s="20"/>
      <c r="P74" s="7"/>
      <c r="Q74" s="19"/>
      <c r="R74" s="5"/>
      <c r="S74" s="5"/>
      <c r="T74" s="5"/>
      <c r="U74" s="5"/>
      <c r="V74" s="5"/>
      <c r="W74" s="5"/>
      <c r="X74" s="5"/>
      <c r="Y74" s="7"/>
      <c r="Z74" s="19"/>
      <c r="AA74" s="11"/>
      <c r="AB74" s="2">
        <v>0.12</v>
      </c>
      <c r="AD74" s="11"/>
      <c r="AE74" s="11"/>
      <c r="AF74" s="12"/>
      <c r="AG74" s="11"/>
      <c r="AH74" s="7"/>
      <c r="AI74" s="19"/>
      <c r="AJ74" s="2">
        <v>0.1</v>
      </c>
      <c r="AK74" s="20"/>
    </row>
    <row r="75">
      <c r="A75" s="102" t="s">
        <v>231</v>
      </c>
      <c r="B75" s="118" t="s">
        <v>229</v>
      </c>
      <c r="C75" s="104"/>
      <c r="D75" s="104"/>
      <c r="E75" s="104"/>
      <c r="F75" s="104"/>
      <c r="G75" s="104"/>
      <c r="H75" s="102"/>
      <c r="I75" s="102"/>
      <c r="J75" s="104"/>
      <c r="K75" s="105"/>
      <c r="L75" s="106"/>
      <c r="M75" s="104"/>
      <c r="N75" s="104"/>
      <c r="O75" s="104"/>
      <c r="P75" s="105"/>
      <c r="Q75" s="106"/>
      <c r="R75" s="102"/>
      <c r="S75" s="102"/>
      <c r="T75" s="102"/>
      <c r="U75" s="102"/>
      <c r="V75" s="102"/>
      <c r="W75" s="102"/>
      <c r="X75" s="102"/>
      <c r="Y75" s="105"/>
      <c r="Z75" s="106"/>
      <c r="AA75" s="107"/>
      <c r="AB75" s="107">
        <v>0.088</v>
      </c>
      <c r="AC75" s="107"/>
      <c r="AD75" s="107"/>
      <c r="AE75" s="107"/>
      <c r="AF75" s="108"/>
      <c r="AG75" s="107"/>
      <c r="AH75" s="105"/>
      <c r="AI75" s="106"/>
      <c r="AJ75" s="119">
        <v>0.04</v>
      </c>
      <c r="AK75" s="104"/>
    </row>
    <row r="76">
      <c r="A76" s="109" t="s">
        <v>232</v>
      </c>
      <c r="B76" s="110" t="s">
        <v>233</v>
      </c>
      <c r="C76" s="111"/>
      <c r="D76" s="111"/>
      <c r="E76" s="111"/>
      <c r="F76" s="111"/>
      <c r="G76" s="111"/>
      <c r="H76" s="109"/>
      <c r="I76" s="109"/>
      <c r="J76" s="111"/>
      <c r="K76" s="120">
        <v>2.85</v>
      </c>
      <c r="L76" s="113"/>
      <c r="M76" s="111"/>
      <c r="N76" s="111"/>
      <c r="O76" s="111"/>
      <c r="P76" s="112"/>
      <c r="Q76" s="113"/>
      <c r="R76" s="109"/>
      <c r="S76" s="109"/>
      <c r="T76" s="109"/>
      <c r="U76" s="109"/>
      <c r="V76" s="109"/>
      <c r="W76" s="109"/>
      <c r="X76" s="109"/>
      <c r="Y76" s="112"/>
      <c r="Z76" s="113"/>
      <c r="AA76" s="114"/>
      <c r="AB76" s="114">
        <v>2.85</v>
      </c>
      <c r="AC76" s="114"/>
      <c r="AD76" s="114"/>
      <c r="AE76" s="114"/>
      <c r="AF76" s="116"/>
      <c r="AG76" s="114"/>
      <c r="AH76" s="112"/>
      <c r="AI76" s="113"/>
      <c r="AJ76" s="114">
        <v>2.85</v>
      </c>
      <c r="AK76" s="111"/>
    </row>
    <row r="77">
      <c r="A77" s="5" t="s">
        <v>234</v>
      </c>
      <c r="B77" s="6" t="s">
        <v>233</v>
      </c>
      <c r="C77" s="20"/>
      <c r="D77" s="20"/>
      <c r="E77" s="20"/>
      <c r="F77" s="20"/>
      <c r="G77" s="20"/>
      <c r="H77" s="5"/>
      <c r="I77" s="5"/>
      <c r="J77" s="20"/>
      <c r="K77" s="13">
        <v>3.914</v>
      </c>
      <c r="L77" s="19"/>
      <c r="M77" s="20"/>
      <c r="N77" s="20"/>
      <c r="O77" s="20"/>
      <c r="P77" s="7"/>
      <c r="Q77" s="19"/>
      <c r="R77" s="5"/>
      <c r="S77" s="5"/>
      <c r="T77" s="5"/>
      <c r="U77" s="5"/>
      <c r="V77" s="5"/>
      <c r="W77" s="5"/>
      <c r="X77" s="5"/>
      <c r="Y77" s="7"/>
      <c r="Z77" s="19"/>
      <c r="AA77" s="11"/>
      <c r="AB77" s="11">
        <v>3.914</v>
      </c>
      <c r="AC77" s="11"/>
      <c r="AD77" s="11"/>
      <c r="AE77" s="11"/>
      <c r="AF77" s="12"/>
      <c r="AG77" s="11"/>
      <c r="AH77" s="7"/>
      <c r="AI77" s="19"/>
      <c r="AJ77" s="11">
        <v>3.914</v>
      </c>
      <c r="AK77" s="20"/>
    </row>
    <row r="78">
      <c r="A78" s="5" t="s">
        <v>235</v>
      </c>
      <c r="B78" s="6" t="s">
        <v>233</v>
      </c>
      <c r="C78" s="20"/>
      <c r="D78" s="20"/>
      <c r="E78" s="20"/>
      <c r="F78" s="20"/>
      <c r="G78" s="20"/>
      <c r="H78" s="5"/>
      <c r="I78" s="5"/>
      <c r="J78" s="20"/>
      <c r="K78" s="13">
        <v>5.38</v>
      </c>
      <c r="L78" s="19"/>
      <c r="M78" s="20"/>
      <c r="N78" s="20"/>
      <c r="O78" s="20"/>
      <c r="P78" s="7"/>
      <c r="Q78" s="19"/>
      <c r="R78" s="5"/>
      <c r="S78" s="5"/>
      <c r="T78" s="5"/>
      <c r="U78" s="5"/>
      <c r="V78" s="5"/>
      <c r="W78" s="5"/>
      <c r="X78" s="5"/>
      <c r="Y78" s="7"/>
      <c r="Z78" s="19"/>
      <c r="AA78" s="11"/>
      <c r="AB78" s="11">
        <v>5.38</v>
      </c>
      <c r="AC78" s="11"/>
      <c r="AD78" s="11"/>
      <c r="AE78" s="11"/>
      <c r="AF78" s="12"/>
      <c r="AG78" s="11"/>
      <c r="AH78" s="7"/>
      <c r="AI78" s="19"/>
      <c r="AJ78" s="11">
        <v>5.38</v>
      </c>
      <c r="AK78" s="20"/>
    </row>
    <row r="79">
      <c r="A79" s="5" t="s">
        <v>236</v>
      </c>
      <c r="B79" s="6" t="s">
        <v>233</v>
      </c>
      <c r="C79" s="20"/>
      <c r="D79" s="20"/>
      <c r="E79" s="20"/>
      <c r="F79" s="20"/>
      <c r="G79" s="20"/>
      <c r="H79" s="5"/>
      <c r="I79" s="5"/>
      <c r="J79" s="20"/>
      <c r="K79" s="13">
        <v>0.83</v>
      </c>
      <c r="L79" s="19"/>
      <c r="M79" s="20"/>
      <c r="N79" s="20"/>
      <c r="O79" s="20"/>
      <c r="P79" s="7"/>
      <c r="Q79" s="19"/>
      <c r="R79" s="5"/>
      <c r="S79" s="5"/>
      <c r="T79" s="5"/>
      <c r="U79" s="5"/>
      <c r="V79" s="5"/>
      <c r="W79" s="5"/>
      <c r="X79" s="5"/>
      <c r="Y79" s="7"/>
      <c r="Z79" s="19"/>
      <c r="AA79" s="11"/>
      <c r="AB79" s="11">
        <v>0.83</v>
      </c>
      <c r="AC79" s="11"/>
      <c r="AD79" s="11"/>
      <c r="AE79" s="11"/>
      <c r="AF79" s="12"/>
      <c r="AG79" s="11"/>
      <c r="AH79" s="7"/>
      <c r="AI79" s="19"/>
      <c r="AJ79" s="11">
        <v>0.83</v>
      </c>
      <c r="AK79" s="20"/>
    </row>
    <row r="80">
      <c r="A80" s="5" t="s">
        <v>237</v>
      </c>
      <c r="B80" s="6" t="s">
        <v>233</v>
      </c>
      <c r="C80" s="20"/>
      <c r="D80" s="20"/>
      <c r="E80" s="20"/>
      <c r="F80" s="20"/>
      <c r="G80" s="20"/>
      <c r="H80" s="5"/>
      <c r="I80" s="5"/>
      <c r="J80" s="20"/>
      <c r="K80" s="13">
        <v>1.2</v>
      </c>
      <c r="L80" s="19"/>
      <c r="M80" s="20"/>
      <c r="N80" s="20"/>
      <c r="O80" s="20"/>
      <c r="P80" s="7"/>
      <c r="Q80" s="19"/>
      <c r="R80" s="5"/>
      <c r="S80" s="5"/>
      <c r="T80" s="5"/>
      <c r="U80" s="5"/>
      <c r="V80" s="5"/>
      <c r="W80" s="5"/>
      <c r="X80" s="5"/>
      <c r="Y80" s="7"/>
      <c r="Z80" s="19"/>
      <c r="AA80" s="11"/>
      <c r="AB80" s="11">
        <v>1.2</v>
      </c>
      <c r="AC80" s="11"/>
      <c r="AD80" s="11"/>
      <c r="AE80" s="11"/>
      <c r="AF80" s="12"/>
      <c r="AG80" s="11"/>
      <c r="AH80" s="7"/>
      <c r="AI80" s="19"/>
      <c r="AJ80" s="11">
        <v>1.2</v>
      </c>
      <c r="AK80" s="20"/>
    </row>
    <row r="81">
      <c r="A81" s="5" t="s">
        <v>238</v>
      </c>
      <c r="B81" s="6" t="s">
        <v>233</v>
      </c>
      <c r="C81" s="20"/>
      <c r="D81" s="20"/>
      <c r="E81" s="20"/>
      <c r="F81" s="20"/>
      <c r="G81" s="20"/>
      <c r="H81" s="5"/>
      <c r="I81" s="5"/>
      <c r="J81" s="20"/>
      <c r="K81" s="13">
        <v>1.7</v>
      </c>
      <c r="L81" s="19"/>
      <c r="M81" s="20"/>
      <c r="N81" s="20"/>
      <c r="O81" s="20"/>
      <c r="P81" s="7"/>
      <c r="Q81" s="19"/>
      <c r="R81" s="5"/>
      <c r="S81" s="5"/>
      <c r="T81" s="5"/>
      <c r="U81" s="5"/>
      <c r="V81" s="5"/>
      <c r="W81" s="5"/>
      <c r="X81" s="5"/>
      <c r="Y81" s="7"/>
      <c r="Z81" s="19"/>
      <c r="AA81" s="11"/>
      <c r="AB81" s="11">
        <v>1.7</v>
      </c>
      <c r="AC81" s="11"/>
      <c r="AD81" s="11"/>
      <c r="AE81" s="11"/>
      <c r="AF81" s="12"/>
      <c r="AG81" s="11"/>
      <c r="AH81" s="7"/>
      <c r="AI81" s="19"/>
      <c r="AJ81" s="11">
        <v>1.7</v>
      </c>
      <c r="AK81" s="20"/>
    </row>
    <row r="82">
      <c r="A82" s="5" t="s">
        <v>239</v>
      </c>
      <c r="B82" s="6" t="s">
        <v>233</v>
      </c>
      <c r="C82" s="20"/>
      <c r="D82" s="20"/>
      <c r="E82" s="20"/>
      <c r="F82" s="20"/>
      <c r="G82" s="20"/>
      <c r="H82" s="5"/>
      <c r="I82" s="5"/>
      <c r="J82" s="20"/>
      <c r="K82" s="13">
        <v>0.00225</v>
      </c>
      <c r="L82" s="19"/>
      <c r="M82" s="20"/>
      <c r="N82" s="20"/>
      <c r="O82" s="20"/>
      <c r="P82" s="7"/>
      <c r="Q82" s="19"/>
      <c r="R82" s="5"/>
      <c r="S82" s="5"/>
      <c r="T82" s="5"/>
      <c r="U82" s="5"/>
      <c r="V82" s="5"/>
      <c r="W82" s="5"/>
      <c r="X82" s="5"/>
      <c r="Y82" s="7"/>
      <c r="Z82" s="19"/>
      <c r="AA82" s="11"/>
      <c r="AB82" s="11">
        <v>0.00225</v>
      </c>
      <c r="AC82" s="11"/>
      <c r="AD82" s="11"/>
      <c r="AE82" s="11"/>
      <c r="AF82" s="12"/>
      <c r="AG82" s="11"/>
      <c r="AH82" s="7"/>
      <c r="AI82" s="19"/>
      <c r="AJ82" s="11">
        <v>0.00225</v>
      </c>
      <c r="AK82" s="20"/>
    </row>
    <row r="83">
      <c r="A83" s="5" t="s">
        <v>240</v>
      </c>
      <c r="B83" s="6" t="s">
        <v>233</v>
      </c>
      <c r="C83" s="20"/>
      <c r="D83" s="20"/>
      <c r="E83" s="20"/>
      <c r="F83" s="20"/>
      <c r="G83" s="20"/>
      <c r="H83" s="5"/>
      <c r="I83" s="5"/>
      <c r="J83" s="20"/>
      <c r="K83" s="13">
        <v>0.004</v>
      </c>
      <c r="L83" s="19"/>
      <c r="M83" s="20"/>
      <c r="N83" s="20"/>
      <c r="O83" s="20"/>
      <c r="P83" s="7"/>
      <c r="Q83" s="19"/>
      <c r="R83" s="5"/>
      <c r="S83" s="5"/>
      <c r="T83" s="5"/>
      <c r="U83" s="5"/>
      <c r="V83" s="5"/>
      <c r="W83" s="5"/>
      <c r="X83" s="5"/>
      <c r="Y83" s="7"/>
      <c r="Z83" s="19"/>
      <c r="AA83" s="11"/>
      <c r="AB83" s="11">
        <v>0.004</v>
      </c>
      <c r="AC83" s="11"/>
      <c r="AD83" s="11"/>
      <c r="AE83" s="11"/>
      <c r="AF83" s="12"/>
      <c r="AG83" s="11"/>
      <c r="AH83" s="7"/>
      <c r="AI83" s="19"/>
      <c r="AJ83" s="11">
        <v>0.004</v>
      </c>
      <c r="AK83" s="20"/>
    </row>
    <row r="84">
      <c r="A84" s="5" t="s">
        <v>241</v>
      </c>
      <c r="B84" s="6" t="s">
        <v>233</v>
      </c>
      <c r="C84" s="20"/>
      <c r="D84" s="20"/>
      <c r="E84" s="20"/>
      <c r="F84" s="20"/>
      <c r="G84" s="20"/>
      <c r="H84" s="5"/>
      <c r="I84" s="5"/>
      <c r="J84" s="20"/>
      <c r="K84" s="13">
        <v>0.006</v>
      </c>
      <c r="L84" s="19"/>
      <c r="M84" s="20"/>
      <c r="N84" s="20"/>
      <c r="O84" s="20"/>
      <c r="P84" s="7"/>
      <c r="Q84" s="19"/>
      <c r="R84" s="5"/>
      <c r="S84" s="5"/>
      <c r="T84" s="5"/>
      <c r="U84" s="5"/>
      <c r="V84" s="5"/>
      <c r="W84" s="5"/>
      <c r="X84" s="5"/>
      <c r="Y84" s="7"/>
      <c r="Z84" s="19"/>
      <c r="AA84" s="11"/>
      <c r="AB84" s="11">
        <v>0.006</v>
      </c>
      <c r="AC84" s="11"/>
      <c r="AD84" s="11"/>
      <c r="AE84" s="11"/>
      <c r="AF84" s="12"/>
      <c r="AG84" s="11"/>
      <c r="AH84" s="7"/>
      <c r="AI84" s="19"/>
      <c r="AJ84" s="11">
        <v>0.006</v>
      </c>
      <c r="AK84" s="20"/>
    </row>
    <row r="85">
      <c r="A85" s="5" t="s">
        <v>242</v>
      </c>
      <c r="B85" s="6" t="s">
        <v>233</v>
      </c>
      <c r="C85" s="20"/>
      <c r="D85" s="20"/>
      <c r="E85" s="20"/>
      <c r="F85" s="20"/>
      <c r="G85" s="20"/>
      <c r="H85" s="5"/>
      <c r="I85" s="5"/>
      <c r="J85" s="20"/>
      <c r="K85" s="13">
        <v>0.3</v>
      </c>
      <c r="L85" s="19"/>
      <c r="M85" s="20"/>
      <c r="N85" s="20"/>
      <c r="O85" s="20"/>
      <c r="P85" s="7"/>
      <c r="Q85" s="19"/>
      <c r="R85" s="5"/>
      <c r="S85" s="5"/>
      <c r="T85" s="5"/>
      <c r="U85" s="5"/>
      <c r="V85" s="5"/>
      <c r="W85" s="5"/>
      <c r="X85" s="5"/>
      <c r="Y85" s="7"/>
      <c r="Z85" s="19"/>
      <c r="AA85" s="11"/>
      <c r="AB85" s="11">
        <v>0.3</v>
      </c>
      <c r="AC85" s="11"/>
      <c r="AD85" s="11"/>
      <c r="AE85" s="11"/>
      <c r="AF85" s="12"/>
      <c r="AG85" s="11"/>
      <c r="AH85" s="7"/>
      <c r="AI85" s="19"/>
      <c r="AJ85" s="5">
        <v>0.7</v>
      </c>
      <c r="AK85" s="20"/>
    </row>
    <row r="86">
      <c r="A86" s="5" t="s">
        <v>243</v>
      </c>
      <c r="B86" s="6" t="s">
        <v>233</v>
      </c>
      <c r="C86" s="20"/>
      <c r="D86" s="20"/>
      <c r="E86" s="20"/>
      <c r="F86" s="20"/>
      <c r="G86" s="20"/>
      <c r="H86" s="5"/>
      <c r="I86" s="5"/>
      <c r="J86" s="20"/>
      <c r="K86" s="117">
        <v>0.5</v>
      </c>
      <c r="L86" s="19"/>
      <c r="M86" s="20"/>
      <c r="N86" s="20"/>
      <c r="O86" s="20"/>
      <c r="P86" s="7"/>
      <c r="Q86" s="19"/>
      <c r="R86" s="5"/>
      <c r="S86" s="5"/>
      <c r="T86" s="5"/>
      <c r="U86" s="5"/>
      <c r="V86" s="5"/>
      <c r="W86" s="5"/>
      <c r="X86" s="5"/>
      <c r="Y86" s="7"/>
      <c r="Z86" s="19"/>
      <c r="AA86" s="11"/>
      <c r="AB86" s="2">
        <v>0.5</v>
      </c>
      <c r="AC86" s="11"/>
      <c r="AD86" s="11"/>
      <c r="AE86" s="11"/>
      <c r="AF86" s="12"/>
      <c r="AG86" s="11"/>
      <c r="AH86" s="7"/>
      <c r="AI86" s="19"/>
      <c r="AJ86" s="5">
        <v>1.2</v>
      </c>
      <c r="AK86" s="20"/>
    </row>
    <row r="87">
      <c r="A87" s="5" t="s">
        <v>244</v>
      </c>
      <c r="B87" s="6" t="s">
        <v>233</v>
      </c>
      <c r="C87" s="20"/>
      <c r="D87" s="20"/>
      <c r="E87" s="20"/>
      <c r="F87" s="20"/>
      <c r="G87" s="20"/>
      <c r="H87" s="5"/>
      <c r="I87" s="5"/>
      <c r="J87" s="20"/>
      <c r="K87" s="13">
        <v>0.7</v>
      </c>
      <c r="L87" s="19"/>
      <c r="M87" s="20"/>
      <c r="N87" s="20"/>
      <c r="O87" s="20"/>
      <c r="P87" s="7"/>
      <c r="Q87" s="19"/>
      <c r="R87" s="5"/>
      <c r="S87" s="5"/>
      <c r="T87" s="5"/>
      <c r="U87" s="5"/>
      <c r="V87" s="5"/>
      <c r="W87" s="5"/>
      <c r="X87" s="5"/>
      <c r="Y87" s="7"/>
      <c r="Z87" s="19"/>
      <c r="AA87" s="11"/>
      <c r="AB87" s="11">
        <v>0.7</v>
      </c>
      <c r="AC87" s="11"/>
      <c r="AD87" s="11"/>
      <c r="AE87" s="11"/>
      <c r="AF87" s="12"/>
      <c r="AG87" s="11"/>
      <c r="AH87" s="7"/>
      <c r="AI87" s="19"/>
      <c r="AJ87" s="5">
        <v>1.8</v>
      </c>
      <c r="AK87" s="20"/>
    </row>
    <row r="88">
      <c r="A88" s="5" t="s">
        <v>245</v>
      </c>
      <c r="B88" s="6" t="s">
        <v>233</v>
      </c>
      <c r="C88" s="20"/>
      <c r="D88" s="20"/>
      <c r="E88" s="20"/>
      <c r="F88" s="20"/>
      <c r="G88" s="20"/>
      <c r="H88" s="5"/>
      <c r="I88" s="5"/>
      <c r="J88" s="20"/>
      <c r="K88" s="7">
        <v>0.1</v>
      </c>
      <c r="L88" s="19"/>
      <c r="M88" s="20"/>
      <c r="N88" s="20"/>
      <c r="O88" s="20"/>
      <c r="P88" s="7"/>
      <c r="Q88" s="19"/>
      <c r="R88" s="5"/>
      <c r="S88" s="5"/>
      <c r="T88" s="5"/>
      <c r="U88" s="5"/>
      <c r="V88" s="5"/>
      <c r="W88" s="5"/>
      <c r="X88" s="5"/>
      <c r="Y88" s="7"/>
      <c r="Z88" s="19"/>
      <c r="AA88" s="11"/>
      <c r="AB88" s="5">
        <v>0.1</v>
      </c>
      <c r="AC88" s="11"/>
      <c r="AD88" s="11"/>
      <c r="AE88" s="11"/>
      <c r="AF88" s="12"/>
      <c r="AG88" s="11"/>
      <c r="AH88" s="7"/>
      <c r="AI88" s="19"/>
      <c r="AJ88" s="5">
        <v>0.1</v>
      </c>
      <c r="AK88" s="20"/>
    </row>
    <row r="89">
      <c r="A89" s="5" t="s">
        <v>246</v>
      </c>
      <c r="B89" s="6" t="s">
        <v>233</v>
      </c>
      <c r="C89" s="20"/>
      <c r="D89" s="20"/>
      <c r="E89" s="20"/>
      <c r="F89" s="20"/>
      <c r="G89" s="20"/>
      <c r="H89" s="5"/>
      <c r="I89" s="5"/>
      <c r="J89" s="20"/>
      <c r="K89" s="7">
        <v>0.25</v>
      </c>
      <c r="L89" s="19"/>
      <c r="M89" s="20"/>
      <c r="N89" s="20"/>
      <c r="O89" s="20"/>
      <c r="P89" s="7"/>
      <c r="Q89" s="19"/>
      <c r="R89" s="5"/>
      <c r="S89" s="5"/>
      <c r="T89" s="5"/>
      <c r="U89" s="5"/>
      <c r="V89" s="5"/>
      <c r="W89" s="5"/>
      <c r="X89" s="5"/>
      <c r="Y89" s="7"/>
      <c r="Z89" s="19"/>
      <c r="AA89" s="11"/>
      <c r="AB89" s="5">
        <v>0.25</v>
      </c>
      <c r="AC89" s="11"/>
      <c r="AD89" s="11"/>
      <c r="AE89" s="11"/>
      <c r="AF89" s="12"/>
      <c r="AG89" s="11"/>
      <c r="AH89" s="7"/>
      <c r="AI89" s="19"/>
      <c r="AJ89" s="5">
        <v>0.25</v>
      </c>
      <c r="AK89" s="20"/>
    </row>
    <row r="90">
      <c r="A90" s="5" t="s">
        <v>247</v>
      </c>
      <c r="B90" s="6" t="s">
        <v>233</v>
      </c>
      <c r="C90" s="20"/>
      <c r="D90" s="20"/>
      <c r="E90" s="20"/>
      <c r="F90" s="20"/>
      <c r="G90" s="20"/>
      <c r="H90" s="5"/>
      <c r="I90" s="5"/>
      <c r="J90" s="20"/>
      <c r="K90" s="7">
        <v>0.6</v>
      </c>
      <c r="L90" s="19"/>
      <c r="M90" s="20"/>
      <c r="N90" s="20"/>
      <c r="O90" s="20"/>
      <c r="P90" s="7"/>
      <c r="Q90" s="19"/>
      <c r="R90" s="5"/>
      <c r="S90" s="5"/>
      <c r="T90" s="5"/>
      <c r="U90" s="5"/>
      <c r="V90" s="5"/>
      <c r="W90" s="5"/>
      <c r="X90" s="5"/>
      <c r="Y90" s="7"/>
      <c r="Z90" s="19"/>
      <c r="AA90" s="11"/>
      <c r="AB90" s="5">
        <v>0.6</v>
      </c>
      <c r="AC90" s="11"/>
      <c r="AD90" s="11"/>
      <c r="AE90" s="11"/>
      <c r="AF90" s="12"/>
      <c r="AG90" s="11"/>
      <c r="AH90" s="7"/>
      <c r="AI90" s="19"/>
      <c r="AJ90" s="5">
        <v>0.6</v>
      </c>
      <c r="AK90" s="20"/>
    </row>
    <row r="91">
      <c r="A91" s="5" t="s">
        <v>248</v>
      </c>
      <c r="B91" s="6" t="s">
        <v>233</v>
      </c>
      <c r="C91" s="20"/>
      <c r="D91" s="20"/>
      <c r="E91" s="20"/>
      <c r="F91" s="20"/>
      <c r="G91" s="20"/>
      <c r="H91" s="5"/>
      <c r="I91" s="5"/>
      <c r="J91" s="20"/>
      <c r="K91" s="13">
        <v>0.0509</v>
      </c>
      <c r="L91" s="19"/>
      <c r="M91" s="20"/>
      <c r="N91" s="20"/>
      <c r="O91" s="20"/>
      <c r="P91" s="7"/>
      <c r="Q91" s="20"/>
      <c r="R91" s="5"/>
      <c r="S91" s="5"/>
      <c r="T91" s="5"/>
      <c r="U91" s="5"/>
      <c r="V91" s="5"/>
      <c r="W91" s="5"/>
      <c r="X91" s="5"/>
      <c r="Y91" s="7"/>
      <c r="Z91" s="20"/>
      <c r="AA91" s="11"/>
      <c r="AB91" s="11">
        <v>0.0509</v>
      </c>
      <c r="AC91" s="11"/>
      <c r="AD91" s="11"/>
      <c r="AE91" s="11"/>
      <c r="AF91" s="12"/>
      <c r="AG91" s="11"/>
      <c r="AH91" s="7"/>
      <c r="AI91" s="20"/>
      <c r="AJ91" s="11">
        <v>0.0509</v>
      </c>
      <c r="AK91" s="20"/>
    </row>
    <row r="92">
      <c r="A92" s="5" t="s">
        <v>249</v>
      </c>
      <c r="B92" s="6" t="s">
        <v>233</v>
      </c>
      <c r="C92" s="20"/>
      <c r="D92" s="20"/>
      <c r="E92" s="20"/>
      <c r="F92" s="20"/>
      <c r="G92" s="20"/>
      <c r="H92" s="5"/>
      <c r="I92" s="5"/>
      <c r="J92" s="20"/>
      <c r="K92" s="13">
        <v>0.0969</v>
      </c>
      <c r="L92" s="19"/>
      <c r="M92" s="20"/>
      <c r="N92" s="20"/>
      <c r="O92" s="20"/>
      <c r="P92" s="7"/>
      <c r="Q92" s="20"/>
      <c r="R92" s="5"/>
      <c r="S92" s="5"/>
      <c r="T92" s="5"/>
      <c r="U92" s="5"/>
      <c r="V92" s="5"/>
      <c r="W92" s="5"/>
      <c r="X92" s="5"/>
      <c r="Y92" s="7"/>
      <c r="Z92" s="20"/>
      <c r="AA92" s="11"/>
      <c r="AB92" s="11">
        <v>0.0969</v>
      </c>
      <c r="AC92" s="11"/>
      <c r="AD92" s="11"/>
      <c r="AE92" s="11"/>
      <c r="AF92" s="12"/>
      <c r="AG92" s="11"/>
      <c r="AH92" s="7"/>
      <c r="AI92" s="20"/>
      <c r="AJ92" s="11">
        <v>0.0969</v>
      </c>
      <c r="AK92" s="20"/>
    </row>
    <row r="93">
      <c r="A93" s="5" t="s">
        <v>250</v>
      </c>
      <c r="B93" s="6" t="s">
        <v>233</v>
      </c>
      <c r="C93" s="20"/>
      <c r="D93" s="20"/>
      <c r="E93" s="20"/>
      <c r="F93" s="20"/>
      <c r="G93" s="20"/>
      <c r="H93" s="5"/>
      <c r="I93" s="5"/>
      <c r="J93" s="20"/>
      <c r="K93" s="13">
        <v>0.14</v>
      </c>
      <c r="L93" s="19"/>
      <c r="M93" s="20"/>
      <c r="N93" s="20"/>
      <c r="O93" s="20"/>
      <c r="P93" s="7"/>
      <c r="Q93" s="20"/>
      <c r="R93" s="5"/>
      <c r="S93" s="5"/>
      <c r="T93" s="5"/>
      <c r="U93" s="5"/>
      <c r="V93" s="5"/>
      <c r="W93" s="5"/>
      <c r="X93" s="5"/>
      <c r="Y93" s="7"/>
      <c r="Z93" s="20"/>
      <c r="AA93" s="11"/>
      <c r="AB93" s="11">
        <v>0.14</v>
      </c>
      <c r="AC93" s="11"/>
      <c r="AD93" s="11"/>
      <c r="AE93" s="11"/>
      <c r="AF93" s="12"/>
      <c r="AG93" s="11"/>
      <c r="AH93" s="7"/>
      <c r="AI93" s="20"/>
      <c r="AJ93" s="11">
        <v>0.14</v>
      </c>
      <c r="AK93" s="20"/>
    </row>
    <row r="94">
      <c r="A94" s="121" t="s">
        <v>251</v>
      </c>
      <c r="B94" s="122"/>
      <c r="C94" s="123"/>
      <c r="D94" s="124"/>
      <c r="E94" s="125"/>
      <c r="F94" s="126"/>
      <c r="G94" s="126"/>
      <c r="H94" s="126"/>
      <c r="I94" s="124"/>
      <c r="J94" s="123"/>
      <c r="K94" s="127"/>
      <c r="L94" s="128"/>
      <c r="M94" s="124"/>
      <c r="N94" s="123"/>
      <c r="O94" s="123"/>
      <c r="P94" s="129"/>
      <c r="Q94" s="123"/>
      <c r="R94" s="121"/>
      <c r="S94" s="124"/>
      <c r="T94" s="121"/>
      <c r="U94" s="124"/>
      <c r="V94" s="121"/>
      <c r="W94" s="124"/>
      <c r="X94" s="124"/>
      <c r="Y94" s="127"/>
      <c r="Z94" s="130"/>
      <c r="AA94" s="124"/>
      <c r="AB94" s="121"/>
      <c r="AC94" s="124"/>
      <c r="AD94" s="124"/>
      <c r="AE94" s="121"/>
      <c r="AF94" s="131"/>
      <c r="AG94" s="123"/>
      <c r="AH94" s="132"/>
      <c r="AI94" s="123"/>
      <c r="AJ94" s="123"/>
      <c r="AK94" s="123"/>
    </row>
    <row r="95">
      <c r="A95" s="2" t="s">
        <v>252</v>
      </c>
      <c r="B95" s="133"/>
      <c r="C95" s="134"/>
      <c r="D95" s="134"/>
      <c r="E95" s="135"/>
      <c r="F95" s="136"/>
      <c r="G95" s="136"/>
      <c r="H95" s="136"/>
      <c r="I95" s="134"/>
      <c r="K95" s="7">
        <v>75.0</v>
      </c>
      <c r="L95" s="137"/>
      <c r="M95" s="134"/>
      <c r="P95" s="21"/>
      <c r="R95" s="134">
        <v>132.0</v>
      </c>
      <c r="S95" s="134"/>
      <c r="T95" s="2">
        <v>250.0</v>
      </c>
      <c r="U95" s="134"/>
      <c r="V95" s="2">
        <v>500.0</v>
      </c>
      <c r="W95" s="134"/>
      <c r="X95" s="134"/>
      <c r="Y95" s="7">
        <v>70.0</v>
      </c>
      <c r="Z95" s="138"/>
      <c r="AA95" s="134"/>
      <c r="AB95" s="2">
        <v>65.0</v>
      </c>
      <c r="AC95" s="134"/>
      <c r="AD95" s="134"/>
      <c r="AE95" s="2">
        <v>183.0</v>
      </c>
      <c r="AF95" s="139"/>
      <c r="AH95" s="13"/>
    </row>
    <row r="96">
      <c r="A96" s="2" t="s">
        <v>253</v>
      </c>
      <c r="B96" s="133"/>
      <c r="D96" s="2">
        <v>383.0</v>
      </c>
      <c r="E96" s="135"/>
      <c r="F96" s="136"/>
      <c r="G96" s="136"/>
      <c r="H96" s="136"/>
      <c r="I96" s="134"/>
      <c r="K96" s="7">
        <v>62.0</v>
      </c>
      <c r="L96" s="140">
        <v>89.0</v>
      </c>
      <c r="M96" s="2">
        <v>85.0</v>
      </c>
      <c r="P96" s="21"/>
      <c r="R96" s="134"/>
      <c r="S96" s="134"/>
      <c r="T96" s="134"/>
      <c r="U96" s="134"/>
      <c r="V96" s="134"/>
      <c r="W96" s="134"/>
      <c r="X96" s="134"/>
      <c r="Y96" s="7"/>
      <c r="Z96" s="138"/>
      <c r="AA96" s="2">
        <v>290.0</v>
      </c>
      <c r="AB96" s="2">
        <v>626.0</v>
      </c>
      <c r="AC96" s="134"/>
      <c r="AD96" s="134"/>
      <c r="AF96" s="139"/>
      <c r="AH96" s="13"/>
    </row>
    <row r="97">
      <c r="A97" s="2" t="s">
        <v>254</v>
      </c>
      <c r="B97" s="133" t="s">
        <v>255</v>
      </c>
      <c r="C97" s="134"/>
      <c r="D97" s="134"/>
      <c r="E97" s="135"/>
      <c r="F97" s="136"/>
      <c r="G97" s="136"/>
      <c r="H97" s="136"/>
      <c r="I97" s="134"/>
      <c r="K97" s="7">
        <v>150.0</v>
      </c>
      <c r="L97" s="137"/>
      <c r="M97" s="141"/>
      <c r="O97" s="142"/>
      <c r="P97" s="21"/>
      <c r="R97" s="134"/>
      <c r="S97" s="134"/>
      <c r="T97" s="134"/>
      <c r="U97" s="134"/>
      <c r="V97" s="134"/>
      <c r="W97" s="134"/>
      <c r="X97" s="134"/>
      <c r="Y97" s="7"/>
      <c r="Z97" s="138"/>
      <c r="AA97" s="134"/>
      <c r="AB97" s="2">
        <v>6.0</v>
      </c>
      <c r="AC97" s="134"/>
      <c r="AD97" s="134"/>
      <c r="AF97" s="139"/>
      <c r="AH97" s="13"/>
    </row>
    <row r="98">
      <c r="A98" s="2" t="s">
        <v>256</v>
      </c>
      <c r="B98" s="133" t="s">
        <v>257</v>
      </c>
      <c r="D98" s="134"/>
      <c r="E98" s="135"/>
      <c r="F98" s="136"/>
      <c r="G98" s="136"/>
      <c r="H98" s="136"/>
      <c r="I98" s="134"/>
      <c r="K98" s="7">
        <v>13.3</v>
      </c>
      <c r="L98" s="137"/>
      <c r="M98" s="141"/>
      <c r="O98" s="142"/>
      <c r="P98" s="21"/>
      <c r="S98" s="134"/>
      <c r="T98" s="134"/>
      <c r="U98" s="134"/>
      <c r="V98" s="134"/>
      <c r="W98" s="134"/>
      <c r="X98" s="134"/>
      <c r="Y98" s="7"/>
      <c r="Z98" s="138"/>
      <c r="AA98" s="2">
        <v>35.0</v>
      </c>
      <c r="AB98" s="2">
        <v>422.0</v>
      </c>
      <c r="AC98" s="2">
        <v>10.853</v>
      </c>
      <c r="AD98" s="2">
        <v>1.45</v>
      </c>
      <c r="AE98" s="2">
        <v>323.37</v>
      </c>
      <c r="AF98" s="139"/>
      <c r="AH98" s="13"/>
    </row>
    <row r="99">
      <c r="A99" s="2" t="s">
        <v>258</v>
      </c>
      <c r="B99" s="133" t="s">
        <v>259</v>
      </c>
      <c r="C99" s="134"/>
      <c r="D99" s="2" t="s">
        <v>260</v>
      </c>
      <c r="E99" s="135"/>
      <c r="F99" s="136"/>
      <c r="G99" s="136"/>
      <c r="H99" s="136"/>
      <c r="I99" s="134"/>
      <c r="K99" s="7">
        <v>130.0</v>
      </c>
      <c r="L99" s="137"/>
      <c r="M99" s="141"/>
      <c r="O99" s="142"/>
      <c r="P99" s="21"/>
      <c r="R99" s="134"/>
      <c r="S99" s="134"/>
      <c r="T99" s="134"/>
      <c r="U99" s="134"/>
      <c r="V99" s="134"/>
      <c r="W99" s="134"/>
      <c r="X99" s="134"/>
      <c r="Y99" s="7"/>
      <c r="Z99" s="138"/>
      <c r="AA99" s="142"/>
      <c r="AB99" s="2" t="s">
        <v>261</v>
      </c>
      <c r="AE99" s="142"/>
      <c r="AF99" s="139"/>
      <c r="AH99" s="13"/>
    </row>
    <row r="100">
      <c r="A100" s="2" t="s">
        <v>262</v>
      </c>
      <c r="B100" s="133" t="s">
        <v>263</v>
      </c>
      <c r="D100" s="2">
        <v>2.45</v>
      </c>
      <c r="H100" s="143"/>
      <c r="J100" s="2">
        <v>2.66</v>
      </c>
      <c r="K100" s="7">
        <v>2.5</v>
      </c>
      <c r="L100" s="144">
        <f>11500/L4</f>
        <v>2.12962963</v>
      </c>
      <c r="M100" s="145">
        <f>50380/M4</f>
        <v>2.239111111</v>
      </c>
      <c r="P100" s="21"/>
      <c r="Q100" s="146"/>
      <c r="Y100" s="7"/>
      <c r="Z100" s="147"/>
      <c r="AA100" s="142"/>
      <c r="AB100" s="2">
        <v>3.11</v>
      </c>
      <c r="AC100" s="142"/>
      <c r="AF100" s="139"/>
      <c r="AH100" s="13"/>
      <c r="AI100" s="146"/>
    </row>
    <row r="101">
      <c r="A101" s="2" t="s">
        <v>264</v>
      </c>
      <c r="B101" s="133" t="s">
        <v>263</v>
      </c>
      <c r="D101" s="2">
        <v>2.6</v>
      </c>
      <c r="H101" s="143"/>
      <c r="K101" s="117">
        <v>1.3</v>
      </c>
      <c r="L101" s="144"/>
      <c r="M101" s="141"/>
      <c r="P101" s="148"/>
      <c r="Q101" s="146"/>
      <c r="Y101" s="148"/>
      <c r="Z101" s="147"/>
      <c r="AA101" s="142"/>
      <c r="AB101" s="2">
        <v>2.63</v>
      </c>
      <c r="AD101" s="142"/>
      <c r="AF101" s="139"/>
      <c r="AH101" s="148"/>
      <c r="AI101" s="146"/>
    </row>
    <row r="102">
      <c r="A102" s="2" t="s">
        <v>265</v>
      </c>
      <c r="B102" s="133" t="s">
        <v>263</v>
      </c>
      <c r="D102" s="2" t="s">
        <v>260</v>
      </c>
      <c r="H102" s="143"/>
      <c r="K102" s="148"/>
      <c r="L102" s="144">
        <f>740/L4</f>
        <v>0.137037037</v>
      </c>
      <c r="M102" s="141"/>
      <c r="P102" s="148"/>
      <c r="Q102" s="146"/>
      <c r="Y102" s="148"/>
      <c r="Z102" s="147"/>
      <c r="AF102" s="139"/>
      <c r="AH102" s="148"/>
      <c r="AI102" s="146"/>
    </row>
    <row r="103">
      <c r="A103" s="2" t="s">
        <v>266</v>
      </c>
      <c r="B103" s="133" t="s">
        <v>259</v>
      </c>
      <c r="H103" s="143"/>
      <c r="K103" s="148"/>
      <c r="L103" s="144"/>
      <c r="M103" s="141"/>
      <c r="P103" s="148"/>
      <c r="Q103" s="146"/>
      <c r="Y103" s="148"/>
      <c r="Z103" s="147"/>
      <c r="AB103" s="142"/>
      <c r="AF103" s="139"/>
      <c r="AH103" s="148"/>
      <c r="AI103" s="146"/>
    </row>
    <row r="104">
      <c r="A104" s="2" t="s">
        <v>267</v>
      </c>
      <c r="B104" s="143"/>
      <c r="D104" s="2"/>
      <c r="H104" s="143"/>
      <c r="J104" s="2">
        <v>1.51</v>
      </c>
      <c r="K104" s="148"/>
      <c r="L104" s="144">
        <f>11400/L4</f>
        <v>2.111111111</v>
      </c>
      <c r="M104" s="141">
        <f>15470/M4</f>
        <v>0.6875555556</v>
      </c>
      <c r="P104" s="148"/>
      <c r="Q104" s="146"/>
      <c r="Y104" s="148"/>
      <c r="Z104" s="147"/>
      <c r="AA104" s="2" t="s">
        <v>268</v>
      </c>
      <c r="AD104" s="142"/>
      <c r="AE104" s="2"/>
      <c r="AF104" s="139"/>
      <c r="AH104" s="148"/>
      <c r="AI104" s="146"/>
    </row>
    <row r="105">
      <c r="A105" s="2" t="s">
        <v>269</v>
      </c>
      <c r="B105" s="143"/>
      <c r="D105" s="2"/>
      <c r="H105" s="143"/>
      <c r="K105" s="148"/>
      <c r="L105" s="144"/>
      <c r="M105" s="141"/>
      <c r="P105" s="148"/>
      <c r="Q105" s="146"/>
      <c r="Y105" s="148"/>
      <c r="Z105" s="147"/>
      <c r="AE105" s="2">
        <v>221.0</v>
      </c>
      <c r="AF105" s="139"/>
      <c r="AH105" s="148"/>
      <c r="AI105" s="146"/>
    </row>
    <row r="106">
      <c r="A106" s="2" t="s">
        <v>270</v>
      </c>
      <c r="B106" s="143"/>
      <c r="D106" s="2"/>
      <c r="H106" s="143"/>
      <c r="J106" s="2"/>
      <c r="K106" s="148"/>
      <c r="L106" s="144"/>
      <c r="M106" s="141"/>
      <c r="P106" s="148"/>
      <c r="Q106" s="146"/>
      <c r="Y106" s="148"/>
      <c r="Z106" s="147"/>
      <c r="AD106" s="142"/>
      <c r="AF106" s="139"/>
      <c r="AH106" s="148"/>
      <c r="AI106" s="146"/>
    </row>
    <row r="107">
      <c r="A107" s="2" t="s">
        <v>271</v>
      </c>
      <c r="B107" s="143"/>
      <c r="D107" s="2"/>
      <c r="H107" s="143"/>
      <c r="J107" s="2"/>
      <c r="K107" s="148"/>
      <c r="L107" s="144"/>
      <c r="M107" s="141"/>
      <c r="P107" s="148"/>
      <c r="Q107" s="146"/>
      <c r="Y107" s="148"/>
      <c r="Z107" s="147"/>
      <c r="AD107" s="142"/>
      <c r="AF107" s="139"/>
      <c r="AH107" s="148"/>
      <c r="AI107" s="146"/>
    </row>
    <row r="108">
      <c r="A108" s="2" t="s">
        <v>272</v>
      </c>
      <c r="B108" s="143"/>
      <c r="D108" s="2"/>
      <c r="H108" s="143"/>
      <c r="J108" s="2"/>
      <c r="K108" s="148"/>
      <c r="L108" s="144">
        <f>6200/L4</f>
        <v>1.148148148</v>
      </c>
      <c r="M108" s="145">
        <f>40560/M4</f>
        <v>1.802666667</v>
      </c>
      <c r="P108" s="148"/>
      <c r="Q108" s="146"/>
      <c r="Y108" s="148"/>
      <c r="Z108" s="147"/>
      <c r="AF108" s="139"/>
      <c r="AH108" s="148"/>
      <c r="AI108" s="146"/>
    </row>
    <row r="109">
      <c r="A109" s="2" t="s">
        <v>273</v>
      </c>
      <c r="B109" s="143"/>
      <c r="D109" s="2"/>
      <c r="H109" s="143"/>
      <c r="J109" s="2"/>
      <c r="K109" s="148"/>
      <c r="L109" s="144"/>
      <c r="M109" s="149" t="s">
        <v>274</v>
      </c>
      <c r="P109" s="148"/>
      <c r="Q109" s="146"/>
      <c r="Y109" s="148"/>
      <c r="Z109" s="147"/>
      <c r="AF109" s="139"/>
      <c r="AH109" s="148"/>
      <c r="AI109" s="146"/>
    </row>
    <row r="110">
      <c r="A110" s="2" t="s">
        <v>275</v>
      </c>
      <c r="B110" s="143"/>
      <c r="D110" s="2">
        <v>5.25</v>
      </c>
      <c r="H110" s="143"/>
      <c r="J110" s="2">
        <v>4.65</v>
      </c>
      <c r="K110" s="148"/>
      <c r="L110" s="144"/>
      <c r="M110" s="141">
        <f>1520/M4</f>
        <v>0.06755555556</v>
      </c>
      <c r="P110" s="148"/>
      <c r="Q110" s="146"/>
      <c r="Y110" s="148"/>
      <c r="Z110" s="147"/>
      <c r="AF110" s="139"/>
      <c r="AH110" s="148"/>
      <c r="AI110" s="146"/>
    </row>
    <row r="111">
      <c r="B111" s="143"/>
      <c r="H111" s="143"/>
      <c r="K111" s="148"/>
      <c r="L111" s="150"/>
      <c r="M111" s="141">
        <f>2180/M4</f>
        <v>0.09688888889</v>
      </c>
      <c r="P111" s="148"/>
      <c r="Q111" s="146"/>
      <c r="Y111" s="148"/>
      <c r="Z111" s="147"/>
      <c r="AF111" s="139"/>
      <c r="AH111" s="148"/>
      <c r="AI111" s="146"/>
    </row>
    <row r="112">
      <c r="B112" s="143"/>
      <c r="H112" s="143"/>
      <c r="K112" s="148"/>
      <c r="L112" s="150"/>
      <c r="P112" s="148"/>
      <c r="Q112" s="146"/>
      <c r="Y112" s="148"/>
      <c r="Z112" s="147"/>
      <c r="AF112" s="139"/>
      <c r="AH112" s="148"/>
      <c r="AI112" s="146"/>
    </row>
    <row r="113">
      <c r="B113" s="143"/>
      <c r="H113" s="143"/>
      <c r="K113" s="148"/>
      <c r="L113" s="150"/>
      <c r="P113" s="148"/>
      <c r="Q113" s="146"/>
      <c r="Y113" s="148"/>
      <c r="Z113" s="147"/>
      <c r="AF113" s="139"/>
      <c r="AH113" s="148"/>
      <c r="AI113" s="146"/>
    </row>
    <row r="114">
      <c r="B114" s="143"/>
      <c r="H114" s="143"/>
      <c r="K114" s="148"/>
      <c r="L114" s="150"/>
      <c r="P114" s="148"/>
      <c r="Q114" s="146"/>
      <c r="Y114" s="148"/>
      <c r="Z114" s="147"/>
      <c r="AF114" s="139"/>
      <c r="AH114" s="148"/>
      <c r="AI114" s="146"/>
    </row>
    <row r="115">
      <c r="B115" s="143"/>
      <c r="H115" s="143"/>
      <c r="K115" s="148"/>
      <c r="L115" s="150"/>
      <c r="P115" s="148"/>
      <c r="Q115" s="146"/>
      <c r="Y115" s="148"/>
      <c r="Z115" s="147"/>
      <c r="AF115" s="139"/>
      <c r="AH115" s="148"/>
      <c r="AI115" s="146"/>
    </row>
    <row r="116">
      <c r="B116" s="143"/>
      <c r="H116" s="143"/>
      <c r="K116" s="148"/>
      <c r="L116" s="150"/>
      <c r="P116" s="148"/>
      <c r="Q116" s="146"/>
      <c r="Y116" s="148"/>
      <c r="Z116" s="147"/>
      <c r="AF116" s="139"/>
      <c r="AH116" s="148"/>
      <c r="AI116" s="146"/>
    </row>
    <row r="117">
      <c r="B117" s="143"/>
      <c r="H117" s="143"/>
      <c r="K117" s="148"/>
      <c r="L117" s="150"/>
      <c r="P117" s="148"/>
      <c r="Q117" s="146"/>
      <c r="Y117" s="148"/>
      <c r="Z117" s="147"/>
      <c r="AF117" s="139"/>
      <c r="AH117" s="148"/>
      <c r="AI117" s="146"/>
    </row>
    <row r="118">
      <c r="B118" s="143"/>
      <c r="H118" s="143"/>
      <c r="K118" s="148"/>
      <c r="L118" s="150"/>
      <c r="P118" s="148"/>
      <c r="Q118" s="146"/>
      <c r="Y118" s="148"/>
      <c r="Z118" s="147"/>
      <c r="AF118" s="139"/>
      <c r="AH118" s="148"/>
      <c r="AI118" s="146"/>
    </row>
    <row r="119">
      <c r="B119" s="143"/>
      <c r="H119" s="143"/>
      <c r="K119" s="148"/>
      <c r="L119" s="150"/>
      <c r="P119" s="148"/>
      <c r="Q119" s="146"/>
      <c r="Y119" s="148"/>
      <c r="Z119" s="147"/>
      <c r="AF119" s="139"/>
      <c r="AH119" s="148"/>
      <c r="AI119" s="146"/>
    </row>
    <row r="120">
      <c r="B120" s="143"/>
      <c r="H120" s="143"/>
      <c r="K120" s="148"/>
      <c r="L120" s="150"/>
      <c r="P120" s="148"/>
      <c r="Q120" s="146"/>
      <c r="Y120" s="148"/>
      <c r="Z120" s="147"/>
      <c r="AF120" s="139"/>
      <c r="AH120" s="148"/>
      <c r="AI120" s="146"/>
    </row>
    <row r="121">
      <c r="B121" s="143"/>
      <c r="H121" s="143"/>
      <c r="K121" s="148"/>
      <c r="L121" s="150"/>
      <c r="P121" s="148"/>
      <c r="Q121" s="146"/>
      <c r="Y121" s="148"/>
      <c r="Z121" s="147"/>
      <c r="AF121" s="139"/>
      <c r="AH121" s="148"/>
      <c r="AI121" s="146"/>
    </row>
    <row r="122">
      <c r="B122" s="143"/>
      <c r="H122" s="143"/>
      <c r="K122" s="148"/>
      <c r="L122" s="150"/>
      <c r="P122" s="148"/>
      <c r="Q122" s="146"/>
      <c r="Y122" s="148"/>
      <c r="Z122" s="147"/>
      <c r="AF122" s="139"/>
      <c r="AH122" s="148"/>
      <c r="AI122" s="146"/>
    </row>
    <row r="123">
      <c r="B123" s="143"/>
      <c r="H123" s="143"/>
      <c r="K123" s="148"/>
      <c r="L123" s="150"/>
      <c r="P123" s="148"/>
      <c r="Q123" s="146"/>
      <c r="Y123" s="148"/>
      <c r="Z123" s="147"/>
      <c r="AF123" s="139"/>
      <c r="AH123" s="148"/>
      <c r="AI123" s="146"/>
    </row>
    <row r="124">
      <c r="B124" s="143"/>
      <c r="H124" s="143"/>
      <c r="K124" s="148"/>
      <c r="L124" s="150"/>
      <c r="P124" s="148"/>
      <c r="Q124" s="146"/>
      <c r="Y124" s="148"/>
      <c r="Z124" s="147"/>
      <c r="AF124" s="139"/>
      <c r="AH124" s="148"/>
      <c r="AI124" s="146"/>
    </row>
    <row r="125">
      <c r="B125" s="143"/>
      <c r="H125" s="143"/>
      <c r="K125" s="148"/>
      <c r="L125" s="150"/>
      <c r="P125" s="148"/>
      <c r="Q125" s="146"/>
      <c r="Y125" s="148"/>
      <c r="Z125" s="147"/>
      <c r="AF125" s="139"/>
      <c r="AH125" s="148"/>
      <c r="AI125" s="146"/>
    </row>
    <row r="126">
      <c r="B126" s="143"/>
      <c r="H126" s="143"/>
      <c r="K126" s="148"/>
      <c r="L126" s="150"/>
      <c r="P126" s="148"/>
      <c r="Q126" s="146"/>
      <c r="Y126" s="148"/>
      <c r="Z126" s="147"/>
      <c r="AF126" s="139"/>
      <c r="AH126" s="148"/>
      <c r="AI126" s="146"/>
    </row>
    <row r="127">
      <c r="B127" s="143"/>
      <c r="H127" s="143"/>
      <c r="K127" s="148"/>
      <c r="L127" s="150"/>
      <c r="P127" s="148"/>
      <c r="Q127" s="146"/>
      <c r="Y127" s="148"/>
      <c r="Z127" s="147"/>
      <c r="AF127" s="139"/>
      <c r="AH127" s="148"/>
      <c r="AI127" s="146"/>
    </row>
    <row r="128">
      <c r="B128" s="143"/>
      <c r="H128" s="143"/>
      <c r="K128" s="148"/>
      <c r="L128" s="150"/>
      <c r="P128" s="148"/>
      <c r="Q128" s="146"/>
      <c r="Y128" s="148"/>
      <c r="Z128" s="147"/>
      <c r="AF128" s="139"/>
      <c r="AH128" s="148"/>
      <c r="AI128" s="146"/>
    </row>
    <row r="129">
      <c r="B129" s="143"/>
      <c r="H129" s="143"/>
      <c r="K129" s="148"/>
      <c r="L129" s="150"/>
      <c r="P129" s="148"/>
      <c r="Q129" s="146"/>
      <c r="Y129" s="148"/>
      <c r="Z129" s="147"/>
      <c r="AF129" s="139"/>
      <c r="AH129" s="148"/>
      <c r="AI129" s="146"/>
    </row>
    <row r="130">
      <c r="B130" s="143"/>
      <c r="H130" s="143"/>
      <c r="K130" s="148"/>
      <c r="L130" s="150"/>
      <c r="P130" s="148"/>
      <c r="Q130" s="146"/>
      <c r="Y130" s="148"/>
      <c r="Z130" s="147"/>
      <c r="AF130" s="139"/>
      <c r="AH130" s="148"/>
      <c r="AI130" s="146"/>
    </row>
    <row r="131">
      <c r="B131" s="143"/>
      <c r="H131" s="143"/>
      <c r="K131" s="148"/>
      <c r="L131" s="150"/>
      <c r="P131" s="148"/>
      <c r="Q131" s="146"/>
      <c r="Y131" s="148"/>
      <c r="Z131" s="147"/>
      <c r="AF131" s="139"/>
      <c r="AH131" s="148"/>
      <c r="AI131" s="146"/>
    </row>
    <row r="132">
      <c r="B132" s="143"/>
      <c r="H132" s="143"/>
      <c r="K132" s="148"/>
      <c r="L132" s="150"/>
      <c r="P132" s="148"/>
      <c r="Q132" s="146"/>
      <c r="Y132" s="148"/>
      <c r="Z132" s="147"/>
      <c r="AF132" s="139"/>
      <c r="AH132" s="148"/>
      <c r="AI132" s="146"/>
    </row>
    <row r="133">
      <c r="B133" s="143"/>
      <c r="H133" s="143"/>
      <c r="K133" s="148"/>
      <c r="L133" s="150"/>
      <c r="P133" s="148"/>
      <c r="Q133" s="146"/>
      <c r="Y133" s="148"/>
      <c r="Z133" s="147"/>
      <c r="AF133" s="139"/>
      <c r="AH133" s="148"/>
      <c r="AI133" s="146"/>
    </row>
    <row r="134">
      <c r="B134" s="143"/>
      <c r="H134" s="143"/>
      <c r="K134" s="148"/>
      <c r="L134" s="150"/>
      <c r="P134" s="148"/>
      <c r="Q134" s="146"/>
      <c r="Y134" s="148"/>
      <c r="Z134" s="147"/>
      <c r="AF134" s="139"/>
      <c r="AH134" s="148"/>
      <c r="AI134" s="146"/>
    </row>
    <row r="135">
      <c r="B135" s="143"/>
      <c r="H135" s="143"/>
      <c r="K135" s="148"/>
      <c r="L135" s="150"/>
      <c r="P135" s="148"/>
      <c r="Q135" s="146"/>
      <c r="Y135" s="148"/>
      <c r="Z135" s="147"/>
      <c r="AF135" s="139"/>
      <c r="AH135" s="148"/>
      <c r="AI135" s="146"/>
    </row>
    <row r="136">
      <c r="B136" s="143"/>
      <c r="H136" s="143"/>
      <c r="K136" s="148"/>
      <c r="L136" s="150"/>
      <c r="P136" s="148"/>
      <c r="Q136" s="146"/>
      <c r="Y136" s="148"/>
      <c r="Z136" s="147"/>
      <c r="AF136" s="139"/>
      <c r="AH136" s="148"/>
      <c r="AI136" s="146"/>
    </row>
    <row r="137">
      <c r="B137" s="143"/>
      <c r="H137" s="143"/>
      <c r="K137" s="148"/>
      <c r="L137" s="150"/>
      <c r="P137" s="148"/>
      <c r="Q137" s="146"/>
      <c r="Y137" s="148"/>
      <c r="Z137" s="147"/>
      <c r="AF137" s="139"/>
      <c r="AH137" s="148"/>
      <c r="AI137" s="146"/>
    </row>
    <row r="138">
      <c r="B138" s="143"/>
      <c r="H138" s="143"/>
      <c r="K138" s="148"/>
      <c r="L138" s="150"/>
      <c r="P138" s="148"/>
      <c r="Q138" s="146"/>
      <c r="Y138" s="148"/>
      <c r="Z138" s="147"/>
      <c r="AF138" s="139"/>
      <c r="AH138" s="148"/>
      <c r="AI138" s="146"/>
    </row>
    <row r="139">
      <c r="B139" s="143"/>
      <c r="H139" s="143"/>
      <c r="K139" s="148"/>
      <c r="L139" s="150"/>
      <c r="P139" s="148"/>
      <c r="Q139" s="146"/>
      <c r="Y139" s="148"/>
      <c r="Z139" s="147"/>
      <c r="AF139" s="139"/>
      <c r="AH139" s="148"/>
      <c r="AI139" s="146"/>
    </row>
    <row r="140">
      <c r="B140" s="143"/>
      <c r="H140" s="143"/>
      <c r="K140" s="148"/>
      <c r="L140" s="150"/>
      <c r="P140" s="148"/>
      <c r="Q140" s="146"/>
      <c r="Y140" s="148"/>
      <c r="Z140" s="147"/>
      <c r="AF140" s="139"/>
      <c r="AH140" s="148"/>
      <c r="AI140" s="146"/>
    </row>
    <row r="141">
      <c r="B141" s="143"/>
      <c r="H141" s="143"/>
      <c r="K141" s="148"/>
      <c r="L141" s="150"/>
      <c r="P141" s="148"/>
      <c r="Q141" s="146"/>
      <c r="Y141" s="148"/>
      <c r="Z141" s="147"/>
      <c r="AF141" s="139"/>
      <c r="AH141" s="148"/>
      <c r="AI141" s="146"/>
    </row>
    <row r="142">
      <c r="B142" s="143"/>
      <c r="H142" s="143"/>
      <c r="K142" s="148"/>
      <c r="L142" s="150"/>
      <c r="P142" s="148"/>
      <c r="Q142" s="146"/>
      <c r="Y142" s="148"/>
      <c r="Z142" s="147"/>
      <c r="AF142" s="139"/>
      <c r="AH142" s="148"/>
      <c r="AI142" s="146"/>
    </row>
    <row r="143">
      <c r="B143" s="143"/>
      <c r="H143" s="143"/>
      <c r="K143" s="148"/>
      <c r="L143" s="150"/>
      <c r="P143" s="148"/>
      <c r="Q143" s="146"/>
      <c r="Y143" s="148"/>
      <c r="Z143" s="147"/>
      <c r="AF143" s="139"/>
      <c r="AH143" s="148"/>
      <c r="AI143" s="146"/>
    </row>
    <row r="144">
      <c r="B144" s="143"/>
      <c r="H144" s="143"/>
      <c r="K144" s="148"/>
      <c r="L144" s="150"/>
      <c r="P144" s="148"/>
      <c r="Q144" s="146"/>
      <c r="Y144" s="148"/>
      <c r="Z144" s="147"/>
      <c r="AF144" s="139"/>
      <c r="AH144" s="148"/>
      <c r="AI144" s="146"/>
    </row>
    <row r="145">
      <c r="B145" s="143"/>
      <c r="H145" s="143"/>
      <c r="K145" s="148"/>
      <c r="L145" s="150"/>
      <c r="P145" s="148"/>
      <c r="Q145" s="146"/>
      <c r="Y145" s="148"/>
      <c r="Z145" s="147"/>
      <c r="AF145" s="139"/>
      <c r="AH145" s="148"/>
      <c r="AI145" s="146"/>
    </row>
    <row r="146">
      <c r="B146" s="143"/>
      <c r="H146" s="143"/>
      <c r="K146" s="148"/>
      <c r="L146" s="150"/>
      <c r="P146" s="148"/>
      <c r="Q146" s="146"/>
      <c r="Y146" s="148"/>
      <c r="Z146" s="147"/>
      <c r="AF146" s="139"/>
      <c r="AH146" s="148"/>
      <c r="AI146" s="146"/>
    </row>
    <row r="147">
      <c r="B147" s="143"/>
      <c r="H147" s="143"/>
      <c r="K147" s="148"/>
      <c r="L147" s="150"/>
      <c r="P147" s="148"/>
      <c r="Q147" s="146"/>
      <c r="Y147" s="148"/>
      <c r="Z147" s="147"/>
      <c r="AF147" s="139"/>
      <c r="AH147" s="148"/>
      <c r="AI147" s="146"/>
    </row>
    <row r="148">
      <c r="B148" s="143"/>
      <c r="H148" s="143"/>
      <c r="K148" s="148"/>
      <c r="L148" s="150"/>
      <c r="P148" s="148"/>
      <c r="Q148" s="146"/>
      <c r="Y148" s="148"/>
      <c r="Z148" s="147"/>
      <c r="AF148" s="139"/>
      <c r="AH148" s="148"/>
      <c r="AI148" s="146"/>
    </row>
    <row r="149">
      <c r="B149" s="143"/>
      <c r="H149" s="143"/>
      <c r="K149" s="148"/>
      <c r="L149" s="150"/>
      <c r="P149" s="148"/>
      <c r="Q149" s="146"/>
      <c r="Y149" s="148"/>
      <c r="Z149" s="147"/>
      <c r="AF149" s="139"/>
      <c r="AH149" s="148"/>
      <c r="AI149" s="146"/>
    </row>
    <row r="150">
      <c r="B150" s="143"/>
      <c r="H150" s="143"/>
      <c r="K150" s="148"/>
      <c r="L150" s="150"/>
      <c r="P150" s="148"/>
      <c r="Q150" s="146"/>
      <c r="Y150" s="148"/>
      <c r="Z150" s="147"/>
      <c r="AF150" s="139"/>
      <c r="AH150" s="148"/>
      <c r="AI150" s="146"/>
    </row>
    <row r="151">
      <c r="B151" s="143"/>
      <c r="H151" s="143"/>
      <c r="K151" s="148"/>
      <c r="L151" s="150"/>
      <c r="P151" s="148"/>
      <c r="Q151" s="146"/>
      <c r="Y151" s="148"/>
      <c r="Z151" s="147"/>
      <c r="AF151" s="139"/>
      <c r="AH151" s="148"/>
      <c r="AI151" s="146"/>
    </row>
    <row r="152">
      <c r="B152" s="143"/>
      <c r="H152" s="143"/>
      <c r="K152" s="148"/>
      <c r="L152" s="150"/>
      <c r="P152" s="148"/>
      <c r="Q152" s="146"/>
      <c r="Y152" s="148"/>
      <c r="Z152" s="147"/>
      <c r="AF152" s="139"/>
      <c r="AH152" s="148"/>
      <c r="AI152" s="146"/>
    </row>
    <row r="153">
      <c r="B153" s="143"/>
      <c r="H153" s="143"/>
      <c r="K153" s="148"/>
      <c r="L153" s="150"/>
      <c r="P153" s="148"/>
      <c r="Q153" s="146"/>
      <c r="Y153" s="148"/>
      <c r="Z153" s="147"/>
      <c r="AF153" s="139"/>
      <c r="AH153" s="148"/>
      <c r="AI153" s="146"/>
    </row>
    <row r="154">
      <c r="B154" s="143"/>
      <c r="H154" s="143"/>
      <c r="K154" s="148"/>
      <c r="L154" s="150"/>
      <c r="P154" s="148"/>
      <c r="Q154" s="146"/>
      <c r="Y154" s="148"/>
      <c r="Z154" s="147"/>
      <c r="AF154" s="139"/>
      <c r="AH154" s="148"/>
      <c r="AI154" s="146"/>
    </row>
    <row r="155">
      <c r="B155" s="143"/>
      <c r="H155" s="143"/>
      <c r="K155" s="148"/>
      <c r="L155" s="150"/>
      <c r="P155" s="148"/>
      <c r="Q155" s="146"/>
      <c r="Y155" s="148"/>
      <c r="Z155" s="147"/>
      <c r="AF155" s="139"/>
      <c r="AH155" s="148"/>
      <c r="AI155" s="146"/>
    </row>
    <row r="156">
      <c r="B156" s="143"/>
      <c r="H156" s="143"/>
      <c r="K156" s="148"/>
      <c r="L156" s="150"/>
      <c r="P156" s="148"/>
      <c r="Q156" s="146"/>
      <c r="Y156" s="148"/>
      <c r="Z156" s="147"/>
      <c r="AF156" s="139"/>
      <c r="AH156" s="148"/>
      <c r="AI156" s="146"/>
    </row>
    <row r="157">
      <c r="B157" s="143"/>
      <c r="H157" s="143"/>
      <c r="K157" s="148"/>
      <c r="L157" s="150"/>
      <c r="P157" s="148"/>
      <c r="Q157" s="146"/>
      <c r="Y157" s="148"/>
      <c r="Z157" s="147"/>
      <c r="AF157" s="139"/>
      <c r="AH157" s="148"/>
      <c r="AI157" s="146"/>
    </row>
    <row r="158">
      <c r="B158" s="143"/>
      <c r="H158" s="143"/>
      <c r="K158" s="148"/>
      <c r="L158" s="150"/>
      <c r="P158" s="148"/>
      <c r="Q158" s="146"/>
      <c r="Y158" s="148"/>
      <c r="Z158" s="147"/>
      <c r="AF158" s="139"/>
      <c r="AH158" s="148"/>
      <c r="AI158" s="146"/>
    </row>
    <row r="159">
      <c r="B159" s="143"/>
      <c r="H159" s="143"/>
      <c r="K159" s="148"/>
      <c r="L159" s="150"/>
      <c r="P159" s="148"/>
      <c r="Q159" s="146"/>
      <c r="Y159" s="148"/>
      <c r="Z159" s="147"/>
      <c r="AF159" s="139"/>
      <c r="AH159" s="148"/>
      <c r="AI159" s="146"/>
    </row>
    <row r="160">
      <c r="B160" s="143"/>
      <c r="H160" s="143"/>
      <c r="K160" s="148"/>
      <c r="L160" s="150"/>
      <c r="P160" s="148"/>
      <c r="Q160" s="146"/>
      <c r="Y160" s="148"/>
      <c r="Z160" s="147"/>
      <c r="AF160" s="139"/>
      <c r="AH160" s="148"/>
      <c r="AI160" s="146"/>
    </row>
    <row r="161">
      <c r="B161" s="143"/>
      <c r="H161" s="143"/>
      <c r="K161" s="148"/>
      <c r="L161" s="150"/>
      <c r="P161" s="148"/>
      <c r="Q161" s="146"/>
      <c r="Y161" s="148"/>
      <c r="Z161" s="147"/>
      <c r="AF161" s="139"/>
      <c r="AH161" s="148"/>
      <c r="AI161" s="146"/>
    </row>
    <row r="162">
      <c r="B162" s="143"/>
      <c r="H162" s="143"/>
      <c r="K162" s="148"/>
      <c r="L162" s="150"/>
      <c r="P162" s="148"/>
      <c r="Q162" s="146"/>
      <c r="Y162" s="148"/>
      <c r="Z162" s="147"/>
      <c r="AF162" s="139"/>
      <c r="AH162" s="148"/>
      <c r="AI162" s="146"/>
    </row>
    <row r="163">
      <c r="B163" s="143"/>
      <c r="H163" s="143"/>
      <c r="K163" s="148"/>
      <c r="L163" s="150"/>
      <c r="P163" s="148"/>
      <c r="Q163" s="146"/>
      <c r="Y163" s="148"/>
      <c r="Z163" s="147"/>
      <c r="AF163" s="139"/>
      <c r="AH163" s="148"/>
      <c r="AI163" s="146"/>
    </row>
    <row r="164">
      <c r="B164" s="143"/>
      <c r="H164" s="143"/>
      <c r="K164" s="148"/>
      <c r="L164" s="150"/>
      <c r="P164" s="148"/>
      <c r="Q164" s="146"/>
      <c r="Y164" s="148"/>
      <c r="Z164" s="147"/>
      <c r="AF164" s="139"/>
      <c r="AH164" s="148"/>
      <c r="AI164" s="146"/>
    </row>
    <row r="165">
      <c r="B165" s="143"/>
      <c r="H165" s="143"/>
      <c r="K165" s="148"/>
      <c r="L165" s="150"/>
      <c r="P165" s="148"/>
      <c r="Q165" s="146"/>
      <c r="Y165" s="148"/>
      <c r="Z165" s="147"/>
      <c r="AF165" s="139"/>
      <c r="AH165" s="148"/>
      <c r="AI165" s="146"/>
    </row>
    <row r="166">
      <c r="B166" s="143"/>
      <c r="H166" s="143"/>
      <c r="K166" s="148"/>
      <c r="L166" s="150"/>
      <c r="P166" s="148"/>
      <c r="Q166" s="146"/>
      <c r="Y166" s="148"/>
      <c r="Z166" s="147"/>
      <c r="AF166" s="139"/>
      <c r="AH166" s="148"/>
      <c r="AI166" s="146"/>
    </row>
    <row r="167">
      <c r="B167" s="143"/>
      <c r="H167" s="143"/>
      <c r="K167" s="148"/>
      <c r="L167" s="150"/>
      <c r="P167" s="148"/>
      <c r="Q167" s="146"/>
      <c r="Y167" s="148"/>
      <c r="Z167" s="147"/>
      <c r="AF167" s="139"/>
      <c r="AH167" s="148"/>
      <c r="AI167" s="146"/>
    </row>
    <row r="168">
      <c r="B168" s="143"/>
      <c r="H168" s="143"/>
      <c r="K168" s="148"/>
      <c r="L168" s="150"/>
      <c r="P168" s="148"/>
      <c r="Q168" s="146"/>
      <c r="Y168" s="148"/>
      <c r="Z168" s="147"/>
      <c r="AF168" s="139"/>
      <c r="AH168" s="148"/>
      <c r="AI168" s="146"/>
    </row>
    <row r="169">
      <c r="B169" s="143"/>
      <c r="H169" s="143"/>
      <c r="K169" s="148"/>
      <c r="L169" s="150"/>
      <c r="P169" s="148"/>
      <c r="Q169" s="146"/>
      <c r="Y169" s="148"/>
      <c r="Z169" s="147"/>
      <c r="AF169" s="139"/>
      <c r="AH169" s="148"/>
      <c r="AI169" s="146"/>
    </row>
    <row r="170">
      <c r="B170" s="143"/>
      <c r="H170" s="143"/>
      <c r="K170" s="148"/>
      <c r="L170" s="150"/>
      <c r="P170" s="148"/>
      <c r="Q170" s="146"/>
      <c r="Y170" s="148"/>
      <c r="Z170" s="147"/>
      <c r="AF170" s="139"/>
      <c r="AH170" s="148"/>
      <c r="AI170" s="146"/>
    </row>
    <row r="171">
      <c r="B171" s="143"/>
      <c r="H171" s="143"/>
      <c r="K171" s="148"/>
      <c r="L171" s="150"/>
      <c r="P171" s="148"/>
      <c r="Q171" s="146"/>
      <c r="Y171" s="148"/>
      <c r="Z171" s="147"/>
      <c r="AF171" s="139"/>
      <c r="AH171" s="148"/>
      <c r="AI171" s="146"/>
    </row>
    <row r="172">
      <c r="B172" s="143"/>
      <c r="H172" s="143"/>
      <c r="K172" s="148"/>
      <c r="L172" s="150"/>
      <c r="P172" s="148"/>
      <c r="Q172" s="146"/>
      <c r="Y172" s="148"/>
      <c r="Z172" s="147"/>
      <c r="AF172" s="139"/>
      <c r="AH172" s="148"/>
      <c r="AI172" s="146"/>
    </row>
    <row r="173">
      <c r="B173" s="143"/>
      <c r="H173" s="143"/>
      <c r="K173" s="148"/>
      <c r="L173" s="150"/>
      <c r="P173" s="148"/>
      <c r="Q173" s="146"/>
      <c r="Y173" s="148"/>
      <c r="Z173" s="147"/>
      <c r="AF173" s="139"/>
      <c r="AH173" s="148"/>
      <c r="AI173" s="146"/>
    </row>
    <row r="174">
      <c r="B174" s="143"/>
      <c r="H174" s="143"/>
      <c r="K174" s="148"/>
      <c r="L174" s="150"/>
      <c r="P174" s="148"/>
      <c r="Q174" s="146"/>
      <c r="Y174" s="148"/>
      <c r="Z174" s="147"/>
      <c r="AF174" s="139"/>
      <c r="AH174" s="148"/>
      <c r="AI174" s="146"/>
    </row>
    <row r="175">
      <c r="B175" s="143"/>
      <c r="H175" s="143"/>
      <c r="K175" s="148"/>
      <c r="L175" s="150"/>
      <c r="P175" s="148"/>
      <c r="Q175" s="146"/>
      <c r="Y175" s="148"/>
      <c r="Z175" s="147"/>
      <c r="AF175" s="139"/>
      <c r="AH175" s="148"/>
      <c r="AI175" s="146"/>
    </row>
    <row r="176">
      <c r="B176" s="143"/>
      <c r="H176" s="143"/>
      <c r="K176" s="148"/>
      <c r="L176" s="150"/>
      <c r="P176" s="148"/>
      <c r="Q176" s="146"/>
      <c r="Y176" s="148"/>
      <c r="Z176" s="147"/>
      <c r="AF176" s="139"/>
      <c r="AH176" s="148"/>
      <c r="AI176" s="146"/>
    </row>
    <row r="177">
      <c r="B177" s="143"/>
      <c r="H177" s="143"/>
      <c r="K177" s="148"/>
      <c r="L177" s="150"/>
      <c r="P177" s="148"/>
      <c r="Q177" s="146"/>
      <c r="Y177" s="148"/>
      <c r="Z177" s="147"/>
      <c r="AF177" s="139"/>
      <c r="AH177" s="148"/>
      <c r="AI177" s="146"/>
    </row>
    <row r="178">
      <c r="B178" s="143"/>
      <c r="H178" s="143"/>
      <c r="K178" s="148"/>
      <c r="L178" s="150"/>
      <c r="P178" s="148"/>
      <c r="Q178" s="146"/>
      <c r="Y178" s="148"/>
      <c r="Z178" s="147"/>
      <c r="AF178" s="139"/>
      <c r="AH178" s="148"/>
      <c r="AI178" s="146"/>
    </row>
    <row r="179">
      <c r="B179" s="143"/>
      <c r="H179" s="143"/>
      <c r="K179" s="148"/>
      <c r="L179" s="150"/>
      <c r="P179" s="148"/>
      <c r="Q179" s="146"/>
      <c r="Y179" s="148"/>
      <c r="Z179" s="147"/>
      <c r="AF179" s="139"/>
      <c r="AH179" s="148"/>
      <c r="AI179" s="146"/>
    </row>
    <row r="180">
      <c r="B180" s="143"/>
      <c r="H180" s="143"/>
      <c r="K180" s="148"/>
      <c r="L180" s="150"/>
      <c r="P180" s="148"/>
      <c r="Q180" s="146"/>
      <c r="Y180" s="148"/>
      <c r="Z180" s="147"/>
      <c r="AF180" s="139"/>
      <c r="AH180" s="148"/>
      <c r="AI180" s="146"/>
    </row>
    <row r="181">
      <c r="B181" s="143"/>
      <c r="H181" s="143"/>
      <c r="K181" s="148"/>
      <c r="L181" s="150"/>
      <c r="P181" s="148"/>
      <c r="Q181" s="146"/>
      <c r="Y181" s="148"/>
      <c r="Z181" s="147"/>
      <c r="AF181" s="139"/>
      <c r="AH181" s="148"/>
      <c r="AI181" s="146"/>
    </row>
    <row r="182">
      <c r="B182" s="143"/>
      <c r="H182" s="143"/>
      <c r="K182" s="148"/>
      <c r="L182" s="150"/>
      <c r="P182" s="148"/>
      <c r="Q182" s="146"/>
      <c r="Y182" s="148"/>
      <c r="Z182" s="147"/>
      <c r="AF182" s="139"/>
      <c r="AH182" s="148"/>
      <c r="AI182" s="146"/>
    </row>
    <row r="183">
      <c r="B183" s="143"/>
      <c r="H183" s="143"/>
      <c r="K183" s="148"/>
      <c r="L183" s="150"/>
      <c r="P183" s="148"/>
      <c r="Q183" s="146"/>
      <c r="Y183" s="148"/>
      <c r="Z183" s="147"/>
      <c r="AF183" s="139"/>
      <c r="AH183" s="148"/>
      <c r="AI183" s="146"/>
    </row>
    <row r="184">
      <c r="B184" s="143"/>
      <c r="H184" s="143"/>
      <c r="K184" s="148"/>
      <c r="L184" s="150"/>
      <c r="P184" s="148"/>
      <c r="Q184" s="146"/>
      <c r="Y184" s="148"/>
      <c r="Z184" s="147"/>
      <c r="AF184" s="139"/>
      <c r="AH184" s="148"/>
      <c r="AI184" s="146"/>
    </row>
    <row r="185">
      <c r="B185" s="143"/>
      <c r="H185" s="143"/>
      <c r="K185" s="148"/>
      <c r="L185" s="150"/>
      <c r="P185" s="148"/>
      <c r="Q185" s="146"/>
      <c r="Y185" s="148"/>
      <c r="Z185" s="147"/>
      <c r="AF185" s="139"/>
      <c r="AH185" s="148"/>
      <c r="AI185" s="146"/>
    </row>
    <row r="186">
      <c r="B186" s="143"/>
      <c r="H186" s="143"/>
      <c r="K186" s="148"/>
      <c r="L186" s="150"/>
      <c r="P186" s="148"/>
      <c r="Q186" s="146"/>
      <c r="Y186" s="148"/>
      <c r="Z186" s="147"/>
      <c r="AF186" s="139"/>
      <c r="AH186" s="148"/>
      <c r="AI186" s="146"/>
    </row>
    <row r="187">
      <c r="B187" s="143"/>
      <c r="H187" s="143"/>
      <c r="K187" s="148"/>
      <c r="L187" s="150"/>
      <c r="P187" s="148"/>
      <c r="Q187" s="146"/>
      <c r="Y187" s="148"/>
      <c r="Z187" s="147"/>
      <c r="AF187" s="139"/>
      <c r="AH187" s="148"/>
      <c r="AI187" s="146"/>
    </row>
    <row r="188">
      <c r="B188" s="143"/>
      <c r="H188" s="143"/>
      <c r="K188" s="148"/>
      <c r="L188" s="150"/>
      <c r="P188" s="148"/>
      <c r="Q188" s="146"/>
      <c r="Y188" s="148"/>
      <c r="Z188" s="147"/>
      <c r="AF188" s="139"/>
      <c r="AH188" s="148"/>
      <c r="AI188" s="146"/>
    </row>
    <row r="189">
      <c r="B189" s="143"/>
      <c r="H189" s="143"/>
      <c r="K189" s="148"/>
      <c r="L189" s="150"/>
      <c r="P189" s="148"/>
      <c r="Q189" s="146"/>
      <c r="Y189" s="148"/>
      <c r="Z189" s="147"/>
      <c r="AF189" s="139"/>
      <c r="AH189" s="148"/>
      <c r="AI189" s="146"/>
    </row>
    <row r="190">
      <c r="B190" s="143"/>
      <c r="H190" s="143"/>
      <c r="K190" s="148"/>
      <c r="L190" s="150"/>
      <c r="P190" s="148"/>
      <c r="Q190" s="146"/>
      <c r="Y190" s="148"/>
      <c r="Z190" s="147"/>
      <c r="AF190" s="139"/>
      <c r="AH190" s="148"/>
      <c r="AI190" s="146"/>
    </row>
    <row r="191">
      <c r="B191" s="143"/>
      <c r="H191" s="143"/>
      <c r="K191" s="148"/>
      <c r="L191" s="150"/>
      <c r="P191" s="148"/>
      <c r="Q191" s="146"/>
      <c r="Y191" s="148"/>
      <c r="Z191" s="147"/>
      <c r="AF191" s="139"/>
      <c r="AH191" s="148"/>
      <c r="AI191" s="146"/>
    </row>
    <row r="192">
      <c r="B192" s="143"/>
      <c r="H192" s="143"/>
      <c r="K192" s="148"/>
      <c r="L192" s="150"/>
      <c r="P192" s="148"/>
      <c r="Q192" s="146"/>
      <c r="Y192" s="148"/>
      <c r="Z192" s="147"/>
      <c r="AF192" s="139"/>
      <c r="AH192" s="148"/>
      <c r="AI192" s="146"/>
    </row>
    <row r="193">
      <c r="B193" s="143"/>
      <c r="H193" s="143"/>
      <c r="K193" s="148"/>
      <c r="L193" s="150"/>
      <c r="P193" s="148"/>
      <c r="Q193" s="146"/>
      <c r="Y193" s="148"/>
      <c r="Z193" s="147"/>
      <c r="AF193" s="139"/>
      <c r="AH193" s="148"/>
      <c r="AI193" s="146"/>
    </row>
    <row r="194">
      <c r="B194" s="143"/>
      <c r="H194" s="143"/>
      <c r="K194" s="148"/>
      <c r="L194" s="150"/>
      <c r="P194" s="148"/>
      <c r="Q194" s="146"/>
      <c r="Y194" s="148"/>
      <c r="Z194" s="147"/>
      <c r="AF194" s="139"/>
      <c r="AH194" s="148"/>
      <c r="AI194" s="146"/>
    </row>
    <row r="195">
      <c r="B195" s="143"/>
      <c r="H195" s="143"/>
      <c r="K195" s="148"/>
      <c r="L195" s="150"/>
      <c r="P195" s="148"/>
      <c r="Q195" s="146"/>
      <c r="Y195" s="148"/>
      <c r="Z195" s="147"/>
      <c r="AF195" s="139"/>
      <c r="AH195" s="148"/>
      <c r="AI195" s="146"/>
    </row>
    <row r="196">
      <c r="B196" s="143"/>
      <c r="H196" s="143"/>
      <c r="K196" s="148"/>
      <c r="L196" s="150"/>
      <c r="P196" s="148"/>
      <c r="Q196" s="146"/>
      <c r="Y196" s="148"/>
      <c r="Z196" s="147"/>
      <c r="AF196" s="139"/>
      <c r="AH196" s="148"/>
      <c r="AI196" s="146"/>
    </row>
    <row r="197">
      <c r="B197" s="143"/>
      <c r="H197" s="143"/>
      <c r="K197" s="148"/>
      <c r="L197" s="150"/>
      <c r="P197" s="148"/>
      <c r="Q197" s="146"/>
      <c r="Y197" s="148"/>
      <c r="Z197" s="147"/>
      <c r="AF197" s="139"/>
      <c r="AH197" s="148"/>
      <c r="AI197" s="146"/>
    </row>
    <row r="198">
      <c r="B198" s="143"/>
      <c r="H198" s="143"/>
      <c r="K198" s="148"/>
      <c r="L198" s="150"/>
      <c r="P198" s="148"/>
      <c r="Q198" s="146"/>
      <c r="Y198" s="148"/>
      <c r="Z198" s="147"/>
      <c r="AF198" s="139"/>
      <c r="AH198" s="148"/>
      <c r="AI198" s="146"/>
    </row>
    <row r="199">
      <c r="B199" s="143"/>
      <c r="H199" s="143"/>
      <c r="K199" s="148"/>
      <c r="L199" s="150"/>
      <c r="P199" s="148"/>
      <c r="Q199" s="146"/>
      <c r="Y199" s="148"/>
      <c r="Z199" s="147"/>
      <c r="AF199" s="139"/>
      <c r="AH199" s="148"/>
      <c r="AI199" s="146"/>
    </row>
    <row r="200">
      <c r="B200" s="143"/>
      <c r="H200" s="143"/>
      <c r="K200" s="148"/>
      <c r="L200" s="150"/>
      <c r="P200" s="148"/>
      <c r="Q200" s="146"/>
      <c r="Y200" s="148"/>
      <c r="Z200" s="147"/>
      <c r="AF200" s="139"/>
      <c r="AH200" s="148"/>
      <c r="AI200" s="146"/>
    </row>
    <row r="201">
      <c r="B201" s="143"/>
      <c r="H201" s="143"/>
      <c r="K201" s="148"/>
      <c r="L201" s="150"/>
      <c r="P201" s="148"/>
      <c r="Q201" s="146"/>
      <c r="Y201" s="148"/>
      <c r="Z201" s="147"/>
      <c r="AF201" s="139"/>
      <c r="AH201" s="148"/>
      <c r="AI201" s="146"/>
    </row>
    <row r="202">
      <c r="B202" s="143"/>
      <c r="H202" s="143"/>
      <c r="K202" s="148"/>
      <c r="L202" s="150"/>
      <c r="P202" s="148"/>
      <c r="Q202" s="146"/>
      <c r="Y202" s="148"/>
      <c r="Z202" s="147"/>
      <c r="AF202" s="139"/>
      <c r="AH202" s="148"/>
      <c r="AI202" s="146"/>
    </row>
    <row r="203">
      <c r="B203" s="143"/>
      <c r="H203" s="143"/>
      <c r="K203" s="148"/>
      <c r="L203" s="150"/>
      <c r="P203" s="148"/>
      <c r="Q203" s="146"/>
      <c r="Y203" s="148"/>
      <c r="Z203" s="147"/>
      <c r="AF203" s="139"/>
      <c r="AH203" s="148"/>
      <c r="AI203" s="146"/>
    </row>
    <row r="204">
      <c r="B204" s="143"/>
      <c r="H204" s="143"/>
      <c r="K204" s="148"/>
      <c r="L204" s="150"/>
      <c r="P204" s="148"/>
      <c r="Q204" s="146"/>
      <c r="Y204" s="148"/>
      <c r="Z204" s="147"/>
      <c r="AF204" s="139"/>
      <c r="AH204" s="148"/>
      <c r="AI204" s="146"/>
    </row>
    <row r="205">
      <c r="B205" s="143"/>
      <c r="H205" s="143"/>
      <c r="K205" s="148"/>
      <c r="L205" s="150"/>
      <c r="P205" s="148"/>
      <c r="Q205" s="146"/>
      <c r="Y205" s="148"/>
      <c r="Z205" s="147"/>
      <c r="AF205" s="139"/>
      <c r="AH205" s="148"/>
      <c r="AI205" s="146"/>
    </row>
    <row r="206">
      <c r="B206" s="143"/>
      <c r="H206" s="143"/>
      <c r="K206" s="148"/>
      <c r="L206" s="150"/>
      <c r="P206" s="148"/>
      <c r="Q206" s="146"/>
      <c r="Y206" s="148"/>
      <c r="Z206" s="147"/>
      <c r="AF206" s="139"/>
      <c r="AH206" s="148"/>
      <c r="AI206" s="146"/>
    </row>
    <row r="207">
      <c r="B207" s="143"/>
      <c r="H207" s="143"/>
      <c r="K207" s="148"/>
      <c r="L207" s="150"/>
      <c r="P207" s="148"/>
      <c r="Q207" s="146"/>
      <c r="Y207" s="148"/>
      <c r="Z207" s="147"/>
      <c r="AF207" s="139"/>
      <c r="AH207" s="148"/>
      <c r="AI207" s="146"/>
    </row>
    <row r="208">
      <c r="B208" s="143"/>
      <c r="H208" s="143"/>
      <c r="K208" s="148"/>
      <c r="L208" s="150"/>
      <c r="P208" s="148"/>
      <c r="Q208" s="146"/>
      <c r="Y208" s="148"/>
      <c r="Z208" s="147"/>
      <c r="AF208" s="139"/>
      <c r="AH208" s="148"/>
      <c r="AI208" s="146"/>
    </row>
    <row r="209">
      <c r="B209" s="143"/>
      <c r="H209" s="143"/>
      <c r="K209" s="148"/>
      <c r="L209" s="150"/>
      <c r="P209" s="148"/>
      <c r="Q209" s="146"/>
      <c r="Y209" s="148"/>
      <c r="Z209" s="147"/>
      <c r="AF209" s="139"/>
      <c r="AH209" s="148"/>
      <c r="AI209" s="146"/>
    </row>
    <row r="210">
      <c r="B210" s="143"/>
      <c r="H210" s="143"/>
      <c r="K210" s="148"/>
      <c r="L210" s="150"/>
      <c r="P210" s="148"/>
      <c r="Q210" s="146"/>
      <c r="Y210" s="148"/>
      <c r="Z210" s="147"/>
      <c r="AF210" s="139"/>
      <c r="AH210" s="148"/>
      <c r="AI210" s="146"/>
    </row>
    <row r="211">
      <c r="B211" s="143"/>
      <c r="H211" s="143"/>
      <c r="K211" s="148"/>
      <c r="L211" s="150"/>
      <c r="P211" s="148"/>
      <c r="Q211" s="146"/>
      <c r="Y211" s="148"/>
      <c r="Z211" s="147"/>
      <c r="AF211" s="139"/>
      <c r="AH211" s="148"/>
      <c r="AI211" s="146"/>
    </row>
    <row r="212">
      <c r="B212" s="143"/>
      <c r="H212" s="143"/>
      <c r="K212" s="148"/>
      <c r="L212" s="150"/>
      <c r="P212" s="148"/>
      <c r="Q212" s="146"/>
      <c r="Y212" s="148"/>
      <c r="Z212" s="147"/>
      <c r="AF212" s="139"/>
      <c r="AH212" s="148"/>
      <c r="AI212" s="146"/>
    </row>
    <row r="213">
      <c r="B213" s="143"/>
      <c r="H213" s="143"/>
      <c r="K213" s="148"/>
      <c r="L213" s="150"/>
      <c r="P213" s="148"/>
      <c r="Q213" s="146"/>
      <c r="Y213" s="148"/>
      <c r="Z213" s="147"/>
      <c r="AF213" s="139"/>
      <c r="AH213" s="148"/>
      <c r="AI213" s="146"/>
    </row>
    <row r="214">
      <c r="B214" s="143"/>
      <c r="H214" s="143"/>
      <c r="K214" s="148"/>
      <c r="L214" s="150"/>
      <c r="P214" s="148"/>
      <c r="Q214" s="146"/>
      <c r="Y214" s="148"/>
      <c r="Z214" s="147"/>
      <c r="AF214" s="139"/>
      <c r="AH214" s="148"/>
      <c r="AI214" s="146"/>
    </row>
    <row r="215">
      <c r="B215" s="143"/>
      <c r="H215" s="143"/>
      <c r="K215" s="148"/>
      <c r="L215" s="150"/>
      <c r="P215" s="148"/>
      <c r="Q215" s="146"/>
      <c r="Y215" s="148"/>
      <c r="Z215" s="147"/>
      <c r="AF215" s="139"/>
      <c r="AH215" s="148"/>
      <c r="AI215" s="146"/>
    </row>
    <row r="216">
      <c r="B216" s="143"/>
      <c r="H216" s="143"/>
      <c r="K216" s="148"/>
      <c r="L216" s="150"/>
      <c r="P216" s="148"/>
      <c r="Q216" s="146"/>
      <c r="Y216" s="148"/>
      <c r="Z216" s="147"/>
      <c r="AF216" s="139"/>
      <c r="AH216" s="148"/>
      <c r="AI216" s="146"/>
    </row>
    <row r="217">
      <c r="B217" s="143"/>
      <c r="H217" s="143"/>
      <c r="K217" s="148"/>
      <c r="L217" s="150"/>
      <c r="P217" s="148"/>
      <c r="Q217" s="146"/>
      <c r="Y217" s="148"/>
      <c r="Z217" s="147"/>
      <c r="AF217" s="139"/>
      <c r="AH217" s="148"/>
      <c r="AI217" s="146"/>
    </row>
    <row r="218">
      <c r="B218" s="143"/>
      <c r="H218" s="143"/>
      <c r="K218" s="148"/>
      <c r="L218" s="150"/>
      <c r="P218" s="148"/>
      <c r="Q218" s="146"/>
      <c r="Y218" s="148"/>
      <c r="Z218" s="147"/>
      <c r="AF218" s="139"/>
      <c r="AH218" s="148"/>
      <c r="AI218" s="146"/>
    </row>
    <row r="219">
      <c r="B219" s="143"/>
      <c r="H219" s="143"/>
      <c r="K219" s="148"/>
      <c r="L219" s="150"/>
      <c r="P219" s="148"/>
      <c r="Q219" s="146"/>
      <c r="Y219" s="148"/>
      <c r="Z219" s="147"/>
      <c r="AF219" s="139"/>
      <c r="AH219" s="148"/>
      <c r="AI219" s="146"/>
    </row>
    <row r="220">
      <c r="B220" s="143"/>
      <c r="H220" s="143"/>
      <c r="K220" s="148"/>
      <c r="L220" s="150"/>
      <c r="P220" s="148"/>
      <c r="Q220" s="146"/>
      <c r="Y220" s="148"/>
      <c r="Z220" s="147"/>
      <c r="AF220" s="139"/>
      <c r="AH220" s="148"/>
      <c r="AI220" s="146"/>
    </row>
    <row r="221">
      <c r="B221" s="143"/>
      <c r="H221" s="143"/>
      <c r="K221" s="148"/>
      <c r="L221" s="150"/>
      <c r="P221" s="148"/>
      <c r="Q221" s="146"/>
      <c r="Y221" s="148"/>
      <c r="Z221" s="147"/>
      <c r="AF221" s="139"/>
      <c r="AH221" s="148"/>
      <c r="AI221" s="146"/>
    </row>
    <row r="222">
      <c r="B222" s="143"/>
      <c r="H222" s="143"/>
      <c r="K222" s="148"/>
      <c r="L222" s="150"/>
      <c r="P222" s="148"/>
      <c r="Q222" s="146"/>
      <c r="Y222" s="148"/>
      <c r="Z222" s="147"/>
      <c r="AF222" s="139"/>
      <c r="AH222" s="148"/>
      <c r="AI222" s="146"/>
    </row>
    <row r="223">
      <c r="B223" s="143"/>
      <c r="H223" s="143"/>
      <c r="K223" s="148"/>
      <c r="L223" s="150"/>
      <c r="P223" s="148"/>
      <c r="Q223" s="146"/>
      <c r="Y223" s="148"/>
      <c r="Z223" s="147"/>
      <c r="AF223" s="139"/>
      <c r="AH223" s="148"/>
      <c r="AI223" s="146"/>
    </row>
    <row r="224">
      <c r="B224" s="143"/>
      <c r="H224" s="143"/>
      <c r="K224" s="148"/>
      <c r="L224" s="150"/>
      <c r="P224" s="148"/>
      <c r="Q224" s="146"/>
      <c r="Y224" s="148"/>
      <c r="Z224" s="147"/>
      <c r="AF224" s="139"/>
      <c r="AH224" s="148"/>
      <c r="AI224" s="146"/>
    </row>
    <row r="225">
      <c r="B225" s="143"/>
      <c r="H225" s="143"/>
      <c r="K225" s="148"/>
      <c r="L225" s="150"/>
      <c r="P225" s="148"/>
      <c r="Q225" s="146"/>
      <c r="Y225" s="148"/>
      <c r="Z225" s="147"/>
      <c r="AF225" s="139"/>
      <c r="AH225" s="148"/>
      <c r="AI225" s="146"/>
    </row>
    <row r="226">
      <c r="B226" s="143"/>
      <c r="H226" s="143"/>
      <c r="K226" s="148"/>
      <c r="L226" s="150"/>
      <c r="P226" s="148"/>
      <c r="Q226" s="146"/>
      <c r="Y226" s="148"/>
      <c r="Z226" s="147"/>
      <c r="AF226" s="139"/>
      <c r="AH226" s="148"/>
      <c r="AI226" s="146"/>
    </row>
    <row r="227">
      <c r="B227" s="143"/>
      <c r="H227" s="143"/>
      <c r="K227" s="148"/>
      <c r="L227" s="150"/>
      <c r="P227" s="148"/>
      <c r="Q227" s="146"/>
      <c r="Y227" s="148"/>
      <c r="Z227" s="147"/>
      <c r="AF227" s="139"/>
      <c r="AH227" s="148"/>
      <c r="AI227" s="146"/>
    </row>
    <row r="228">
      <c r="B228" s="143"/>
      <c r="H228" s="143"/>
      <c r="K228" s="148"/>
      <c r="L228" s="150"/>
      <c r="P228" s="148"/>
      <c r="Q228" s="146"/>
      <c r="Y228" s="148"/>
      <c r="Z228" s="147"/>
      <c r="AF228" s="139"/>
      <c r="AH228" s="148"/>
      <c r="AI228" s="146"/>
    </row>
    <row r="229">
      <c r="B229" s="143"/>
      <c r="H229" s="143"/>
      <c r="K229" s="148"/>
      <c r="L229" s="150"/>
      <c r="P229" s="148"/>
      <c r="Q229" s="146"/>
      <c r="Y229" s="148"/>
      <c r="Z229" s="147"/>
      <c r="AF229" s="139"/>
      <c r="AH229" s="148"/>
      <c r="AI229" s="146"/>
    </row>
    <row r="230">
      <c r="B230" s="143"/>
      <c r="H230" s="143"/>
      <c r="K230" s="148"/>
      <c r="L230" s="150"/>
      <c r="P230" s="148"/>
      <c r="Q230" s="146"/>
      <c r="Y230" s="148"/>
      <c r="Z230" s="147"/>
      <c r="AF230" s="139"/>
      <c r="AH230" s="148"/>
      <c r="AI230" s="146"/>
    </row>
    <row r="231">
      <c r="B231" s="143"/>
      <c r="H231" s="143"/>
      <c r="K231" s="148"/>
      <c r="L231" s="150"/>
      <c r="P231" s="148"/>
      <c r="Q231" s="146"/>
      <c r="Y231" s="148"/>
      <c r="Z231" s="147"/>
      <c r="AF231" s="139"/>
      <c r="AH231" s="148"/>
      <c r="AI231" s="146"/>
    </row>
    <row r="232">
      <c r="B232" s="143"/>
      <c r="H232" s="143"/>
      <c r="K232" s="148"/>
      <c r="L232" s="150"/>
      <c r="P232" s="148"/>
      <c r="Q232" s="146"/>
      <c r="Y232" s="148"/>
      <c r="Z232" s="147"/>
      <c r="AF232" s="139"/>
      <c r="AH232" s="148"/>
      <c r="AI232" s="146"/>
    </row>
    <row r="233">
      <c r="B233" s="143"/>
      <c r="H233" s="143"/>
      <c r="K233" s="148"/>
      <c r="L233" s="150"/>
      <c r="P233" s="148"/>
      <c r="Q233" s="146"/>
      <c r="Y233" s="148"/>
      <c r="Z233" s="147"/>
      <c r="AF233" s="139"/>
      <c r="AH233" s="148"/>
      <c r="AI233" s="146"/>
    </row>
    <row r="234">
      <c r="B234" s="143"/>
      <c r="H234" s="143"/>
      <c r="K234" s="148"/>
      <c r="L234" s="150"/>
      <c r="P234" s="148"/>
      <c r="Q234" s="146"/>
      <c r="Y234" s="148"/>
      <c r="Z234" s="147"/>
      <c r="AF234" s="139"/>
      <c r="AH234" s="148"/>
      <c r="AI234" s="146"/>
    </row>
    <row r="235">
      <c r="B235" s="143"/>
      <c r="H235" s="143"/>
      <c r="K235" s="148"/>
      <c r="L235" s="150"/>
      <c r="P235" s="148"/>
      <c r="Q235" s="146"/>
      <c r="Y235" s="148"/>
      <c r="Z235" s="147"/>
      <c r="AF235" s="139"/>
      <c r="AH235" s="148"/>
      <c r="AI235" s="146"/>
    </row>
    <row r="236">
      <c r="B236" s="143"/>
      <c r="H236" s="143"/>
      <c r="K236" s="148"/>
      <c r="L236" s="150"/>
      <c r="P236" s="148"/>
      <c r="Q236" s="146"/>
      <c r="Y236" s="148"/>
      <c r="Z236" s="147"/>
      <c r="AF236" s="139"/>
      <c r="AH236" s="148"/>
      <c r="AI236" s="146"/>
    </row>
    <row r="237">
      <c r="B237" s="143"/>
      <c r="H237" s="143"/>
      <c r="K237" s="148"/>
      <c r="L237" s="150"/>
      <c r="P237" s="148"/>
      <c r="Q237" s="146"/>
      <c r="Y237" s="148"/>
      <c r="Z237" s="147"/>
      <c r="AF237" s="139"/>
      <c r="AH237" s="148"/>
      <c r="AI237" s="146"/>
    </row>
    <row r="238">
      <c r="B238" s="143"/>
      <c r="H238" s="143"/>
      <c r="K238" s="148"/>
      <c r="L238" s="150"/>
      <c r="P238" s="148"/>
      <c r="Q238" s="146"/>
      <c r="Y238" s="148"/>
      <c r="Z238" s="147"/>
      <c r="AF238" s="139"/>
      <c r="AH238" s="148"/>
      <c r="AI238" s="146"/>
    </row>
    <row r="239">
      <c r="B239" s="143"/>
      <c r="H239" s="143"/>
      <c r="K239" s="148"/>
      <c r="L239" s="150"/>
      <c r="P239" s="148"/>
      <c r="Q239" s="146"/>
      <c r="Y239" s="148"/>
      <c r="Z239" s="147"/>
      <c r="AF239" s="139"/>
      <c r="AH239" s="148"/>
      <c r="AI239" s="146"/>
    </row>
    <row r="240">
      <c r="B240" s="143"/>
      <c r="H240" s="143"/>
      <c r="K240" s="148"/>
      <c r="L240" s="150"/>
      <c r="P240" s="148"/>
      <c r="Q240" s="146"/>
      <c r="Y240" s="148"/>
      <c r="Z240" s="147"/>
      <c r="AF240" s="139"/>
      <c r="AH240" s="148"/>
      <c r="AI240" s="146"/>
    </row>
    <row r="241">
      <c r="B241" s="143"/>
      <c r="H241" s="143"/>
      <c r="K241" s="148"/>
      <c r="L241" s="150"/>
      <c r="P241" s="148"/>
      <c r="Q241" s="146"/>
      <c r="Y241" s="148"/>
      <c r="Z241" s="147"/>
      <c r="AF241" s="139"/>
      <c r="AH241" s="148"/>
      <c r="AI241" s="146"/>
    </row>
    <row r="242">
      <c r="B242" s="143"/>
      <c r="H242" s="143"/>
      <c r="K242" s="148"/>
      <c r="L242" s="150"/>
      <c r="P242" s="148"/>
      <c r="Q242" s="146"/>
      <c r="Y242" s="148"/>
      <c r="Z242" s="147"/>
      <c r="AF242" s="139"/>
      <c r="AH242" s="148"/>
      <c r="AI242" s="146"/>
    </row>
    <row r="243">
      <c r="B243" s="143"/>
      <c r="H243" s="143"/>
      <c r="K243" s="148"/>
      <c r="L243" s="150"/>
      <c r="P243" s="148"/>
      <c r="Q243" s="146"/>
      <c r="Y243" s="148"/>
      <c r="Z243" s="147"/>
      <c r="AF243" s="139"/>
      <c r="AH243" s="148"/>
      <c r="AI243" s="146"/>
    </row>
    <row r="244">
      <c r="B244" s="143"/>
      <c r="H244" s="143"/>
      <c r="K244" s="148"/>
      <c r="L244" s="150"/>
      <c r="P244" s="148"/>
      <c r="Q244" s="146"/>
      <c r="Y244" s="148"/>
      <c r="Z244" s="147"/>
      <c r="AF244" s="139"/>
      <c r="AH244" s="148"/>
      <c r="AI244" s="146"/>
    </row>
    <row r="245">
      <c r="B245" s="143"/>
      <c r="H245" s="143"/>
      <c r="K245" s="148"/>
      <c r="L245" s="150"/>
      <c r="P245" s="148"/>
      <c r="Q245" s="146"/>
      <c r="Y245" s="148"/>
      <c r="Z245" s="147"/>
      <c r="AF245" s="139"/>
      <c r="AH245" s="148"/>
      <c r="AI245" s="146"/>
    </row>
    <row r="246">
      <c r="B246" s="143"/>
      <c r="H246" s="143"/>
      <c r="K246" s="148"/>
      <c r="L246" s="150"/>
      <c r="P246" s="148"/>
      <c r="Q246" s="146"/>
      <c r="Y246" s="148"/>
      <c r="Z246" s="147"/>
      <c r="AF246" s="139"/>
      <c r="AH246" s="148"/>
      <c r="AI246" s="146"/>
    </row>
    <row r="247">
      <c r="B247" s="143"/>
      <c r="H247" s="143"/>
      <c r="K247" s="148"/>
      <c r="L247" s="150"/>
      <c r="P247" s="148"/>
      <c r="Q247" s="146"/>
      <c r="Y247" s="148"/>
      <c r="Z247" s="147"/>
      <c r="AF247" s="139"/>
      <c r="AH247" s="148"/>
      <c r="AI247" s="146"/>
    </row>
    <row r="248">
      <c r="B248" s="143"/>
      <c r="H248" s="143"/>
      <c r="K248" s="148"/>
      <c r="L248" s="150"/>
      <c r="P248" s="148"/>
      <c r="Q248" s="146"/>
      <c r="Y248" s="148"/>
      <c r="Z248" s="147"/>
      <c r="AF248" s="139"/>
      <c r="AH248" s="148"/>
      <c r="AI248" s="146"/>
    </row>
    <row r="249">
      <c r="B249" s="143"/>
      <c r="H249" s="143"/>
      <c r="K249" s="148"/>
      <c r="L249" s="150"/>
      <c r="P249" s="148"/>
      <c r="Q249" s="146"/>
      <c r="Y249" s="148"/>
      <c r="Z249" s="147"/>
      <c r="AF249" s="139"/>
      <c r="AH249" s="148"/>
      <c r="AI249" s="146"/>
    </row>
    <row r="250">
      <c r="B250" s="143"/>
      <c r="H250" s="143"/>
      <c r="K250" s="148"/>
      <c r="L250" s="150"/>
      <c r="P250" s="148"/>
      <c r="Q250" s="146"/>
      <c r="Y250" s="148"/>
      <c r="Z250" s="147"/>
      <c r="AF250" s="139"/>
      <c r="AH250" s="148"/>
      <c r="AI250" s="146"/>
    </row>
    <row r="251">
      <c r="B251" s="143"/>
      <c r="H251" s="143"/>
      <c r="K251" s="148"/>
      <c r="L251" s="150"/>
      <c r="P251" s="148"/>
      <c r="Q251" s="146"/>
      <c r="Y251" s="148"/>
      <c r="Z251" s="147"/>
      <c r="AF251" s="139"/>
      <c r="AH251" s="148"/>
      <c r="AI251" s="146"/>
    </row>
    <row r="252">
      <c r="B252" s="143"/>
      <c r="H252" s="143"/>
      <c r="K252" s="148"/>
      <c r="L252" s="150"/>
      <c r="P252" s="148"/>
      <c r="Q252" s="146"/>
      <c r="Y252" s="148"/>
      <c r="Z252" s="147"/>
      <c r="AF252" s="139"/>
      <c r="AH252" s="148"/>
      <c r="AI252" s="146"/>
    </row>
    <row r="253">
      <c r="B253" s="143"/>
      <c r="H253" s="143"/>
      <c r="K253" s="148"/>
      <c r="L253" s="150"/>
      <c r="P253" s="148"/>
      <c r="Q253" s="146"/>
      <c r="Y253" s="148"/>
      <c r="Z253" s="147"/>
      <c r="AF253" s="139"/>
      <c r="AH253" s="148"/>
      <c r="AI253" s="146"/>
    </row>
    <row r="254">
      <c r="B254" s="143"/>
      <c r="H254" s="143"/>
      <c r="K254" s="148"/>
      <c r="L254" s="150"/>
      <c r="P254" s="148"/>
      <c r="Q254" s="146"/>
      <c r="Y254" s="148"/>
      <c r="Z254" s="147"/>
      <c r="AF254" s="139"/>
      <c r="AH254" s="148"/>
      <c r="AI254" s="146"/>
    </row>
    <row r="255">
      <c r="B255" s="143"/>
      <c r="H255" s="143"/>
      <c r="K255" s="148"/>
      <c r="L255" s="150"/>
      <c r="P255" s="148"/>
      <c r="Q255" s="146"/>
      <c r="Y255" s="148"/>
      <c r="Z255" s="147"/>
      <c r="AF255" s="139"/>
      <c r="AH255" s="148"/>
      <c r="AI255" s="146"/>
    </row>
    <row r="256">
      <c r="B256" s="143"/>
      <c r="H256" s="143"/>
      <c r="K256" s="148"/>
      <c r="L256" s="150"/>
      <c r="P256" s="148"/>
      <c r="Q256" s="146"/>
      <c r="Y256" s="148"/>
      <c r="Z256" s="147"/>
      <c r="AF256" s="139"/>
      <c r="AH256" s="148"/>
      <c r="AI256" s="146"/>
    </row>
    <row r="257">
      <c r="B257" s="143"/>
      <c r="H257" s="143"/>
      <c r="K257" s="148"/>
      <c r="L257" s="150"/>
      <c r="P257" s="148"/>
      <c r="Q257" s="146"/>
      <c r="Y257" s="148"/>
      <c r="Z257" s="147"/>
      <c r="AF257" s="139"/>
      <c r="AH257" s="148"/>
      <c r="AI257" s="146"/>
    </row>
    <row r="258">
      <c r="B258" s="143"/>
      <c r="H258" s="143"/>
      <c r="K258" s="148"/>
      <c r="L258" s="150"/>
      <c r="P258" s="148"/>
      <c r="Q258" s="146"/>
      <c r="Y258" s="148"/>
      <c r="Z258" s="147"/>
      <c r="AF258" s="139"/>
      <c r="AH258" s="148"/>
      <c r="AI258" s="146"/>
    </row>
    <row r="259">
      <c r="B259" s="143"/>
      <c r="H259" s="143"/>
      <c r="K259" s="148"/>
      <c r="L259" s="150"/>
      <c r="P259" s="148"/>
      <c r="Q259" s="146"/>
      <c r="Y259" s="148"/>
      <c r="Z259" s="147"/>
      <c r="AF259" s="139"/>
      <c r="AH259" s="148"/>
      <c r="AI259" s="146"/>
    </row>
    <row r="260">
      <c r="B260" s="143"/>
      <c r="H260" s="143"/>
      <c r="K260" s="148"/>
      <c r="L260" s="150"/>
      <c r="P260" s="148"/>
      <c r="Q260" s="146"/>
      <c r="Y260" s="148"/>
      <c r="Z260" s="147"/>
      <c r="AF260" s="139"/>
      <c r="AH260" s="148"/>
      <c r="AI260" s="146"/>
    </row>
    <row r="261">
      <c r="B261" s="143"/>
      <c r="H261" s="143"/>
      <c r="K261" s="148"/>
      <c r="L261" s="150"/>
      <c r="P261" s="148"/>
      <c r="Q261" s="146"/>
      <c r="Y261" s="148"/>
      <c r="Z261" s="147"/>
      <c r="AF261" s="139"/>
      <c r="AH261" s="148"/>
      <c r="AI261" s="146"/>
    </row>
    <row r="262">
      <c r="B262" s="143"/>
      <c r="H262" s="143"/>
      <c r="K262" s="148"/>
      <c r="L262" s="150"/>
      <c r="P262" s="148"/>
      <c r="Q262" s="146"/>
      <c r="Y262" s="148"/>
      <c r="Z262" s="147"/>
      <c r="AF262" s="139"/>
      <c r="AH262" s="148"/>
      <c r="AI262" s="146"/>
    </row>
    <row r="263">
      <c r="B263" s="143"/>
      <c r="H263" s="143"/>
      <c r="K263" s="148"/>
      <c r="L263" s="150"/>
      <c r="P263" s="148"/>
      <c r="Q263" s="146"/>
      <c r="Y263" s="148"/>
      <c r="Z263" s="147"/>
      <c r="AF263" s="139"/>
      <c r="AH263" s="148"/>
      <c r="AI263" s="146"/>
    </row>
    <row r="264">
      <c r="B264" s="143"/>
      <c r="H264" s="143"/>
      <c r="K264" s="148"/>
      <c r="L264" s="150"/>
      <c r="P264" s="148"/>
      <c r="Q264" s="146"/>
      <c r="Y264" s="148"/>
      <c r="Z264" s="147"/>
      <c r="AF264" s="139"/>
      <c r="AH264" s="148"/>
      <c r="AI264" s="146"/>
    </row>
    <row r="265">
      <c r="B265" s="143"/>
      <c r="H265" s="143"/>
      <c r="K265" s="148"/>
      <c r="L265" s="150"/>
      <c r="P265" s="148"/>
      <c r="Q265" s="146"/>
      <c r="Y265" s="148"/>
      <c r="Z265" s="147"/>
      <c r="AF265" s="139"/>
      <c r="AH265" s="148"/>
      <c r="AI265" s="146"/>
    </row>
    <row r="266">
      <c r="B266" s="143"/>
      <c r="H266" s="143"/>
      <c r="K266" s="148"/>
      <c r="L266" s="150"/>
      <c r="P266" s="148"/>
      <c r="Q266" s="146"/>
      <c r="Y266" s="148"/>
      <c r="Z266" s="147"/>
      <c r="AF266" s="139"/>
      <c r="AH266" s="148"/>
      <c r="AI266" s="146"/>
    </row>
    <row r="267">
      <c r="B267" s="143"/>
      <c r="H267" s="143"/>
      <c r="K267" s="148"/>
      <c r="L267" s="150"/>
      <c r="P267" s="148"/>
      <c r="Q267" s="146"/>
      <c r="Y267" s="148"/>
      <c r="Z267" s="147"/>
      <c r="AF267" s="139"/>
      <c r="AH267" s="148"/>
      <c r="AI267" s="146"/>
    </row>
    <row r="268">
      <c r="B268" s="143"/>
      <c r="H268" s="143"/>
      <c r="K268" s="148"/>
      <c r="L268" s="150"/>
      <c r="P268" s="148"/>
      <c r="Q268" s="146"/>
      <c r="Y268" s="148"/>
      <c r="Z268" s="147"/>
      <c r="AF268" s="139"/>
      <c r="AH268" s="148"/>
      <c r="AI268" s="146"/>
    </row>
    <row r="269">
      <c r="B269" s="143"/>
      <c r="H269" s="143"/>
      <c r="K269" s="148"/>
      <c r="L269" s="150"/>
      <c r="P269" s="148"/>
      <c r="Q269" s="146"/>
      <c r="Y269" s="148"/>
      <c r="Z269" s="147"/>
      <c r="AF269" s="139"/>
      <c r="AH269" s="148"/>
      <c r="AI269" s="146"/>
    </row>
    <row r="270">
      <c r="B270" s="143"/>
      <c r="H270" s="143"/>
      <c r="K270" s="148"/>
      <c r="L270" s="150"/>
      <c r="P270" s="148"/>
      <c r="Q270" s="146"/>
      <c r="Y270" s="148"/>
      <c r="Z270" s="147"/>
      <c r="AF270" s="139"/>
      <c r="AH270" s="148"/>
      <c r="AI270" s="146"/>
    </row>
    <row r="271">
      <c r="B271" s="143"/>
      <c r="H271" s="143"/>
      <c r="K271" s="148"/>
      <c r="L271" s="150"/>
      <c r="P271" s="148"/>
      <c r="Q271" s="146"/>
      <c r="Y271" s="148"/>
      <c r="Z271" s="147"/>
      <c r="AF271" s="139"/>
      <c r="AH271" s="148"/>
      <c r="AI271" s="146"/>
    </row>
    <row r="272">
      <c r="B272" s="143"/>
      <c r="H272" s="143"/>
      <c r="K272" s="148"/>
      <c r="L272" s="150"/>
      <c r="P272" s="148"/>
      <c r="Q272" s="146"/>
      <c r="Y272" s="148"/>
      <c r="Z272" s="147"/>
      <c r="AF272" s="139"/>
      <c r="AH272" s="148"/>
      <c r="AI272" s="146"/>
    </row>
    <row r="273">
      <c r="B273" s="143"/>
      <c r="H273" s="143"/>
      <c r="K273" s="148"/>
      <c r="L273" s="150"/>
      <c r="P273" s="148"/>
      <c r="Q273" s="146"/>
      <c r="Y273" s="148"/>
      <c r="Z273" s="147"/>
      <c r="AF273" s="139"/>
      <c r="AH273" s="148"/>
      <c r="AI273" s="146"/>
    </row>
    <row r="274">
      <c r="B274" s="143"/>
      <c r="H274" s="143"/>
      <c r="K274" s="148"/>
      <c r="L274" s="150"/>
      <c r="P274" s="148"/>
      <c r="Q274" s="146"/>
      <c r="Y274" s="148"/>
      <c r="Z274" s="147"/>
      <c r="AF274" s="139"/>
      <c r="AH274" s="148"/>
      <c r="AI274" s="146"/>
    </row>
    <row r="275">
      <c r="B275" s="143"/>
      <c r="H275" s="143"/>
      <c r="K275" s="148"/>
      <c r="L275" s="150"/>
      <c r="P275" s="148"/>
      <c r="Q275" s="146"/>
      <c r="Y275" s="148"/>
      <c r="Z275" s="147"/>
      <c r="AF275" s="139"/>
      <c r="AH275" s="148"/>
      <c r="AI275" s="146"/>
    </row>
    <row r="276">
      <c r="B276" s="143"/>
      <c r="H276" s="143"/>
      <c r="K276" s="148"/>
      <c r="L276" s="150"/>
      <c r="P276" s="148"/>
      <c r="Q276" s="146"/>
      <c r="Y276" s="148"/>
      <c r="Z276" s="147"/>
      <c r="AF276" s="139"/>
      <c r="AH276" s="148"/>
      <c r="AI276" s="146"/>
    </row>
    <row r="277">
      <c r="B277" s="143"/>
      <c r="H277" s="143"/>
      <c r="K277" s="148"/>
      <c r="L277" s="150"/>
      <c r="P277" s="148"/>
      <c r="Q277" s="146"/>
      <c r="Y277" s="148"/>
      <c r="Z277" s="147"/>
      <c r="AF277" s="139"/>
      <c r="AH277" s="148"/>
      <c r="AI277" s="146"/>
    </row>
    <row r="278">
      <c r="B278" s="143"/>
      <c r="H278" s="143"/>
      <c r="K278" s="148"/>
      <c r="L278" s="150"/>
      <c r="P278" s="148"/>
      <c r="Q278" s="146"/>
      <c r="Y278" s="148"/>
      <c r="Z278" s="147"/>
      <c r="AF278" s="139"/>
      <c r="AH278" s="148"/>
      <c r="AI278" s="146"/>
    </row>
    <row r="279">
      <c r="B279" s="143"/>
      <c r="H279" s="143"/>
      <c r="K279" s="148"/>
      <c r="L279" s="150"/>
      <c r="P279" s="148"/>
      <c r="Q279" s="146"/>
      <c r="Y279" s="148"/>
      <c r="Z279" s="147"/>
      <c r="AF279" s="139"/>
      <c r="AH279" s="148"/>
      <c r="AI279" s="146"/>
    </row>
    <row r="280">
      <c r="B280" s="143"/>
      <c r="H280" s="143"/>
      <c r="K280" s="148"/>
      <c r="L280" s="150"/>
      <c r="P280" s="148"/>
      <c r="Q280" s="146"/>
      <c r="Y280" s="148"/>
      <c r="Z280" s="147"/>
      <c r="AF280" s="139"/>
      <c r="AH280" s="148"/>
      <c r="AI280" s="146"/>
    </row>
    <row r="281">
      <c r="B281" s="143"/>
      <c r="H281" s="143"/>
      <c r="K281" s="148"/>
      <c r="L281" s="150"/>
      <c r="P281" s="148"/>
      <c r="Q281" s="146"/>
      <c r="Y281" s="148"/>
      <c r="Z281" s="147"/>
      <c r="AF281" s="139"/>
      <c r="AH281" s="148"/>
      <c r="AI281" s="146"/>
    </row>
    <row r="282">
      <c r="B282" s="143"/>
      <c r="H282" s="143"/>
      <c r="K282" s="148"/>
      <c r="L282" s="150"/>
      <c r="P282" s="148"/>
      <c r="Q282" s="146"/>
      <c r="Y282" s="148"/>
      <c r="Z282" s="147"/>
      <c r="AF282" s="139"/>
      <c r="AH282" s="148"/>
      <c r="AI282" s="146"/>
    </row>
    <row r="283">
      <c r="B283" s="143"/>
      <c r="H283" s="143"/>
      <c r="K283" s="148"/>
      <c r="L283" s="150"/>
      <c r="P283" s="148"/>
      <c r="Q283" s="146"/>
      <c r="Y283" s="148"/>
      <c r="Z283" s="147"/>
      <c r="AF283" s="139"/>
      <c r="AH283" s="148"/>
      <c r="AI283" s="146"/>
    </row>
    <row r="284">
      <c r="B284" s="143"/>
      <c r="H284" s="143"/>
      <c r="K284" s="148"/>
      <c r="L284" s="150"/>
      <c r="P284" s="148"/>
      <c r="Q284" s="146"/>
      <c r="Y284" s="148"/>
      <c r="Z284" s="147"/>
      <c r="AF284" s="139"/>
      <c r="AH284" s="148"/>
      <c r="AI284" s="146"/>
    </row>
    <row r="285">
      <c r="B285" s="143"/>
      <c r="H285" s="143"/>
      <c r="K285" s="148"/>
      <c r="L285" s="150"/>
      <c r="P285" s="148"/>
      <c r="Q285" s="146"/>
      <c r="Y285" s="148"/>
      <c r="Z285" s="147"/>
      <c r="AF285" s="139"/>
      <c r="AH285" s="148"/>
      <c r="AI285" s="146"/>
    </row>
    <row r="286">
      <c r="B286" s="143"/>
      <c r="H286" s="143"/>
      <c r="K286" s="148"/>
      <c r="L286" s="150"/>
      <c r="P286" s="148"/>
      <c r="Q286" s="146"/>
      <c r="Y286" s="148"/>
      <c r="Z286" s="147"/>
      <c r="AF286" s="139"/>
      <c r="AH286" s="148"/>
      <c r="AI286" s="146"/>
    </row>
    <row r="287">
      <c r="B287" s="143"/>
      <c r="H287" s="143"/>
      <c r="K287" s="148"/>
      <c r="L287" s="150"/>
      <c r="P287" s="148"/>
      <c r="Q287" s="146"/>
      <c r="Y287" s="148"/>
      <c r="Z287" s="147"/>
      <c r="AF287" s="139"/>
      <c r="AH287" s="148"/>
      <c r="AI287" s="146"/>
    </row>
    <row r="288">
      <c r="B288" s="143"/>
      <c r="H288" s="143"/>
      <c r="K288" s="148"/>
      <c r="L288" s="150"/>
      <c r="P288" s="148"/>
      <c r="Q288" s="146"/>
      <c r="Y288" s="148"/>
      <c r="Z288" s="147"/>
      <c r="AF288" s="139"/>
      <c r="AH288" s="148"/>
      <c r="AI288" s="146"/>
    </row>
    <row r="289">
      <c r="B289" s="143"/>
      <c r="H289" s="143"/>
      <c r="K289" s="148"/>
      <c r="L289" s="150"/>
      <c r="P289" s="148"/>
      <c r="Q289" s="146"/>
      <c r="Y289" s="148"/>
      <c r="Z289" s="147"/>
      <c r="AF289" s="139"/>
      <c r="AH289" s="148"/>
      <c r="AI289" s="146"/>
    </row>
    <row r="290">
      <c r="B290" s="143"/>
      <c r="H290" s="143"/>
      <c r="K290" s="148"/>
      <c r="L290" s="150"/>
      <c r="P290" s="148"/>
      <c r="Q290" s="146"/>
      <c r="Y290" s="148"/>
      <c r="Z290" s="147"/>
      <c r="AF290" s="139"/>
      <c r="AH290" s="148"/>
      <c r="AI290" s="146"/>
    </row>
    <row r="291">
      <c r="B291" s="143"/>
      <c r="H291" s="143"/>
      <c r="K291" s="148"/>
      <c r="L291" s="150"/>
      <c r="P291" s="148"/>
      <c r="Q291" s="146"/>
      <c r="Y291" s="148"/>
      <c r="Z291" s="147"/>
      <c r="AF291" s="139"/>
      <c r="AH291" s="148"/>
      <c r="AI291" s="146"/>
    </row>
    <row r="292">
      <c r="B292" s="143"/>
      <c r="H292" s="143"/>
      <c r="K292" s="148"/>
      <c r="L292" s="150"/>
      <c r="P292" s="148"/>
      <c r="Q292" s="146"/>
      <c r="Y292" s="148"/>
      <c r="Z292" s="147"/>
      <c r="AF292" s="139"/>
      <c r="AH292" s="148"/>
      <c r="AI292" s="146"/>
    </row>
    <row r="293">
      <c r="B293" s="143"/>
      <c r="H293" s="143"/>
      <c r="K293" s="148"/>
      <c r="L293" s="150"/>
      <c r="P293" s="148"/>
      <c r="Q293" s="146"/>
      <c r="Y293" s="148"/>
      <c r="Z293" s="147"/>
      <c r="AF293" s="139"/>
      <c r="AH293" s="148"/>
      <c r="AI293" s="146"/>
    </row>
    <row r="294">
      <c r="B294" s="143"/>
      <c r="H294" s="143"/>
      <c r="K294" s="148"/>
      <c r="L294" s="150"/>
      <c r="P294" s="148"/>
      <c r="Q294" s="146"/>
      <c r="Y294" s="148"/>
      <c r="Z294" s="147"/>
      <c r="AF294" s="139"/>
      <c r="AH294" s="148"/>
      <c r="AI294" s="146"/>
    </row>
    <row r="295">
      <c r="B295" s="143"/>
      <c r="H295" s="143"/>
      <c r="K295" s="148"/>
      <c r="L295" s="150"/>
      <c r="P295" s="148"/>
      <c r="Q295" s="146"/>
      <c r="Y295" s="148"/>
      <c r="Z295" s="147"/>
      <c r="AF295" s="139"/>
      <c r="AH295" s="148"/>
      <c r="AI295" s="146"/>
    </row>
    <row r="296">
      <c r="B296" s="143"/>
      <c r="H296" s="143"/>
      <c r="K296" s="148"/>
      <c r="L296" s="150"/>
      <c r="P296" s="148"/>
      <c r="Q296" s="146"/>
      <c r="Y296" s="148"/>
      <c r="Z296" s="147"/>
      <c r="AF296" s="139"/>
      <c r="AH296" s="148"/>
      <c r="AI296" s="146"/>
    </row>
    <row r="297">
      <c r="B297" s="143"/>
      <c r="H297" s="143"/>
      <c r="K297" s="148"/>
      <c r="L297" s="150"/>
      <c r="P297" s="148"/>
      <c r="Q297" s="146"/>
      <c r="Y297" s="148"/>
      <c r="Z297" s="147"/>
      <c r="AF297" s="139"/>
      <c r="AH297" s="148"/>
      <c r="AI297" s="146"/>
    </row>
    <row r="298">
      <c r="B298" s="143"/>
      <c r="H298" s="143"/>
      <c r="K298" s="148"/>
      <c r="L298" s="150"/>
      <c r="P298" s="148"/>
      <c r="Q298" s="146"/>
      <c r="Y298" s="148"/>
      <c r="Z298" s="147"/>
      <c r="AF298" s="139"/>
      <c r="AH298" s="148"/>
      <c r="AI298" s="146"/>
    </row>
    <row r="299">
      <c r="B299" s="143"/>
      <c r="H299" s="143"/>
      <c r="K299" s="148"/>
      <c r="L299" s="150"/>
      <c r="P299" s="148"/>
      <c r="Q299" s="146"/>
      <c r="Y299" s="148"/>
      <c r="Z299" s="147"/>
      <c r="AF299" s="139"/>
      <c r="AH299" s="148"/>
      <c r="AI299" s="146"/>
    </row>
    <row r="300">
      <c r="B300" s="143"/>
      <c r="H300" s="143"/>
      <c r="K300" s="148"/>
      <c r="L300" s="150"/>
      <c r="P300" s="148"/>
      <c r="Q300" s="146"/>
      <c r="Y300" s="148"/>
      <c r="Z300" s="147"/>
      <c r="AF300" s="139"/>
      <c r="AH300" s="148"/>
      <c r="AI300" s="146"/>
    </row>
    <row r="301">
      <c r="B301" s="143"/>
      <c r="H301" s="143"/>
      <c r="K301" s="148"/>
      <c r="L301" s="150"/>
      <c r="P301" s="148"/>
      <c r="Q301" s="146"/>
      <c r="Y301" s="148"/>
      <c r="Z301" s="147"/>
      <c r="AF301" s="139"/>
      <c r="AH301" s="148"/>
      <c r="AI301" s="146"/>
    </row>
    <row r="302">
      <c r="B302" s="143"/>
      <c r="H302" s="143"/>
      <c r="K302" s="148"/>
      <c r="L302" s="150"/>
      <c r="P302" s="148"/>
      <c r="Q302" s="146"/>
      <c r="Y302" s="148"/>
      <c r="Z302" s="147"/>
      <c r="AF302" s="139"/>
      <c r="AH302" s="148"/>
      <c r="AI302" s="146"/>
    </row>
    <row r="303">
      <c r="B303" s="143"/>
      <c r="H303" s="143"/>
      <c r="K303" s="148"/>
      <c r="L303" s="150"/>
      <c r="P303" s="148"/>
      <c r="Q303" s="146"/>
      <c r="Y303" s="148"/>
      <c r="Z303" s="147"/>
      <c r="AF303" s="139"/>
      <c r="AH303" s="148"/>
      <c r="AI303" s="146"/>
    </row>
    <row r="304">
      <c r="B304" s="143"/>
      <c r="H304" s="143"/>
      <c r="K304" s="148"/>
      <c r="L304" s="150"/>
      <c r="P304" s="148"/>
      <c r="Q304" s="146"/>
      <c r="Y304" s="148"/>
      <c r="Z304" s="147"/>
      <c r="AF304" s="139"/>
      <c r="AH304" s="148"/>
      <c r="AI304" s="146"/>
    </row>
    <row r="305">
      <c r="B305" s="143"/>
      <c r="H305" s="143"/>
      <c r="K305" s="148"/>
      <c r="L305" s="150"/>
      <c r="P305" s="148"/>
      <c r="Q305" s="146"/>
      <c r="Y305" s="148"/>
      <c r="Z305" s="147"/>
      <c r="AF305" s="139"/>
      <c r="AH305" s="148"/>
      <c r="AI305" s="146"/>
    </row>
    <row r="306">
      <c r="B306" s="143"/>
      <c r="H306" s="143"/>
      <c r="K306" s="148"/>
      <c r="L306" s="150"/>
      <c r="P306" s="148"/>
      <c r="Q306" s="146"/>
      <c r="Y306" s="148"/>
      <c r="Z306" s="147"/>
      <c r="AF306" s="139"/>
      <c r="AH306" s="148"/>
      <c r="AI306" s="146"/>
    </row>
    <row r="307">
      <c r="B307" s="143"/>
      <c r="H307" s="143"/>
      <c r="K307" s="148"/>
      <c r="L307" s="150"/>
      <c r="P307" s="148"/>
      <c r="Q307" s="146"/>
      <c r="Y307" s="148"/>
      <c r="Z307" s="147"/>
      <c r="AF307" s="139"/>
      <c r="AH307" s="148"/>
      <c r="AI307" s="146"/>
    </row>
    <row r="308">
      <c r="B308" s="143"/>
      <c r="H308" s="143"/>
      <c r="K308" s="148"/>
      <c r="L308" s="150"/>
      <c r="P308" s="148"/>
      <c r="Q308" s="146"/>
      <c r="Y308" s="148"/>
      <c r="Z308" s="147"/>
      <c r="AF308" s="139"/>
      <c r="AH308" s="148"/>
      <c r="AI308" s="146"/>
    </row>
    <row r="309">
      <c r="B309" s="143"/>
      <c r="H309" s="143"/>
      <c r="K309" s="148"/>
      <c r="L309" s="150"/>
      <c r="P309" s="148"/>
      <c r="Q309" s="146"/>
      <c r="Y309" s="148"/>
      <c r="Z309" s="147"/>
      <c r="AF309" s="139"/>
      <c r="AH309" s="148"/>
      <c r="AI309" s="146"/>
    </row>
    <row r="310">
      <c r="B310" s="143"/>
      <c r="H310" s="143"/>
      <c r="K310" s="148"/>
      <c r="L310" s="150"/>
      <c r="P310" s="148"/>
      <c r="Q310" s="146"/>
      <c r="Y310" s="148"/>
      <c r="Z310" s="147"/>
      <c r="AF310" s="139"/>
      <c r="AH310" s="148"/>
      <c r="AI310" s="146"/>
    </row>
    <row r="311">
      <c r="B311" s="143"/>
      <c r="H311" s="143"/>
      <c r="K311" s="148"/>
      <c r="L311" s="150"/>
      <c r="P311" s="148"/>
      <c r="Q311" s="146"/>
      <c r="Y311" s="148"/>
      <c r="Z311" s="147"/>
      <c r="AF311" s="139"/>
      <c r="AH311" s="148"/>
      <c r="AI311" s="146"/>
    </row>
    <row r="312">
      <c r="B312" s="143"/>
      <c r="H312" s="143"/>
      <c r="K312" s="148"/>
      <c r="L312" s="150"/>
      <c r="P312" s="148"/>
      <c r="Q312" s="146"/>
      <c r="Y312" s="148"/>
      <c r="Z312" s="147"/>
      <c r="AF312" s="139"/>
      <c r="AH312" s="148"/>
      <c r="AI312" s="146"/>
    </row>
    <row r="313">
      <c r="B313" s="143"/>
      <c r="H313" s="143"/>
      <c r="K313" s="148"/>
      <c r="L313" s="150"/>
      <c r="P313" s="148"/>
      <c r="Q313" s="146"/>
      <c r="Y313" s="148"/>
      <c r="Z313" s="147"/>
      <c r="AF313" s="139"/>
      <c r="AH313" s="148"/>
      <c r="AI313" s="146"/>
    </row>
    <row r="314">
      <c r="B314" s="143"/>
      <c r="H314" s="143"/>
      <c r="K314" s="148"/>
      <c r="L314" s="150"/>
      <c r="P314" s="148"/>
      <c r="Q314" s="146"/>
      <c r="Y314" s="148"/>
      <c r="Z314" s="147"/>
      <c r="AF314" s="139"/>
      <c r="AH314" s="148"/>
      <c r="AI314" s="146"/>
    </row>
    <row r="315">
      <c r="B315" s="143"/>
      <c r="H315" s="143"/>
      <c r="K315" s="148"/>
      <c r="L315" s="150"/>
      <c r="P315" s="148"/>
      <c r="Q315" s="146"/>
      <c r="Y315" s="148"/>
      <c r="Z315" s="147"/>
      <c r="AF315" s="139"/>
      <c r="AH315" s="148"/>
      <c r="AI315" s="146"/>
    </row>
    <row r="316">
      <c r="B316" s="143"/>
      <c r="H316" s="143"/>
      <c r="K316" s="148"/>
      <c r="L316" s="150"/>
      <c r="P316" s="148"/>
      <c r="Q316" s="146"/>
      <c r="Y316" s="148"/>
      <c r="Z316" s="147"/>
      <c r="AF316" s="139"/>
      <c r="AH316" s="148"/>
      <c r="AI316" s="146"/>
    </row>
    <row r="317">
      <c r="B317" s="143"/>
      <c r="H317" s="143"/>
      <c r="K317" s="148"/>
      <c r="L317" s="150"/>
      <c r="P317" s="148"/>
      <c r="Q317" s="146"/>
      <c r="Y317" s="148"/>
      <c r="Z317" s="147"/>
      <c r="AF317" s="139"/>
      <c r="AH317" s="148"/>
      <c r="AI317" s="146"/>
    </row>
    <row r="318">
      <c r="B318" s="143"/>
      <c r="H318" s="143"/>
      <c r="K318" s="148"/>
      <c r="L318" s="150"/>
      <c r="P318" s="148"/>
      <c r="Q318" s="146"/>
      <c r="Y318" s="148"/>
      <c r="Z318" s="147"/>
      <c r="AF318" s="139"/>
      <c r="AH318" s="148"/>
      <c r="AI318" s="146"/>
    </row>
    <row r="319">
      <c r="B319" s="143"/>
      <c r="H319" s="143"/>
      <c r="K319" s="148"/>
      <c r="L319" s="150"/>
      <c r="P319" s="148"/>
      <c r="Q319" s="146"/>
      <c r="Y319" s="148"/>
      <c r="Z319" s="147"/>
      <c r="AF319" s="139"/>
      <c r="AH319" s="148"/>
      <c r="AI319" s="146"/>
    </row>
    <row r="320">
      <c r="B320" s="143"/>
      <c r="H320" s="143"/>
      <c r="K320" s="148"/>
      <c r="L320" s="150"/>
      <c r="P320" s="148"/>
      <c r="Q320" s="146"/>
      <c r="Y320" s="148"/>
      <c r="Z320" s="147"/>
      <c r="AF320" s="139"/>
      <c r="AH320" s="148"/>
      <c r="AI320" s="146"/>
    </row>
    <row r="321">
      <c r="B321" s="143"/>
      <c r="H321" s="143"/>
      <c r="K321" s="148"/>
      <c r="L321" s="150"/>
      <c r="P321" s="148"/>
      <c r="Q321" s="146"/>
      <c r="Y321" s="148"/>
      <c r="Z321" s="147"/>
      <c r="AF321" s="139"/>
      <c r="AH321" s="148"/>
      <c r="AI321" s="146"/>
    </row>
    <row r="322">
      <c r="B322" s="143"/>
      <c r="H322" s="143"/>
      <c r="K322" s="148"/>
      <c r="L322" s="150"/>
      <c r="P322" s="148"/>
      <c r="Q322" s="146"/>
      <c r="Y322" s="148"/>
      <c r="Z322" s="147"/>
      <c r="AF322" s="139"/>
      <c r="AH322" s="148"/>
      <c r="AI322" s="146"/>
    </row>
    <row r="323">
      <c r="B323" s="143"/>
      <c r="H323" s="143"/>
      <c r="K323" s="148"/>
      <c r="L323" s="150"/>
      <c r="P323" s="148"/>
      <c r="Q323" s="146"/>
      <c r="Y323" s="148"/>
      <c r="Z323" s="147"/>
      <c r="AF323" s="139"/>
      <c r="AH323" s="148"/>
      <c r="AI323" s="146"/>
    </row>
    <row r="324">
      <c r="B324" s="143"/>
      <c r="H324" s="143"/>
      <c r="K324" s="148"/>
      <c r="L324" s="150"/>
      <c r="P324" s="148"/>
      <c r="Q324" s="146"/>
      <c r="Y324" s="148"/>
      <c r="Z324" s="147"/>
      <c r="AF324" s="139"/>
      <c r="AH324" s="148"/>
      <c r="AI324" s="146"/>
    </row>
    <row r="325">
      <c r="B325" s="143"/>
      <c r="H325" s="143"/>
      <c r="K325" s="148"/>
      <c r="L325" s="150"/>
      <c r="P325" s="148"/>
      <c r="Q325" s="146"/>
      <c r="Y325" s="148"/>
      <c r="Z325" s="147"/>
      <c r="AF325" s="139"/>
      <c r="AH325" s="148"/>
      <c r="AI325" s="146"/>
    </row>
    <row r="326">
      <c r="B326" s="143"/>
      <c r="H326" s="143"/>
      <c r="K326" s="148"/>
      <c r="L326" s="150"/>
      <c r="P326" s="148"/>
      <c r="Q326" s="146"/>
      <c r="Y326" s="148"/>
      <c r="Z326" s="147"/>
      <c r="AF326" s="139"/>
      <c r="AH326" s="148"/>
      <c r="AI326" s="146"/>
    </row>
    <row r="327">
      <c r="B327" s="143"/>
      <c r="H327" s="143"/>
      <c r="K327" s="148"/>
      <c r="L327" s="150"/>
      <c r="P327" s="148"/>
      <c r="Q327" s="146"/>
      <c r="Y327" s="148"/>
      <c r="Z327" s="147"/>
      <c r="AF327" s="139"/>
      <c r="AH327" s="148"/>
      <c r="AI327" s="146"/>
    </row>
    <row r="328">
      <c r="B328" s="143"/>
      <c r="H328" s="143"/>
      <c r="K328" s="148"/>
      <c r="L328" s="150"/>
      <c r="P328" s="148"/>
      <c r="Q328" s="146"/>
      <c r="Y328" s="148"/>
      <c r="Z328" s="147"/>
      <c r="AF328" s="139"/>
      <c r="AH328" s="148"/>
      <c r="AI328" s="146"/>
    </row>
    <row r="329">
      <c r="B329" s="143"/>
      <c r="H329" s="143"/>
      <c r="K329" s="148"/>
      <c r="L329" s="150"/>
      <c r="P329" s="148"/>
      <c r="Q329" s="146"/>
      <c r="Y329" s="148"/>
      <c r="Z329" s="147"/>
      <c r="AF329" s="139"/>
      <c r="AH329" s="148"/>
      <c r="AI329" s="146"/>
    </row>
    <row r="330">
      <c r="B330" s="143"/>
      <c r="H330" s="143"/>
      <c r="K330" s="148"/>
      <c r="L330" s="150"/>
      <c r="P330" s="148"/>
      <c r="Q330" s="146"/>
      <c r="Y330" s="148"/>
      <c r="Z330" s="147"/>
      <c r="AF330" s="139"/>
      <c r="AH330" s="148"/>
      <c r="AI330" s="146"/>
    </row>
    <row r="331">
      <c r="B331" s="143"/>
      <c r="H331" s="143"/>
      <c r="K331" s="148"/>
      <c r="L331" s="150"/>
      <c r="P331" s="148"/>
      <c r="Q331" s="146"/>
      <c r="Y331" s="148"/>
      <c r="Z331" s="147"/>
      <c r="AF331" s="139"/>
      <c r="AH331" s="148"/>
      <c r="AI331" s="146"/>
    </row>
    <row r="332">
      <c r="B332" s="143"/>
      <c r="H332" s="143"/>
      <c r="K332" s="148"/>
      <c r="L332" s="150"/>
      <c r="P332" s="148"/>
      <c r="Q332" s="146"/>
      <c r="Y332" s="148"/>
      <c r="Z332" s="147"/>
      <c r="AF332" s="139"/>
      <c r="AH332" s="148"/>
      <c r="AI332" s="146"/>
    </row>
    <row r="333">
      <c r="B333" s="143"/>
      <c r="H333" s="143"/>
      <c r="K333" s="148"/>
      <c r="L333" s="150"/>
      <c r="P333" s="148"/>
      <c r="Q333" s="146"/>
      <c r="Y333" s="148"/>
      <c r="Z333" s="147"/>
      <c r="AF333" s="139"/>
      <c r="AH333" s="148"/>
      <c r="AI333" s="146"/>
    </row>
    <row r="334">
      <c r="B334" s="143"/>
      <c r="H334" s="143"/>
      <c r="K334" s="148"/>
      <c r="L334" s="150"/>
      <c r="P334" s="148"/>
      <c r="Q334" s="146"/>
      <c r="Y334" s="148"/>
      <c r="Z334" s="147"/>
      <c r="AF334" s="139"/>
      <c r="AH334" s="148"/>
      <c r="AI334" s="146"/>
    </row>
    <row r="335">
      <c r="B335" s="143"/>
      <c r="H335" s="143"/>
      <c r="K335" s="148"/>
      <c r="L335" s="150"/>
      <c r="P335" s="148"/>
      <c r="Q335" s="146"/>
      <c r="Y335" s="148"/>
      <c r="Z335" s="147"/>
      <c r="AF335" s="139"/>
      <c r="AH335" s="148"/>
      <c r="AI335" s="146"/>
    </row>
    <row r="336">
      <c r="B336" s="143"/>
      <c r="H336" s="143"/>
      <c r="K336" s="148"/>
      <c r="L336" s="150"/>
      <c r="P336" s="148"/>
      <c r="Q336" s="146"/>
      <c r="Y336" s="148"/>
      <c r="Z336" s="147"/>
      <c r="AF336" s="139"/>
      <c r="AH336" s="148"/>
      <c r="AI336" s="146"/>
    </row>
    <row r="337">
      <c r="B337" s="143"/>
      <c r="H337" s="143"/>
      <c r="K337" s="148"/>
      <c r="L337" s="150"/>
      <c r="P337" s="148"/>
      <c r="Q337" s="146"/>
      <c r="Y337" s="148"/>
      <c r="Z337" s="147"/>
      <c r="AF337" s="139"/>
      <c r="AH337" s="148"/>
      <c r="AI337" s="146"/>
    </row>
    <row r="338">
      <c r="B338" s="143"/>
      <c r="H338" s="143"/>
      <c r="K338" s="148"/>
      <c r="L338" s="150"/>
      <c r="P338" s="148"/>
      <c r="Q338" s="146"/>
      <c r="Y338" s="148"/>
      <c r="Z338" s="147"/>
      <c r="AF338" s="139"/>
      <c r="AH338" s="148"/>
      <c r="AI338" s="146"/>
    </row>
    <row r="339">
      <c r="B339" s="143"/>
      <c r="H339" s="143"/>
      <c r="K339" s="148"/>
      <c r="L339" s="150"/>
      <c r="P339" s="148"/>
      <c r="Q339" s="146"/>
      <c r="Y339" s="148"/>
      <c r="Z339" s="147"/>
      <c r="AF339" s="139"/>
      <c r="AH339" s="148"/>
      <c r="AI339" s="146"/>
    </row>
    <row r="340">
      <c r="B340" s="143"/>
      <c r="H340" s="143"/>
      <c r="K340" s="148"/>
      <c r="L340" s="150"/>
      <c r="P340" s="148"/>
      <c r="Q340" s="146"/>
      <c r="Y340" s="148"/>
      <c r="Z340" s="147"/>
      <c r="AF340" s="139"/>
      <c r="AH340" s="148"/>
      <c r="AI340" s="146"/>
    </row>
    <row r="341">
      <c r="B341" s="143"/>
      <c r="H341" s="143"/>
      <c r="K341" s="148"/>
      <c r="L341" s="150"/>
      <c r="P341" s="148"/>
      <c r="Q341" s="146"/>
      <c r="Y341" s="148"/>
      <c r="Z341" s="147"/>
      <c r="AF341" s="139"/>
      <c r="AH341" s="148"/>
      <c r="AI341" s="146"/>
    </row>
    <row r="342">
      <c r="B342" s="143"/>
      <c r="H342" s="143"/>
      <c r="K342" s="148"/>
      <c r="L342" s="150"/>
      <c r="P342" s="148"/>
      <c r="Q342" s="146"/>
      <c r="Y342" s="148"/>
      <c r="Z342" s="147"/>
      <c r="AF342" s="139"/>
      <c r="AH342" s="148"/>
      <c r="AI342" s="146"/>
    </row>
    <row r="343">
      <c r="B343" s="143"/>
      <c r="H343" s="143"/>
      <c r="K343" s="148"/>
      <c r="L343" s="150"/>
      <c r="P343" s="148"/>
      <c r="Q343" s="146"/>
      <c r="Y343" s="148"/>
      <c r="Z343" s="147"/>
      <c r="AF343" s="139"/>
      <c r="AH343" s="148"/>
      <c r="AI343" s="146"/>
    </row>
    <row r="344">
      <c r="B344" s="143"/>
      <c r="H344" s="143"/>
      <c r="K344" s="148"/>
      <c r="L344" s="150"/>
      <c r="P344" s="148"/>
      <c r="Q344" s="146"/>
      <c r="Y344" s="148"/>
      <c r="Z344" s="147"/>
      <c r="AF344" s="139"/>
      <c r="AH344" s="148"/>
      <c r="AI344" s="146"/>
    </row>
    <row r="345">
      <c r="B345" s="143"/>
      <c r="H345" s="143"/>
      <c r="K345" s="148"/>
      <c r="L345" s="150"/>
      <c r="P345" s="148"/>
      <c r="Q345" s="146"/>
      <c r="Y345" s="148"/>
      <c r="Z345" s="147"/>
      <c r="AF345" s="139"/>
      <c r="AH345" s="148"/>
      <c r="AI345" s="146"/>
    </row>
    <row r="346">
      <c r="B346" s="143"/>
      <c r="H346" s="143"/>
      <c r="K346" s="148"/>
      <c r="L346" s="150"/>
      <c r="P346" s="148"/>
      <c r="Q346" s="146"/>
      <c r="Y346" s="148"/>
      <c r="Z346" s="147"/>
      <c r="AF346" s="139"/>
      <c r="AH346" s="148"/>
      <c r="AI346" s="146"/>
    </row>
    <row r="347">
      <c r="B347" s="143"/>
      <c r="H347" s="143"/>
      <c r="K347" s="148"/>
      <c r="L347" s="150"/>
      <c r="P347" s="148"/>
      <c r="Q347" s="146"/>
      <c r="Y347" s="148"/>
      <c r="Z347" s="147"/>
      <c r="AF347" s="139"/>
      <c r="AH347" s="148"/>
      <c r="AI347" s="146"/>
    </row>
    <row r="348">
      <c r="B348" s="143"/>
      <c r="H348" s="143"/>
      <c r="K348" s="148"/>
      <c r="L348" s="150"/>
      <c r="P348" s="148"/>
      <c r="Q348" s="146"/>
      <c r="Y348" s="148"/>
      <c r="Z348" s="147"/>
      <c r="AF348" s="139"/>
      <c r="AH348" s="148"/>
      <c r="AI348" s="146"/>
    </row>
    <row r="349">
      <c r="B349" s="143"/>
      <c r="H349" s="143"/>
      <c r="K349" s="148"/>
      <c r="L349" s="150"/>
      <c r="P349" s="148"/>
      <c r="Q349" s="146"/>
      <c r="Y349" s="148"/>
      <c r="Z349" s="147"/>
      <c r="AF349" s="139"/>
      <c r="AH349" s="148"/>
      <c r="AI349" s="146"/>
    </row>
    <row r="350">
      <c r="B350" s="143"/>
      <c r="H350" s="143"/>
      <c r="K350" s="148"/>
      <c r="L350" s="150"/>
      <c r="P350" s="148"/>
      <c r="Q350" s="146"/>
      <c r="Y350" s="148"/>
      <c r="Z350" s="147"/>
      <c r="AF350" s="139"/>
      <c r="AH350" s="148"/>
      <c r="AI350" s="146"/>
    </row>
    <row r="351">
      <c r="B351" s="143"/>
      <c r="H351" s="143"/>
      <c r="K351" s="148"/>
      <c r="L351" s="150"/>
      <c r="P351" s="148"/>
      <c r="Q351" s="146"/>
      <c r="Y351" s="148"/>
      <c r="Z351" s="147"/>
      <c r="AF351" s="139"/>
      <c r="AH351" s="148"/>
      <c r="AI351" s="146"/>
    </row>
    <row r="352">
      <c r="B352" s="143"/>
      <c r="H352" s="143"/>
      <c r="K352" s="148"/>
      <c r="L352" s="150"/>
      <c r="P352" s="148"/>
      <c r="Q352" s="146"/>
      <c r="Y352" s="148"/>
      <c r="Z352" s="147"/>
      <c r="AF352" s="139"/>
      <c r="AH352" s="148"/>
      <c r="AI352" s="146"/>
    </row>
    <row r="353">
      <c r="B353" s="143"/>
      <c r="H353" s="143"/>
      <c r="K353" s="148"/>
      <c r="L353" s="150"/>
      <c r="P353" s="148"/>
      <c r="Q353" s="146"/>
      <c r="Y353" s="148"/>
      <c r="Z353" s="147"/>
      <c r="AF353" s="139"/>
      <c r="AH353" s="148"/>
      <c r="AI353" s="146"/>
    </row>
    <row r="354">
      <c r="B354" s="143"/>
      <c r="H354" s="143"/>
      <c r="K354" s="148"/>
      <c r="L354" s="150"/>
      <c r="P354" s="148"/>
      <c r="Q354" s="146"/>
      <c r="Y354" s="148"/>
      <c r="Z354" s="147"/>
      <c r="AF354" s="139"/>
      <c r="AH354" s="148"/>
      <c r="AI354" s="146"/>
    </row>
    <row r="355">
      <c r="B355" s="143"/>
      <c r="H355" s="143"/>
      <c r="K355" s="148"/>
      <c r="L355" s="150"/>
      <c r="P355" s="148"/>
      <c r="Q355" s="146"/>
      <c r="Y355" s="148"/>
      <c r="Z355" s="147"/>
      <c r="AF355" s="139"/>
      <c r="AH355" s="148"/>
      <c r="AI355" s="146"/>
    </row>
    <row r="356">
      <c r="B356" s="143"/>
      <c r="H356" s="143"/>
      <c r="K356" s="148"/>
      <c r="L356" s="150"/>
      <c r="P356" s="148"/>
      <c r="Q356" s="146"/>
      <c r="Y356" s="148"/>
      <c r="Z356" s="147"/>
      <c r="AF356" s="139"/>
      <c r="AH356" s="148"/>
      <c r="AI356" s="146"/>
    </row>
    <row r="357">
      <c r="B357" s="143"/>
      <c r="H357" s="143"/>
      <c r="K357" s="148"/>
      <c r="L357" s="150"/>
      <c r="P357" s="148"/>
      <c r="Q357" s="146"/>
      <c r="Y357" s="148"/>
      <c r="Z357" s="147"/>
      <c r="AF357" s="139"/>
      <c r="AH357" s="148"/>
      <c r="AI357" s="146"/>
    </row>
    <row r="358">
      <c r="B358" s="143"/>
      <c r="H358" s="143"/>
      <c r="K358" s="148"/>
      <c r="L358" s="150"/>
      <c r="P358" s="148"/>
      <c r="Q358" s="146"/>
      <c r="Y358" s="148"/>
      <c r="Z358" s="147"/>
      <c r="AF358" s="139"/>
      <c r="AH358" s="148"/>
      <c r="AI358" s="146"/>
    </row>
    <row r="359">
      <c r="B359" s="143"/>
      <c r="H359" s="143"/>
      <c r="K359" s="148"/>
      <c r="L359" s="150"/>
      <c r="P359" s="148"/>
      <c r="Q359" s="146"/>
      <c r="Y359" s="148"/>
      <c r="Z359" s="147"/>
      <c r="AF359" s="139"/>
      <c r="AH359" s="148"/>
      <c r="AI359" s="146"/>
    </row>
    <row r="360">
      <c r="B360" s="143"/>
      <c r="H360" s="143"/>
      <c r="K360" s="148"/>
      <c r="L360" s="150"/>
      <c r="P360" s="148"/>
      <c r="Q360" s="146"/>
      <c r="Y360" s="148"/>
      <c r="Z360" s="147"/>
      <c r="AF360" s="139"/>
      <c r="AH360" s="148"/>
      <c r="AI360" s="146"/>
    </row>
    <row r="361">
      <c r="B361" s="143"/>
      <c r="H361" s="143"/>
      <c r="K361" s="148"/>
      <c r="L361" s="150"/>
      <c r="P361" s="148"/>
      <c r="Q361" s="146"/>
      <c r="Y361" s="148"/>
      <c r="Z361" s="147"/>
      <c r="AF361" s="139"/>
      <c r="AH361" s="148"/>
      <c r="AI361" s="146"/>
    </row>
    <row r="362">
      <c r="B362" s="143"/>
      <c r="H362" s="143"/>
      <c r="K362" s="148"/>
      <c r="L362" s="150"/>
      <c r="P362" s="148"/>
      <c r="Q362" s="146"/>
      <c r="Y362" s="148"/>
      <c r="Z362" s="147"/>
      <c r="AF362" s="139"/>
      <c r="AH362" s="148"/>
      <c r="AI362" s="146"/>
    </row>
    <row r="363">
      <c r="B363" s="143"/>
      <c r="H363" s="143"/>
      <c r="K363" s="148"/>
      <c r="L363" s="150"/>
      <c r="P363" s="148"/>
      <c r="Q363" s="146"/>
      <c r="Y363" s="148"/>
      <c r="Z363" s="147"/>
      <c r="AF363" s="139"/>
      <c r="AH363" s="148"/>
      <c r="AI363" s="146"/>
    </row>
    <row r="364">
      <c r="B364" s="143"/>
      <c r="H364" s="143"/>
      <c r="K364" s="148"/>
      <c r="L364" s="150"/>
      <c r="P364" s="148"/>
      <c r="Q364" s="146"/>
      <c r="Y364" s="148"/>
      <c r="Z364" s="147"/>
      <c r="AF364" s="139"/>
      <c r="AH364" s="148"/>
      <c r="AI364" s="146"/>
    </row>
    <row r="365">
      <c r="B365" s="143"/>
      <c r="H365" s="143"/>
      <c r="K365" s="148"/>
      <c r="L365" s="150"/>
      <c r="P365" s="148"/>
      <c r="Q365" s="146"/>
      <c r="Y365" s="148"/>
      <c r="Z365" s="147"/>
      <c r="AF365" s="139"/>
      <c r="AH365" s="148"/>
      <c r="AI365" s="146"/>
    </row>
    <row r="366">
      <c r="B366" s="143"/>
      <c r="H366" s="143"/>
      <c r="K366" s="148"/>
      <c r="L366" s="150"/>
      <c r="P366" s="148"/>
      <c r="Q366" s="146"/>
      <c r="Y366" s="148"/>
      <c r="Z366" s="147"/>
      <c r="AF366" s="139"/>
      <c r="AH366" s="148"/>
      <c r="AI366" s="146"/>
    </row>
    <row r="367">
      <c r="B367" s="143"/>
      <c r="H367" s="143"/>
      <c r="K367" s="148"/>
      <c r="L367" s="150"/>
      <c r="P367" s="148"/>
      <c r="Q367" s="146"/>
      <c r="Y367" s="148"/>
      <c r="Z367" s="147"/>
      <c r="AF367" s="139"/>
      <c r="AH367" s="148"/>
      <c r="AI367" s="146"/>
    </row>
    <row r="368">
      <c r="B368" s="143"/>
      <c r="H368" s="143"/>
      <c r="K368" s="148"/>
      <c r="L368" s="150"/>
      <c r="P368" s="148"/>
      <c r="Q368" s="146"/>
      <c r="Y368" s="148"/>
      <c r="Z368" s="147"/>
      <c r="AF368" s="139"/>
      <c r="AH368" s="148"/>
      <c r="AI368" s="146"/>
    </row>
    <row r="369">
      <c r="B369" s="143"/>
      <c r="H369" s="143"/>
      <c r="K369" s="148"/>
      <c r="L369" s="150"/>
      <c r="P369" s="148"/>
      <c r="Q369" s="146"/>
      <c r="Y369" s="148"/>
      <c r="Z369" s="147"/>
      <c r="AF369" s="139"/>
      <c r="AH369" s="148"/>
      <c r="AI369" s="146"/>
    </row>
    <row r="370">
      <c r="B370" s="143"/>
      <c r="H370" s="143"/>
      <c r="K370" s="148"/>
      <c r="L370" s="150"/>
      <c r="P370" s="148"/>
      <c r="Q370" s="146"/>
      <c r="Y370" s="148"/>
      <c r="Z370" s="147"/>
      <c r="AF370" s="139"/>
      <c r="AH370" s="148"/>
      <c r="AI370" s="146"/>
    </row>
    <row r="371">
      <c r="B371" s="143"/>
      <c r="H371" s="143"/>
      <c r="K371" s="148"/>
      <c r="L371" s="150"/>
      <c r="P371" s="148"/>
      <c r="Q371" s="146"/>
      <c r="Y371" s="148"/>
      <c r="Z371" s="147"/>
      <c r="AF371" s="139"/>
      <c r="AH371" s="148"/>
      <c r="AI371" s="146"/>
    </row>
    <row r="372">
      <c r="B372" s="143"/>
      <c r="H372" s="143"/>
      <c r="K372" s="148"/>
      <c r="L372" s="150"/>
      <c r="P372" s="148"/>
      <c r="Q372" s="146"/>
      <c r="Y372" s="148"/>
      <c r="Z372" s="147"/>
      <c r="AF372" s="139"/>
      <c r="AH372" s="148"/>
      <c r="AI372" s="146"/>
    </row>
    <row r="373">
      <c r="B373" s="143"/>
      <c r="H373" s="143"/>
      <c r="K373" s="148"/>
      <c r="L373" s="150"/>
      <c r="P373" s="148"/>
      <c r="Q373" s="146"/>
      <c r="Y373" s="148"/>
      <c r="Z373" s="147"/>
      <c r="AF373" s="139"/>
      <c r="AH373" s="148"/>
      <c r="AI373" s="146"/>
    </row>
    <row r="374">
      <c r="B374" s="143"/>
      <c r="H374" s="143"/>
      <c r="K374" s="148"/>
      <c r="L374" s="150"/>
      <c r="P374" s="148"/>
      <c r="Q374" s="146"/>
      <c r="Y374" s="148"/>
      <c r="Z374" s="147"/>
      <c r="AF374" s="139"/>
      <c r="AH374" s="148"/>
      <c r="AI374" s="146"/>
    </row>
    <row r="375">
      <c r="B375" s="143"/>
      <c r="H375" s="143"/>
      <c r="K375" s="148"/>
      <c r="L375" s="150"/>
      <c r="P375" s="148"/>
      <c r="Q375" s="146"/>
      <c r="Y375" s="148"/>
      <c r="Z375" s="147"/>
      <c r="AF375" s="139"/>
      <c r="AH375" s="148"/>
      <c r="AI375" s="146"/>
    </row>
    <row r="376">
      <c r="B376" s="143"/>
      <c r="H376" s="143"/>
      <c r="K376" s="148"/>
      <c r="L376" s="150"/>
      <c r="P376" s="148"/>
      <c r="Q376" s="146"/>
      <c r="Y376" s="148"/>
      <c r="Z376" s="147"/>
      <c r="AF376" s="139"/>
      <c r="AH376" s="148"/>
      <c r="AI376" s="146"/>
    </row>
    <row r="377">
      <c r="B377" s="143"/>
      <c r="H377" s="143"/>
      <c r="K377" s="148"/>
      <c r="L377" s="150"/>
      <c r="P377" s="148"/>
      <c r="Q377" s="146"/>
      <c r="Y377" s="148"/>
      <c r="Z377" s="147"/>
      <c r="AF377" s="139"/>
      <c r="AH377" s="148"/>
      <c r="AI377" s="146"/>
    </row>
    <row r="378">
      <c r="B378" s="143"/>
      <c r="H378" s="143"/>
      <c r="K378" s="148"/>
      <c r="L378" s="150"/>
      <c r="P378" s="148"/>
      <c r="Q378" s="146"/>
      <c r="Y378" s="148"/>
      <c r="Z378" s="147"/>
      <c r="AF378" s="139"/>
      <c r="AH378" s="148"/>
      <c r="AI378" s="146"/>
    </row>
    <row r="379">
      <c r="B379" s="143"/>
      <c r="H379" s="143"/>
      <c r="K379" s="148"/>
      <c r="L379" s="150"/>
      <c r="P379" s="148"/>
      <c r="Q379" s="146"/>
      <c r="Y379" s="148"/>
      <c r="Z379" s="147"/>
      <c r="AF379" s="139"/>
      <c r="AH379" s="148"/>
      <c r="AI379" s="146"/>
    </row>
    <row r="380">
      <c r="B380" s="143"/>
      <c r="H380" s="143"/>
      <c r="K380" s="148"/>
      <c r="L380" s="150"/>
      <c r="P380" s="148"/>
      <c r="Q380" s="146"/>
      <c r="Y380" s="148"/>
      <c r="Z380" s="147"/>
      <c r="AF380" s="139"/>
      <c r="AH380" s="148"/>
      <c r="AI380" s="146"/>
    </row>
    <row r="381">
      <c r="B381" s="143"/>
      <c r="H381" s="143"/>
      <c r="K381" s="148"/>
      <c r="L381" s="150"/>
      <c r="P381" s="148"/>
      <c r="Q381" s="146"/>
      <c r="Y381" s="148"/>
      <c r="Z381" s="147"/>
      <c r="AF381" s="139"/>
      <c r="AH381" s="148"/>
      <c r="AI381" s="146"/>
    </row>
    <row r="382">
      <c r="B382" s="143"/>
      <c r="H382" s="143"/>
      <c r="K382" s="148"/>
      <c r="L382" s="150"/>
      <c r="P382" s="148"/>
      <c r="Q382" s="146"/>
      <c r="Y382" s="148"/>
      <c r="Z382" s="147"/>
      <c r="AF382" s="139"/>
      <c r="AH382" s="148"/>
      <c r="AI382" s="146"/>
    </row>
    <row r="383">
      <c r="B383" s="143"/>
      <c r="H383" s="143"/>
      <c r="K383" s="148"/>
      <c r="L383" s="150"/>
      <c r="P383" s="148"/>
      <c r="Q383" s="146"/>
      <c r="Y383" s="148"/>
      <c r="Z383" s="147"/>
      <c r="AF383" s="139"/>
      <c r="AH383" s="148"/>
      <c r="AI383" s="146"/>
    </row>
    <row r="384">
      <c r="B384" s="143"/>
      <c r="H384" s="143"/>
      <c r="K384" s="148"/>
      <c r="L384" s="150"/>
      <c r="P384" s="148"/>
      <c r="Q384" s="146"/>
      <c r="Y384" s="148"/>
      <c r="Z384" s="147"/>
      <c r="AF384" s="139"/>
      <c r="AH384" s="148"/>
      <c r="AI384" s="146"/>
    </row>
    <row r="385">
      <c r="B385" s="143"/>
      <c r="H385" s="143"/>
      <c r="K385" s="148"/>
      <c r="L385" s="150"/>
      <c r="P385" s="148"/>
      <c r="Q385" s="146"/>
      <c r="Y385" s="148"/>
      <c r="Z385" s="147"/>
      <c r="AF385" s="139"/>
      <c r="AH385" s="148"/>
      <c r="AI385" s="146"/>
    </row>
    <row r="386">
      <c r="B386" s="143"/>
      <c r="H386" s="143"/>
      <c r="K386" s="148"/>
      <c r="L386" s="150"/>
      <c r="P386" s="148"/>
      <c r="Q386" s="146"/>
      <c r="Y386" s="148"/>
      <c r="Z386" s="147"/>
      <c r="AF386" s="139"/>
      <c r="AH386" s="148"/>
      <c r="AI386" s="146"/>
    </row>
    <row r="387">
      <c r="B387" s="143"/>
      <c r="H387" s="143"/>
      <c r="K387" s="148"/>
      <c r="L387" s="150"/>
      <c r="P387" s="148"/>
      <c r="Q387" s="146"/>
      <c r="Y387" s="148"/>
      <c r="Z387" s="147"/>
      <c r="AF387" s="139"/>
      <c r="AH387" s="148"/>
      <c r="AI387" s="146"/>
    </row>
    <row r="388">
      <c r="B388" s="143"/>
      <c r="H388" s="143"/>
      <c r="K388" s="148"/>
      <c r="L388" s="150"/>
      <c r="P388" s="148"/>
      <c r="Q388" s="146"/>
      <c r="Y388" s="148"/>
      <c r="Z388" s="147"/>
      <c r="AF388" s="139"/>
      <c r="AH388" s="148"/>
      <c r="AI388" s="146"/>
    </row>
    <row r="389">
      <c r="B389" s="143"/>
      <c r="H389" s="143"/>
      <c r="K389" s="148"/>
      <c r="L389" s="150"/>
      <c r="P389" s="148"/>
      <c r="Q389" s="146"/>
      <c r="Y389" s="148"/>
      <c r="Z389" s="147"/>
      <c r="AF389" s="139"/>
      <c r="AH389" s="148"/>
      <c r="AI389" s="146"/>
    </row>
    <row r="390">
      <c r="B390" s="143"/>
      <c r="H390" s="143"/>
      <c r="K390" s="148"/>
      <c r="L390" s="150"/>
      <c r="P390" s="148"/>
      <c r="Q390" s="146"/>
      <c r="Y390" s="148"/>
      <c r="Z390" s="147"/>
      <c r="AF390" s="139"/>
      <c r="AH390" s="148"/>
      <c r="AI390" s="146"/>
    </row>
    <row r="391">
      <c r="B391" s="143"/>
      <c r="H391" s="143"/>
      <c r="K391" s="148"/>
      <c r="L391" s="150"/>
      <c r="P391" s="148"/>
      <c r="Q391" s="146"/>
      <c r="Y391" s="148"/>
      <c r="Z391" s="147"/>
      <c r="AF391" s="139"/>
      <c r="AH391" s="148"/>
      <c r="AI391" s="146"/>
    </row>
    <row r="392">
      <c r="B392" s="143"/>
      <c r="H392" s="143"/>
      <c r="K392" s="148"/>
      <c r="L392" s="150"/>
      <c r="P392" s="148"/>
      <c r="Q392" s="146"/>
      <c r="Y392" s="148"/>
      <c r="Z392" s="147"/>
      <c r="AF392" s="139"/>
      <c r="AH392" s="148"/>
      <c r="AI392" s="146"/>
    </row>
    <row r="393">
      <c r="B393" s="143"/>
      <c r="H393" s="143"/>
      <c r="K393" s="148"/>
      <c r="L393" s="150"/>
      <c r="P393" s="148"/>
      <c r="Q393" s="146"/>
      <c r="Y393" s="148"/>
      <c r="Z393" s="147"/>
      <c r="AF393" s="139"/>
      <c r="AH393" s="148"/>
      <c r="AI393" s="146"/>
    </row>
    <row r="394">
      <c r="B394" s="143"/>
      <c r="H394" s="143"/>
      <c r="K394" s="148"/>
      <c r="L394" s="150"/>
      <c r="P394" s="148"/>
      <c r="Q394" s="146"/>
      <c r="Y394" s="148"/>
      <c r="Z394" s="147"/>
      <c r="AF394" s="139"/>
      <c r="AH394" s="148"/>
      <c r="AI394" s="146"/>
    </row>
    <row r="395">
      <c r="B395" s="143"/>
      <c r="H395" s="143"/>
      <c r="K395" s="148"/>
      <c r="L395" s="150"/>
      <c r="P395" s="148"/>
      <c r="Q395" s="146"/>
      <c r="Y395" s="148"/>
      <c r="Z395" s="147"/>
      <c r="AF395" s="139"/>
      <c r="AH395" s="148"/>
      <c r="AI395" s="146"/>
    </row>
    <row r="396">
      <c r="B396" s="143"/>
      <c r="H396" s="143"/>
      <c r="K396" s="148"/>
      <c r="L396" s="150"/>
      <c r="P396" s="148"/>
      <c r="Q396" s="146"/>
      <c r="Y396" s="148"/>
      <c r="Z396" s="147"/>
      <c r="AF396" s="139"/>
      <c r="AH396" s="148"/>
      <c r="AI396" s="146"/>
    </row>
    <row r="397">
      <c r="B397" s="143"/>
      <c r="H397" s="143"/>
      <c r="K397" s="148"/>
      <c r="L397" s="150"/>
      <c r="P397" s="148"/>
      <c r="Q397" s="146"/>
      <c r="Y397" s="148"/>
      <c r="Z397" s="147"/>
      <c r="AF397" s="139"/>
      <c r="AH397" s="148"/>
      <c r="AI397" s="146"/>
    </row>
    <row r="398">
      <c r="B398" s="143"/>
      <c r="H398" s="143"/>
      <c r="K398" s="148"/>
      <c r="L398" s="150"/>
      <c r="P398" s="148"/>
      <c r="Q398" s="146"/>
      <c r="Y398" s="148"/>
      <c r="Z398" s="147"/>
      <c r="AF398" s="139"/>
      <c r="AH398" s="148"/>
      <c r="AI398" s="146"/>
    </row>
    <row r="399">
      <c r="B399" s="143"/>
      <c r="H399" s="143"/>
      <c r="K399" s="148"/>
      <c r="L399" s="150"/>
      <c r="P399" s="148"/>
      <c r="Q399" s="146"/>
      <c r="Y399" s="148"/>
      <c r="Z399" s="147"/>
      <c r="AF399" s="139"/>
      <c r="AH399" s="148"/>
      <c r="AI399" s="146"/>
    </row>
    <row r="400">
      <c r="B400" s="143"/>
      <c r="H400" s="143"/>
      <c r="K400" s="148"/>
      <c r="L400" s="150"/>
      <c r="P400" s="148"/>
      <c r="Q400" s="146"/>
      <c r="Y400" s="148"/>
      <c r="Z400" s="147"/>
      <c r="AF400" s="139"/>
      <c r="AH400" s="148"/>
      <c r="AI400" s="146"/>
    </row>
    <row r="401">
      <c r="B401" s="143"/>
      <c r="H401" s="143"/>
      <c r="K401" s="148"/>
      <c r="L401" s="150"/>
      <c r="P401" s="148"/>
      <c r="Q401" s="146"/>
      <c r="Y401" s="148"/>
      <c r="Z401" s="147"/>
      <c r="AF401" s="139"/>
      <c r="AH401" s="148"/>
      <c r="AI401" s="146"/>
    </row>
    <row r="402">
      <c r="B402" s="143"/>
      <c r="H402" s="143"/>
      <c r="K402" s="148"/>
      <c r="L402" s="150"/>
      <c r="P402" s="148"/>
      <c r="Q402" s="146"/>
      <c r="Y402" s="148"/>
      <c r="Z402" s="147"/>
      <c r="AF402" s="139"/>
      <c r="AH402" s="148"/>
      <c r="AI402" s="146"/>
    </row>
    <row r="403">
      <c r="B403" s="143"/>
      <c r="H403" s="143"/>
      <c r="K403" s="148"/>
      <c r="L403" s="150"/>
      <c r="P403" s="148"/>
      <c r="Q403" s="146"/>
      <c r="Y403" s="148"/>
      <c r="Z403" s="147"/>
      <c r="AF403" s="139"/>
      <c r="AH403" s="148"/>
      <c r="AI403" s="146"/>
    </row>
    <row r="404">
      <c r="B404" s="143"/>
      <c r="H404" s="143"/>
      <c r="K404" s="148"/>
      <c r="L404" s="150"/>
      <c r="P404" s="148"/>
      <c r="Q404" s="146"/>
      <c r="Y404" s="148"/>
      <c r="Z404" s="147"/>
      <c r="AF404" s="139"/>
      <c r="AH404" s="148"/>
      <c r="AI404" s="146"/>
    </row>
    <row r="405">
      <c r="B405" s="143"/>
      <c r="H405" s="143"/>
      <c r="K405" s="148"/>
      <c r="L405" s="150"/>
      <c r="P405" s="148"/>
      <c r="Q405" s="146"/>
      <c r="Y405" s="148"/>
      <c r="Z405" s="147"/>
      <c r="AF405" s="139"/>
      <c r="AH405" s="148"/>
      <c r="AI405" s="146"/>
    </row>
    <row r="406">
      <c r="B406" s="143"/>
      <c r="H406" s="143"/>
      <c r="K406" s="148"/>
      <c r="L406" s="150"/>
      <c r="P406" s="148"/>
      <c r="Q406" s="146"/>
      <c r="Y406" s="148"/>
      <c r="Z406" s="147"/>
      <c r="AF406" s="139"/>
      <c r="AH406" s="148"/>
      <c r="AI406" s="146"/>
    </row>
    <row r="407">
      <c r="B407" s="143"/>
      <c r="H407" s="143"/>
      <c r="K407" s="148"/>
      <c r="L407" s="150"/>
      <c r="P407" s="148"/>
      <c r="Q407" s="146"/>
      <c r="Y407" s="148"/>
      <c r="Z407" s="147"/>
      <c r="AF407" s="139"/>
      <c r="AH407" s="148"/>
      <c r="AI407" s="146"/>
    </row>
    <row r="408">
      <c r="B408" s="143"/>
      <c r="H408" s="143"/>
      <c r="K408" s="148"/>
      <c r="L408" s="150"/>
      <c r="P408" s="148"/>
      <c r="Q408" s="146"/>
      <c r="Y408" s="148"/>
      <c r="Z408" s="147"/>
      <c r="AF408" s="139"/>
      <c r="AH408" s="148"/>
      <c r="AI408" s="146"/>
    </row>
    <row r="409">
      <c r="B409" s="143"/>
      <c r="H409" s="143"/>
      <c r="K409" s="148"/>
      <c r="L409" s="150"/>
      <c r="P409" s="148"/>
      <c r="Q409" s="146"/>
      <c r="Y409" s="148"/>
      <c r="Z409" s="147"/>
      <c r="AF409" s="139"/>
      <c r="AH409" s="148"/>
      <c r="AI409" s="146"/>
    </row>
    <row r="410">
      <c r="B410" s="143"/>
      <c r="H410" s="143"/>
      <c r="K410" s="148"/>
      <c r="L410" s="150"/>
      <c r="P410" s="148"/>
      <c r="Q410" s="146"/>
      <c r="Y410" s="148"/>
      <c r="Z410" s="147"/>
      <c r="AF410" s="139"/>
      <c r="AH410" s="148"/>
      <c r="AI410" s="146"/>
    </row>
    <row r="411">
      <c r="B411" s="143"/>
      <c r="H411" s="143"/>
      <c r="K411" s="148"/>
      <c r="L411" s="150"/>
      <c r="P411" s="148"/>
      <c r="Q411" s="146"/>
      <c r="Y411" s="148"/>
      <c r="Z411" s="147"/>
      <c r="AF411" s="139"/>
      <c r="AH411" s="148"/>
      <c r="AI411" s="146"/>
    </row>
    <row r="412">
      <c r="B412" s="143"/>
      <c r="H412" s="143"/>
      <c r="K412" s="148"/>
      <c r="L412" s="150"/>
      <c r="P412" s="148"/>
      <c r="Q412" s="146"/>
      <c r="Y412" s="148"/>
      <c r="Z412" s="147"/>
      <c r="AF412" s="139"/>
      <c r="AH412" s="148"/>
      <c r="AI412" s="146"/>
    </row>
    <row r="413">
      <c r="B413" s="143"/>
      <c r="H413" s="143"/>
      <c r="K413" s="148"/>
      <c r="L413" s="150"/>
      <c r="P413" s="148"/>
      <c r="Q413" s="146"/>
      <c r="Y413" s="148"/>
      <c r="Z413" s="147"/>
      <c r="AF413" s="139"/>
      <c r="AH413" s="148"/>
      <c r="AI413" s="146"/>
    </row>
    <row r="414">
      <c r="B414" s="143"/>
      <c r="H414" s="143"/>
      <c r="K414" s="148"/>
      <c r="L414" s="150"/>
      <c r="P414" s="148"/>
      <c r="Q414" s="146"/>
      <c r="Y414" s="148"/>
      <c r="Z414" s="147"/>
      <c r="AF414" s="139"/>
      <c r="AH414" s="148"/>
      <c r="AI414" s="146"/>
    </row>
    <row r="415">
      <c r="B415" s="143"/>
      <c r="H415" s="143"/>
      <c r="K415" s="148"/>
      <c r="L415" s="150"/>
      <c r="P415" s="148"/>
      <c r="Q415" s="146"/>
      <c r="Y415" s="148"/>
      <c r="Z415" s="147"/>
      <c r="AF415" s="139"/>
      <c r="AH415" s="148"/>
      <c r="AI415" s="146"/>
    </row>
    <row r="416">
      <c r="B416" s="143"/>
      <c r="H416" s="143"/>
      <c r="K416" s="148"/>
      <c r="L416" s="150"/>
      <c r="P416" s="148"/>
      <c r="Q416" s="146"/>
      <c r="Y416" s="148"/>
      <c r="Z416" s="147"/>
      <c r="AF416" s="139"/>
      <c r="AH416" s="148"/>
      <c r="AI416" s="146"/>
    </row>
    <row r="417">
      <c r="B417" s="143"/>
      <c r="H417" s="143"/>
      <c r="K417" s="148"/>
      <c r="L417" s="150"/>
      <c r="P417" s="148"/>
      <c r="Q417" s="146"/>
      <c r="Y417" s="148"/>
      <c r="Z417" s="147"/>
      <c r="AF417" s="139"/>
      <c r="AH417" s="148"/>
      <c r="AI417" s="146"/>
    </row>
    <row r="418">
      <c r="B418" s="143"/>
      <c r="H418" s="143"/>
      <c r="K418" s="148"/>
      <c r="L418" s="150"/>
      <c r="P418" s="148"/>
      <c r="Q418" s="146"/>
      <c r="Y418" s="148"/>
      <c r="Z418" s="147"/>
      <c r="AF418" s="139"/>
      <c r="AH418" s="148"/>
      <c r="AI418" s="146"/>
    </row>
    <row r="419">
      <c r="B419" s="143"/>
      <c r="H419" s="143"/>
      <c r="K419" s="148"/>
      <c r="L419" s="150"/>
      <c r="P419" s="148"/>
      <c r="Q419" s="146"/>
      <c r="Y419" s="148"/>
      <c r="Z419" s="147"/>
      <c r="AF419" s="139"/>
      <c r="AH419" s="148"/>
      <c r="AI419" s="146"/>
    </row>
    <row r="420">
      <c r="B420" s="143"/>
      <c r="H420" s="143"/>
      <c r="K420" s="148"/>
      <c r="L420" s="150"/>
      <c r="P420" s="148"/>
      <c r="Q420" s="146"/>
      <c r="Y420" s="148"/>
      <c r="Z420" s="147"/>
      <c r="AF420" s="139"/>
      <c r="AH420" s="148"/>
      <c r="AI420" s="146"/>
    </row>
    <row r="421">
      <c r="B421" s="143"/>
      <c r="H421" s="143"/>
      <c r="K421" s="148"/>
      <c r="L421" s="150"/>
      <c r="P421" s="148"/>
      <c r="Q421" s="146"/>
      <c r="Y421" s="148"/>
      <c r="Z421" s="147"/>
      <c r="AF421" s="139"/>
      <c r="AH421" s="148"/>
      <c r="AI421" s="146"/>
    </row>
    <row r="422">
      <c r="B422" s="143"/>
      <c r="H422" s="143"/>
      <c r="K422" s="148"/>
      <c r="L422" s="150"/>
      <c r="P422" s="148"/>
      <c r="Q422" s="146"/>
      <c r="Y422" s="148"/>
      <c r="Z422" s="147"/>
      <c r="AF422" s="139"/>
      <c r="AH422" s="148"/>
      <c r="AI422" s="146"/>
    </row>
    <row r="423">
      <c r="B423" s="143"/>
      <c r="H423" s="143"/>
      <c r="K423" s="148"/>
      <c r="L423" s="150"/>
      <c r="P423" s="148"/>
      <c r="Q423" s="146"/>
      <c r="Y423" s="148"/>
      <c r="Z423" s="147"/>
      <c r="AF423" s="139"/>
      <c r="AH423" s="148"/>
      <c r="AI423" s="146"/>
    </row>
    <row r="424">
      <c r="B424" s="143"/>
      <c r="H424" s="143"/>
      <c r="K424" s="148"/>
      <c r="L424" s="150"/>
      <c r="P424" s="148"/>
      <c r="Q424" s="146"/>
      <c r="Y424" s="148"/>
      <c r="Z424" s="147"/>
      <c r="AF424" s="139"/>
      <c r="AH424" s="148"/>
      <c r="AI424" s="146"/>
    </row>
    <row r="425">
      <c r="B425" s="143"/>
      <c r="H425" s="143"/>
      <c r="K425" s="148"/>
      <c r="L425" s="150"/>
      <c r="P425" s="148"/>
      <c r="Q425" s="146"/>
      <c r="Y425" s="148"/>
      <c r="Z425" s="147"/>
      <c r="AF425" s="139"/>
      <c r="AH425" s="148"/>
      <c r="AI425" s="146"/>
    </row>
    <row r="426">
      <c r="B426" s="143"/>
      <c r="H426" s="143"/>
      <c r="K426" s="148"/>
      <c r="L426" s="150"/>
      <c r="P426" s="148"/>
      <c r="Q426" s="146"/>
      <c r="Y426" s="148"/>
      <c r="Z426" s="147"/>
      <c r="AF426" s="139"/>
      <c r="AH426" s="148"/>
      <c r="AI426" s="146"/>
    </row>
    <row r="427">
      <c r="B427" s="143"/>
      <c r="H427" s="143"/>
      <c r="K427" s="148"/>
      <c r="L427" s="150"/>
      <c r="P427" s="148"/>
      <c r="Q427" s="146"/>
      <c r="Y427" s="148"/>
      <c r="Z427" s="147"/>
      <c r="AF427" s="139"/>
      <c r="AH427" s="148"/>
      <c r="AI427" s="146"/>
    </row>
    <row r="428">
      <c r="B428" s="143"/>
      <c r="H428" s="143"/>
      <c r="K428" s="148"/>
      <c r="L428" s="150"/>
      <c r="P428" s="148"/>
      <c r="Q428" s="146"/>
      <c r="Y428" s="148"/>
      <c r="Z428" s="147"/>
      <c r="AF428" s="139"/>
      <c r="AH428" s="148"/>
      <c r="AI428" s="146"/>
    </row>
    <row r="429">
      <c r="B429" s="143"/>
      <c r="H429" s="143"/>
      <c r="K429" s="148"/>
      <c r="L429" s="150"/>
      <c r="P429" s="148"/>
      <c r="Q429" s="146"/>
      <c r="Y429" s="148"/>
      <c r="Z429" s="147"/>
      <c r="AF429" s="139"/>
      <c r="AH429" s="148"/>
      <c r="AI429" s="146"/>
    </row>
    <row r="430">
      <c r="B430" s="143"/>
      <c r="H430" s="143"/>
      <c r="K430" s="148"/>
      <c r="L430" s="150"/>
      <c r="P430" s="148"/>
      <c r="Q430" s="146"/>
      <c r="Y430" s="148"/>
      <c r="Z430" s="147"/>
      <c r="AF430" s="139"/>
      <c r="AH430" s="148"/>
      <c r="AI430" s="146"/>
    </row>
    <row r="431">
      <c r="B431" s="143"/>
      <c r="H431" s="143"/>
      <c r="K431" s="148"/>
      <c r="L431" s="150"/>
      <c r="P431" s="148"/>
      <c r="Q431" s="146"/>
      <c r="Y431" s="148"/>
      <c r="Z431" s="147"/>
      <c r="AF431" s="139"/>
      <c r="AH431" s="148"/>
      <c r="AI431" s="146"/>
    </row>
    <row r="432">
      <c r="B432" s="143"/>
      <c r="H432" s="143"/>
      <c r="K432" s="148"/>
      <c r="L432" s="150"/>
      <c r="P432" s="148"/>
      <c r="Q432" s="146"/>
      <c r="Y432" s="148"/>
      <c r="Z432" s="147"/>
      <c r="AF432" s="139"/>
      <c r="AH432" s="148"/>
      <c r="AI432" s="146"/>
    </row>
    <row r="433">
      <c r="B433" s="143"/>
      <c r="H433" s="143"/>
      <c r="K433" s="148"/>
      <c r="L433" s="150"/>
      <c r="P433" s="148"/>
      <c r="Q433" s="146"/>
      <c r="Y433" s="148"/>
      <c r="Z433" s="147"/>
      <c r="AF433" s="139"/>
      <c r="AH433" s="148"/>
      <c r="AI433" s="146"/>
    </row>
    <row r="434">
      <c r="B434" s="143"/>
      <c r="H434" s="143"/>
      <c r="K434" s="148"/>
      <c r="L434" s="150"/>
      <c r="P434" s="148"/>
      <c r="Q434" s="146"/>
      <c r="Y434" s="148"/>
      <c r="Z434" s="147"/>
      <c r="AF434" s="139"/>
      <c r="AH434" s="148"/>
      <c r="AI434" s="146"/>
    </row>
    <row r="435">
      <c r="B435" s="143"/>
      <c r="H435" s="143"/>
      <c r="K435" s="148"/>
      <c r="L435" s="150"/>
      <c r="P435" s="148"/>
      <c r="Q435" s="146"/>
      <c r="Y435" s="148"/>
      <c r="Z435" s="147"/>
      <c r="AF435" s="139"/>
      <c r="AH435" s="148"/>
      <c r="AI435" s="146"/>
    </row>
    <row r="436">
      <c r="B436" s="143"/>
      <c r="H436" s="143"/>
      <c r="K436" s="148"/>
      <c r="L436" s="150"/>
      <c r="P436" s="148"/>
      <c r="Q436" s="146"/>
      <c r="Y436" s="148"/>
      <c r="Z436" s="147"/>
      <c r="AF436" s="139"/>
      <c r="AH436" s="148"/>
      <c r="AI436" s="146"/>
    </row>
    <row r="437">
      <c r="B437" s="143"/>
      <c r="H437" s="143"/>
      <c r="K437" s="148"/>
      <c r="L437" s="150"/>
      <c r="P437" s="148"/>
      <c r="Q437" s="146"/>
      <c r="Y437" s="148"/>
      <c r="Z437" s="147"/>
      <c r="AF437" s="139"/>
      <c r="AH437" s="148"/>
      <c r="AI437" s="146"/>
    </row>
    <row r="438">
      <c r="B438" s="143"/>
      <c r="H438" s="143"/>
      <c r="K438" s="148"/>
      <c r="L438" s="150"/>
      <c r="P438" s="148"/>
      <c r="Q438" s="146"/>
      <c r="Y438" s="148"/>
      <c r="Z438" s="147"/>
      <c r="AF438" s="139"/>
      <c r="AH438" s="148"/>
      <c r="AI438" s="146"/>
    </row>
    <row r="439">
      <c r="B439" s="143"/>
      <c r="H439" s="143"/>
      <c r="K439" s="148"/>
      <c r="L439" s="150"/>
      <c r="P439" s="148"/>
      <c r="Q439" s="146"/>
      <c r="Y439" s="148"/>
      <c r="Z439" s="147"/>
      <c r="AF439" s="139"/>
      <c r="AH439" s="148"/>
      <c r="AI439" s="146"/>
    </row>
    <row r="440">
      <c r="B440" s="143"/>
      <c r="H440" s="143"/>
      <c r="K440" s="148"/>
      <c r="L440" s="150"/>
      <c r="P440" s="148"/>
      <c r="Q440" s="146"/>
      <c r="Y440" s="148"/>
      <c r="Z440" s="147"/>
      <c r="AF440" s="139"/>
      <c r="AH440" s="148"/>
      <c r="AI440" s="146"/>
    </row>
    <row r="441">
      <c r="B441" s="143"/>
      <c r="H441" s="143"/>
      <c r="K441" s="148"/>
      <c r="L441" s="150"/>
      <c r="P441" s="148"/>
      <c r="Q441" s="146"/>
      <c r="Y441" s="148"/>
      <c r="Z441" s="147"/>
      <c r="AF441" s="139"/>
      <c r="AH441" s="148"/>
      <c r="AI441" s="146"/>
    </row>
    <row r="442">
      <c r="B442" s="143"/>
      <c r="H442" s="143"/>
      <c r="K442" s="148"/>
      <c r="L442" s="150"/>
      <c r="P442" s="148"/>
      <c r="Q442" s="146"/>
      <c r="Y442" s="148"/>
      <c r="Z442" s="147"/>
      <c r="AF442" s="139"/>
      <c r="AH442" s="148"/>
      <c r="AI442" s="146"/>
    </row>
    <row r="443">
      <c r="B443" s="143"/>
      <c r="H443" s="143"/>
      <c r="K443" s="148"/>
      <c r="L443" s="150"/>
      <c r="P443" s="148"/>
      <c r="Q443" s="146"/>
      <c r="Y443" s="148"/>
      <c r="Z443" s="147"/>
      <c r="AF443" s="139"/>
      <c r="AH443" s="148"/>
      <c r="AI443" s="146"/>
    </row>
    <row r="444">
      <c r="B444" s="143"/>
      <c r="H444" s="143"/>
      <c r="K444" s="148"/>
      <c r="L444" s="150"/>
      <c r="P444" s="148"/>
      <c r="Q444" s="146"/>
      <c r="Y444" s="148"/>
      <c r="Z444" s="147"/>
      <c r="AF444" s="139"/>
      <c r="AH444" s="148"/>
      <c r="AI444" s="146"/>
    </row>
    <row r="445">
      <c r="B445" s="143"/>
      <c r="H445" s="143"/>
      <c r="K445" s="148"/>
      <c r="L445" s="150"/>
      <c r="P445" s="148"/>
      <c r="Q445" s="146"/>
      <c r="Y445" s="148"/>
      <c r="Z445" s="147"/>
      <c r="AF445" s="139"/>
      <c r="AH445" s="148"/>
      <c r="AI445" s="146"/>
    </row>
    <row r="446">
      <c r="B446" s="143"/>
      <c r="H446" s="143"/>
      <c r="K446" s="148"/>
      <c r="L446" s="150"/>
      <c r="P446" s="148"/>
      <c r="Q446" s="146"/>
      <c r="Y446" s="148"/>
      <c r="Z446" s="147"/>
      <c r="AF446" s="139"/>
      <c r="AH446" s="148"/>
      <c r="AI446" s="146"/>
    </row>
    <row r="447">
      <c r="B447" s="143"/>
      <c r="H447" s="143"/>
      <c r="K447" s="148"/>
      <c r="L447" s="150"/>
      <c r="P447" s="148"/>
      <c r="Q447" s="146"/>
      <c r="Y447" s="148"/>
      <c r="Z447" s="147"/>
      <c r="AF447" s="139"/>
      <c r="AH447" s="148"/>
      <c r="AI447" s="146"/>
    </row>
    <row r="448">
      <c r="B448" s="143"/>
      <c r="H448" s="143"/>
      <c r="K448" s="148"/>
      <c r="L448" s="150"/>
      <c r="P448" s="148"/>
      <c r="Q448" s="146"/>
      <c r="Y448" s="148"/>
      <c r="Z448" s="147"/>
      <c r="AF448" s="139"/>
      <c r="AH448" s="148"/>
      <c r="AI448" s="146"/>
    </row>
    <row r="449">
      <c r="B449" s="143"/>
      <c r="H449" s="143"/>
      <c r="K449" s="148"/>
      <c r="L449" s="150"/>
      <c r="P449" s="148"/>
      <c r="Q449" s="146"/>
      <c r="Y449" s="148"/>
      <c r="Z449" s="147"/>
      <c r="AF449" s="139"/>
      <c r="AH449" s="148"/>
      <c r="AI449" s="146"/>
    </row>
    <row r="450">
      <c r="B450" s="143"/>
      <c r="H450" s="143"/>
      <c r="K450" s="148"/>
      <c r="L450" s="150"/>
      <c r="P450" s="148"/>
      <c r="Q450" s="146"/>
      <c r="Y450" s="148"/>
      <c r="Z450" s="147"/>
      <c r="AF450" s="139"/>
      <c r="AH450" s="148"/>
      <c r="AI450" s="146"/>
    </row>
    <row r="451">
      <c r="B451" s="143"/>
      <c r="H451" s="143"/>
      <c r="K451" s="148"/>
      <c r="L451" s="150"/>
      <c r="P451" s="148"/>
      <c r="Q451" s="146"/>
      <c r="Y451" s="148"/>
      <c r="Z451" s="147"/>
      <c r="AF451" s="139"/>
      <c r="AH451" s="148"/>
      <c r="AI451" s="146"/>
    </row>
    <row r="452">
      <c r="B452" s="143"/>
      <c r="H452" s="143"/>
      <c r="K452" s="148"/>
      <c r="L452" s="150"/>
      <c r="P452" s="148"/>
      <c r="Q452" s="146"/>
      <c r="Y452" s="148"/>
      <c r="Z452" s="147"/>
      <c r="AF452" s="139"/>
      <c r="AH452" s="148"/>
      <c r="AI452" s="146"/>
    </row>
    <row r="453">
      <c r="B453" s="143"/>
      <c r="H453" s="143"/>
      <c r="K453" s="148"/>
      <c r="L453" s="150"/>
      <c r="P453" s="148"/>
      <c r="Q453" s="146"/>
      <c r="Y453" s="148"/>
      <c r="Z453" s="147"/>
      <c r="AF453" s="139"/>
      <c r="AH453" s="148"/>
      <c r="AI453" s="146"/>
    </row>
    <row r="454">
      <c r="B454" s="143"/>
      <c r="H454" s="143"/>
      <c r="K454" s="148"/>
      <c r="L454" s="150"/>
      <c r="P454" s="148"/>
      <c r="Q454" s="146"/>
      <c r="Y454" s="148"/>
      <c r="Z454" s="147"/>
      <c r="AF454" s="139"/>
      <c r="AH454" s="148"/>
      <c r="AI454" s="146"/>
    </row>
    <row r="455">
      <c r="B455" s="143"/>
      <c r="H455" s="143"/>
      <c r="K455" s="148"/>
      <c r="L455" s="150"/>
      <c r="P455" s="148"/>
      <c r="Q455" s="146"/>
      <c r="Y455" s="148"/>
      <c r="Z455" s="147"/>
      <c r="AF455" s="139"/>
      <c r="AH455" s="148"/>
      <c r="AI455" s="146"/>
    </row>
    <row r="456">
      <c r="B456" s="143"/>
      <c r="H456" s="143"/>
      <c r="K456" s="148"/>
      <c r="L456" s="150"/>
      <c r="P456" s="148"/>
      <c r="Q456" s="146"/>
      <c r="Y456" s="148"/>
      <c r="Z456" s="147"/>
      <c r="AF456" s="139"/>
      <c r="AH456" s="148"/>
      <c r="AI456" s="146"/>
    </row>
    <row r="457">
      <c r="B457" s="143"/>
      <c r="H457" s="143"/>
      <c r="K457" s="148"/>
      <c r="L457" s="150"/>
      <c r="P457" s="148"/>
      <c r="Q457" s="146"/>
      <c r="Y457" s="148"/>
      <c r="Z457" s="147"/>
      <c r="AF457" s="139"/>
      <c r="AH457" s="148"/>
      <c r="AI457" s="146"/>
    </row>
    <row r="458">
      <c r="B458" s="143"/>
      <c r="H458" s="143"/>
      <c r="K458" s="148"/>
      <c r="L458" s="150"/>
      <c r="P458" s="148"/>
      <c r="Q458" s="146"/>
      <c r="Y458" s="148"/>
      <c r="Z458" s="147"/>
      <c r="AF458" s="139"/>
      <c r="AH458" s="148"/>
      <c r="AI458" s="146"/>
    </row>
    <row r="459">
      <c r="B459" s="143"/>
      <c r="H459" s="143"/>
      <c r="K459" s="148"/>
      <c r="L459" s="150"/>
      <c r="P459" s="148"/>
      <c r="Q459" s="146"/>
      <c r="Y459" s="148"/>
      <c r="Z459" s="147"/>
      <c r="AF459" s="139"/>
      <c r="AH459" s="148"/>
      <c r="AI459" s="146"/>
    </row>
    <row r="460">
      <c r="B460" s="143"/>
      <c r="H460" s="143"/>
      <c r="K460" s="148"/>
      <c r="L460" s="150"/>
      <c r="P460" s="148"/>
      <c r="Q460" s="146"/>
      <c r="Y460" s="148"/>
      <c r="Z460" s="147"/>
      <c r="AF460" s="139"/>
      <c r="AH460" s="148"/>
      <c r="AI460" s="146"/>
    </row>
    <row r="461">
      <c r="B461" s="143"/>
      <c r="H461" s="143"/>
      <c r="K461" s="148"/>
      <c r="L461" s="150"/>
      <c r="P461" s="148"/>
      <c r="Q461" s="146"/>
      <c r="Y461" s="148"/>
      <c r="Z461" s="147"/>
      <c r="AF461" s="139"/>
      <c r="AH461" s="148"/>
      <c r="AI461" s="146"/>
    </row>
    <row r="462">
      <c r="B462" s="143"/>
      <c r="H462" s="143"/>
      <c r="K462" s="148"/>
      <c r="L462" s="150"/>
      <c r="P462" s="148"/>
      <c r="Q462" s="146"/>
      <c r="Y462" s="148"/>
      <c r="Z462" s="147"/>
      <c r="AF462" s="139"/>
      <c r="AH462" s="148"/>
      <c r="AI462" s="146"/>
    </row>
    <row r="463">
      <c r="B463" s="143"/>
      <c r="H463" s="143"/>
      <c r="K463" s="148"/>
      <c r="L463" s="150"/>
      <c r="P463" s="148"/>
      <c r="Q463" s="146"/>
      <c r="Y463" s="148"/>
      <c r="Z463" s="147"/>
      <c r="AF463" s="139"/>
      <c r="AH463" s="148"/>
      <c r="AI463" s="146"/>
    </row>
    <row r="464">
      <c r="B464" s="143"/>
      <c r="H464" s="143"/>
      <c r="K464" s="148"/>
      <c r="L464" s="150"/>
      <c r="P464" s="148"/>
      <c r="Q464" s="146"/>
      <c r="Y464" s="148"/>
      <c r="Z464" s="147"/>
      <c r="AF464" s="139"/>
      <c r="AH464" s="148"/>
      <c r="AI464" s="146"/>
    </row>
    <row r="465">
      <c r="B465" s="143"/>
      <c r="H465" s="143"/>
      <c r="K465" s="148"/>
      <c r="L465" s="150"/>
      <c r="P465" s="148"/>
      <c r="Q465" s="146"/>
      <c r="Y465" s="148"/>
      <c r="Z465" s="147"/>
      <c r="AF465" s="139"/>
      <c r="AH465" s="148"/>
      <c r="AI465" s="146"/>
    </row>
    <row r="466">
      <c r="B466" s="143"/>
      <c r="H466" s="143"/>
      <c r="K466" s="148"/>
      <c r="L466" s="150"/>
      <c r="P466" s="148"/>
      <c r="Q466" s="146"/>
      <c r="Y466" s="148"/>
      <c r="Z466" s="147"/>
      <c r="AF466" s="139"/>
      <c r="AH466" s="148"/>
      <c r="AI466" s="146"/>
    </row>
    <row r="467">
      <c r="B467" s="143"/>
      <c r="H467" s="143"/>
      <c r="K467" s="148"/>
      <c r="L467" s="150"/>
      <c r="P467" s="148"/>
      <c r="Q467" s="146"/>
      <c r="Y467" s="148"/>
      <c r="Z467" s="147"/>
      <c r="AF467" s="139"/>
      <c r="AH467" s="148"/>
      <c r="AI467" s="146"/>
    </row>
    <row r="468">
      <c r="B468" s="143"/>
      <c r="H468" s="143"/>
      <c r="K468" s="148"/>
      <c r="L468" s="150"/>
      <c r="P468" s="148"/>
      <c r="Q468" s="146"/>
      <c r="Y468" s="148"/>
      <c r="Z468" s="147"/>
      <c r="AF468" s="139"/>
      <c r="AH468" s="148"/>
      <c r="AI468" s="146"/>
    </row>
    <row r="469">
      <c r="B469" s="143"/>
      <c r="H469" s="143"/>
      <c r="K469" s="148"/>
      <c r="L469" s="150"/>
      <c r="P469" s="148"/>
      <c r="Q469" s="146"/>
      <c r="Y469" s="148"/>
      <c r="Z469" s="147"/>
      <c r="AF469" s="139"/>
      <c r="AH469" s="148"/>
      <c r="AI469" s="146"/>
    </row>
    <row r="470">
      <c r="B470" s="143"/>
      <c r="H470" s="143"/>
      <c r="K470" s="148"/>
      <c r="L470" s="150"/>
      <c r="P470" s="148"/>
      <c r="Q470" s="146"/>
      <c r="Y470" s="148"/>
      <c r="Z470" s="147"/>
      <c r="AF470" s="139"/>
      <c r="AH470" s="148"/>
      <c r="AI470" s="146"/>
    </row>
    <row r="471">
      <c r="B471" s="143"/>
      <c r="H471" s="143"/>
      <c r="K471" s="148"/>
      <c r="L471" s="150"/>
      <c r="P471" s="148"/>
      <c r="Q471" s="146"/>
      <c r="Y471" s="148"/>
      <c r="Z471" s="147"/>
      <c r="AF471" s="139"/>
      <c r="AH471" s="148"/>
      <c r="AI471" s="146"/>
    </row>
    <row r="472">
      <c r="B472" s="143"/>
      <c r="H472" s="143"/>
      <c r="K472" s="148"/>
      <c r="L472" s="150"/>
      <c r="P472" s="148"/>
      <c r="Q472" s="146"/>
      <c r="Y472" s="148"/>
      <c r="Z472" s="147"/>
      <c r="AF472" s="139"/>
      <c r="AH472" s="148"/>
      <c r="AI472" s="146"/>
    </row>
    <row r="473">
      <c r="B473" s="143"/>
      <c r="H473" s="143"/>
      <c r="K473" s="148"/>
      <c r="L473" s="150"/>
      <c r="P473" s="148"/>
      <c r="Q473" s="146"/>
      <c r="Y473" s="148"/>
      <c r="Z473" s="147"/>
      <c r="AF473" s="139"/>
      <c r="AH473" s="148"/>
      <c r="AI473" s="146"/>
    </row>
    <row r="474">
      <c r="B474" s="143"/>
      <c r="H474" s="143"/>
      <c r="K474" s="148"/>
      <c r="L474" s="150"/>
      <c r="P474" s="148"/>
      <c r="Q474" s="146"/>
      <c r="Y474" s="148"/>
      <c r="Z474" s="147"/>
      <c r="AF474" s="139"/>
      <c r="AH474" s="148"/>
      <c r="AI474" s="146"/>
    </row>
    <row r="475">
      <c r="B475" s="143"/>
      <c r="H475" s="143"/>
      <c r="K475" s="148"/>
      <c r="L475" s="150"/>
      <c r="P475" s="148"/>
      <c r="Q475" s="146"/>
      <c r="Y475" s="148"/>
      <c r="Z475" s="147"/>
      <c r="AF475" s="139"/>
      <c r="AH475" s="148"/>
      <c r="AI475" s="146"/>
    </row>
    <row r="476">
      <c r="B476" s="143"/>
      <c r="H476" s="143"/>
      <c r="K476" s="148"/>
      <c r="L476" s="150"/>
      <c r="P476" s="148"/>
      <c r="Q476" s="146"/>
      <c r="Y476" s="148"/>
      <c r="Z476" s="147"/>
      <c r="AF476" s="139"/>
      <c r="AH476" s="148"/>
      <c r="AI476" s="146"/>
    </row>
    <row r="477">
      <c r="B477" s="143"/>
      <c r="H477" s="143"/>
      <c r="K477" s="148"/>
      <c r="L477" s="150"/>
      <c r="P477" s="148"/>
      <c r="Q477" s="146"/>
      <c r="Y477" s="148"/>
      <c r="Z477" s="147"/>
      <c r="AF477" s="139"/>
      <c r="AH477" s="148"/>
      <c r="AI477" s="146"/>
    </row>
    <row r="478">
      <c r="B478" s="143"/>
      <c r="H478" s="143"/>
      <c r="K478" s="148"/>
      <c r="L478" s="150"/>
      <c r="P478" s="148"/>
      <c r="Q478" s="146"/>
      <c r="Y478" s="148"/>
      <c r="Z478" s="147"/>
      <c r="AF478" s="139"/>
      <c r="AH478" s="148"/>
      <c r="AI478" s="146"/>
    </row>
    <row r="479">
      <c r="B479" s="143"/>
      <c r="H479" s="143"/>
      <c r="K479" s="148"/>
      <c r="L479" s="150"/>
      <c r="P479" s="148"/>
      <c r="Q479" s="146"/>
      <c r="Y479" s="148"/>
      <c r="Z479" s="147"/>
      <c r="AF479" s="139"/>
      <c r="AH479" s="148"/>
      <c r="AI479" s="146"/>
    </row>
    <row r="480">
      <c r="B480" s="143"/>
      <c r="H480" s="143"/>
      <c r="K480" s="148"/>
      <c r="L480" s="150"/>
      <c r="P480" s="148"/>
      <c r="Q480" s="146"/>
      <c r="Y480" s="148"/>
      <c r="Z480" s="147"/>
      <c r="AF480" s="139"/>
      <c r="AH480" s="148"/>
      <c r="AI480" s="146"/>
    </row>
    <row r="481">
      <c r="B481" s="143"/>
      <c r="H481" s="143"/>
      <c r="K481" s="148"/>
      <c r="L481" s="150"/>
      <c r="P481" s="148"/>
      <c r="Q481" s="146"/>
      <c r="Y481" s="148"/>
      <c r="Z481" s="147"/>
      <c r="AF481" s="139"/>
      <c r="AH481" s="148"/>
      <c r="AI481" s="146"/>
    </row>
    <row r="482">
      <c r="B482" s="143"/>
      <c r="H482" s="143"/>
      <c r="K482" s="148"/>
      <c r="L482" s="150"/>
      <c r="P482" s="148"/>
      <c r="Q482" s="146"/>
      <c r="Y482" s="148"/>
      <c r="Z482" s="147"/>
      <c r="AF482" s="139"/>
      <c r="AH482" s="148"/>
      <c r="AI482" s="146"/>
    </row>
    <row r="483">
      <c r="B483" s="143"/>
      <c r="H483" s="143"/>
      <c r="K483" s="148"/>
      <c r="L483" s="150"/>
      <c r="P483" s="148"/>
      <c r="Q483" s="146"/>
      <c r="Y483" s="148"/>
      <c r="Z483" s="147"/>
      <c r="AF483" s="139"/>
      <c r="AH483" s="148"/>
      <c r="AI483" s="146"/>
    </row>
    <row r="484">
      <c r="B484" s="143"/>
      <c r="H484" s="143"/>
      <c r="K484" s="148"/>
      <c r="L484" s="150"/>
      <c r="P484" s="148"/>
      <c r="Q484" s="146"/>
      <c r="Y484" s="148"/>
      <c r="Z484" s="147"/>
      <c r="AF484" s="139"/>
      <c r="AH484" s="148"/>
      <c r="AI484" s="146"/>
    </row>
    <row r="485">
      <c r="B485" s="143"/>
      <c r="H485" s="143"/>
      <c r="K485" s="148"/>
      <c r="L485" s="150"/>
      <c r="P485" s="148"/>
      <c r="Q485" s="146"/>
      <c r="Y485" s="148"/>
      <c r="Z485" s="147"/>
      <c r="AF485" s="139"/>
      <c r="AH485" s="148"/>
      <c r="AI485" s="146"/>
    </row>
    <row r="486">
      <c r="B486" s="143"/>
      <c r="H486" s="143"/>
      <c r="K486" s="148"/>
      <c r="L486" s="150"/>
      <c r="P486" s="148"/>
      <c r="Q486" s="146"/>
      <c r="Y486" s="148"/>
      <c r="Z486" s="147"/>
      <c r="AF486" s="139"/>
      <c r="AH486" s="148"/>
      <c r="AI486" s="146"/>
    </row>
    <row r="487">
      <c r="B487" s="143"/>
      <c r="H487" s="143"/>
      <c r="K487" s="148"/>
      <c r="L487" s="150"/>
      <c r="P487" s="148"/>
      <c r="Q487" s="146"/>
      <c r="Y487" s="148"/>
      <c r="Z487" s="147"/>
      <c r="AF487" s="139"/>
      <c r="AH487" s="148"/>
      <c r="AI487" s="146"/>
    </row>
    <row r="488">
      <c r="B488" s="143"/>
      <c r="H488" s="143"/>
      <c r="K488" s="148"/>
      <c r="L488" s="150"/>
      <c r="P488" s="148"/>
      <c r="Q488" s="146"/>
      <c r="Y488" s="148"/>
      <c r="Z488" s="147"/>
      <c r="AF488" s="139"/>
      <c r="AH488" s="148"/>
      <c r="AI488" s="146"/>
    </row>
    <row r="489">
      <c r="B489" s="143"/>
      <c r="H489" s="143"/>
      <c r="K489" s="148"/>
      <c r="L489" s="150"/>
      <c r="P489" s="148"/>
      <c r="Q489" s="146"/>
      <c r="Y489" s="148"/>
      <c r="Z489" s="147"/>
      <c r="AF489" s="139"/>
      <c r="AH489" s="148"/>
      <c r="AI489" s="146"/>
    </row>
    <row r="490">
      <c r="B490" s="143"/>
      <c r="H490" s="143"/>
      <c r="K490" s="148"/>
      <c r="L490" s="150"/>
      <c r="P490" s="148"/>
      <c r="Q490" s="146"/>
      <c r="Y490" s="148"/>
      <c r="Z490" s="147"/>
      <c r="AF490" s="139"/>
      <c r="AH490" s="148"/>
      <c r="AI490" s="146"/>
    </row>
    <row r="491">
      <c r="B491" s="143"/>
      <c r="H491" s="143"/>
      <c r="K491" s="148"/>
      <c r="L491" s="150"/>
      <c r="P491" s="148"/>
      <c r="Q491" s="146"/>
      <c r="Y491" s="148"/>
      <c r="Z491" s="147"/>
      <c r="AF491" s="139"/>
      <c r="AH491" s="148"/>
      <c r="AI491" s="146"/>
    </row>
    <row r="492">
      <c r="B492" s="143"/>
      <c r="H492" s="143"/>
      <c r="K492" s="148"/>
      <c r="L492" s="150"/>
      <c r="P492" s="148"/>
      <c r="Q492" s="146"/>
      <c r="Y492" s="148"/>
      <c r="Z492" s="147"/>
      <c r="AF492" s="139"/>
      <c r="AH492" s="148"/>
      <c r="AI492" s="146"/>
    </row>
    <row r="493">
      <c r="B493" s="143"/>
      <c r="H493" s="143"/>
      <c r="K493" s="148"/>
      <c r="L493" s="150"/>
      <c r="P493" s="148"/>
      <c r="Q493" s="146"/>
      <c r="Y493" s="148"/>
      <c r="Z493" s="147"/>
      <c r="AF493" s="139"/>
      <c r="AH493" s="148"/>
      <c r="AI493" s="146"/>
    </row>
    <row r="494">
      <c r="B494" s="143"/>
      <c r="H494" s="143"/>
      <c r="K494" s="148"/>
      <c r="L494" s="150"/>
      <c r="P494" s="148"/>
      <c r="Q494" s="146"/>
      <c r="Y494" s="148"/>
      <c r="Z494" s="147"/>
      <c r="AF494" s="139"/>
      <c r="AH494" s="148"/>
      <c r="AI494" s="146"/>
    </row>
    <row r="495">
      <c r="B495" s="143"/>
      <c r="H495" s="143"/>
      <c r="K495" s="148"/>
      <c r="L495" s="150"/>
      <c r="P495" s="148"/>
      <c r="Q495" s="146"/>
      <c r="Y495" s="148"/>
      <c r="Z495" s="147"/>
      <c r="AF495" s="139"/>
      <c r="AH495" s="148"/>
      <c r="AI495" s="146"/>
    </row>
    <row r="496">
      <c r="B496" s="143"/>
      <c r="H496" s="143"/>
      <c r="K496" s="148"/>
      <c r="L496" s="150"/>
      <c r="P496" s="148"/>
      <c r="Q496" s="146"/>
      <c r="Y496" s="148"/>
      <c r="Z496" s="147"/>
      <c r="AF496" s="139"/>
      <c r="AH496" s="148"/>
      <c r="AI496" s="146"/>
    </row>
    <row r="497">
      <c r="B497" s="143"/>
      <c r="H497" s="143"/>
      <c r="K497" s="148"/>
      <c r="L497" s="150"/>
      <c r="P497" s="148"/>
      <c r="Q497" s="146"/>
      <c r="Y497" s="148"/>
      <c r="Z497" s="147"/>
      <c r="AF497" s="139"/>
      <c r="AH497" s="148"/>
      <c r="AI497" s="146"/>
    </row>
    <row r="498">
      <c r="B498" s="143"/>
      <c r="H498" s="143"/>
      <c r="K498" s="148"/>
      <c r="L498" s="150"/>
      <c r="P498" s="148"/>
      <c r="Q498" s="146"/>
      <c r="Y498" s="148"/>
      <c r="Z498" s="147"/>
      <c r="AF498" s="139"/>
      <c r="AH498" s="148"/>
      <c r="AI498" s="146"/>
    </row>
    <row r="499">
      <c r="B499" s="143"/>
      <c r="H499" s="143"/>
      <c r="K499" s="148"/>
      <c r="L499" s="150"/>
      <c r="P499" s="148"/>
      <c r="Q499" s="146"/>
      <c r="Y499" s="148"/>
      <c r="Z499" s="147"/>
      <c r="AF499" s="139"/>
      <c r="AH499" s="148"/>
      <c r="AI499" s="146"/>
    </row>
    <row r="500">
      <c r="B500" s="143"/>
      <c r="H500" s="143"/>
      <c r="K500" s="148"/>
      <c r="L500" s="150"/>
      <c r="P500" s="148"/>
      <c r="Q500" s="146"/>
      <c r="Y500" s="148"/>
      <c r="Z500" s="147"/>
      <c r="AF500" s="139"/>
      <c r="AH500" s="148"/>
      <c r="AI500" s="146"/>
    </row>
    <row r="501">
      <c r="B501" s="143"/>
      <c r="H501" s="143"/>
      <c r="K501" s="148"/>
      <c r="L501" s="150"/>
      <c r="P501" s="148"/>
      <c r="Q501" s="146"/>
      <c r="Y501" s="148"/>
      <c r="Z501" s="147"/>
      <c r="AF501" s="139"/>
      <c r="AH501" s="148"/>
      <c r="AI501" s="146"/>
    </row>
    <row r="502">
      <c r="B502" s="143"/>
      <c r="H502" s="143"/>
      <c r="K502" s="148"/>
      <c r="L502" s="150"/>
      <c r="P502" s="148"/>
      <c r="Q502" s="146"/>
      <c r="Y502" s="148"/>
      <c r="Z502" s="147"/>
      <c r="AF502" s="139"/>
      <c r="AH502" s="148"/>
      <c r="AI502" s="146"/>
    </row>
    <row r="503">
      <c r="B503" s="143"/>
      <c r="H503" s="143"/>
      <c r="K503" s="148"/>
      <c r="L503" s="150"/>
      <c r="P503" s="148"/>
      <c r="Q503" s="146"/>
      <c r="Y503" s="148"/>
      <c r="Z503" s="147"/>
      <c r="AF503" s="139"/>
      <c r="AH503" s="148"/>
      <c r="AI503" s="146"/>
    </row>
    <row r="504">
      <c r="B504" s="143"/>
      <c r="H504" s="143"/>
      <c r="K504" s="148"/>
      <c r="L504" s="150"/>
      <c r="P504" s="148"/>
      <c r="Q504" s="146"/>
      <c r="Y504" s="148"/>
      <c r="Z504" s="147"/>
      <c r="AF504" s="139"/>
      <c r="AH504" s="148"/>
      <c r="AI504" s="146"/>
    </row>
    <row r="505">
      <c r="B505" s="143"/>
      <c r="H505" s="143"/>
      <c r="K505" s="148"/>
      <c r="L505" s="150"/>
      <c r="P505" s="148"/>
      <c r="Q505" s="146"/>
      <c r="Y505" s="148"/>
      <c r="Z505" s="147"/>
      <c r="AF505" s="139"/>
      <c r="AH505" s="148"/>
      <c r="AI505" s="146"/>
    </row>
    <row r="506">
      <c r="B506" s="143"/>
      <c r="H506" s="143"/>
      <c r="K506" s="148"/>
      <c r="L506" s="150"/>
      <c r="P506" s="148"/>
      <c r="Q506" s="146"/>
      <c r="Y506" s="148"/>
      <c r="Z506" s="147"/>
      <c r="AF506" s="139"/>
      <c r="AH506" s="148"/>
      <c r="AI506" s="146"/>
    </row>
    <row r="507">
      <c r="B507" s="143"/>
      <c r="H507" s="143"/>
      <c r="K507" s="148"/>
      <c r="L507" s="150"/>
      <c r="P507" s="148"/>
      <c r="Q507" s="146"/>
      <c r="Y507" s="148"/>
      <c r="Z507" s="147"/>
      <c r="AF507" s="139"/>
      <c r="AH507" s="148"/>
      <c r="AI507" s="146"/>
    </row>
    <row r="508">
      <c r="B508" s="143"/>
      <c r="H508" s="143"/>
      <c r="K508" s="148"/>
      <c r="L508" s="150"/>
      <c r="P508" s="148"/>
      <c r="Q508" s="146"/>
      <c r="Y508" s="148"/>
      <c r="Z508" s="147"/>
      <c r="AF508" s="139"/>
      <c r="AH508" s="148"/>
      <c r="AI508" s="146"/>
    </row>
    <row r="509">
      <c r="B509" s="143"/>
      <c r="H509" s="143"/>
      <c r="K509" s="148"/>
      <c r="L509" s="150"/>
      <c r="P509" s="148"/>
      <c r="Q509" s="146"/>
      <c r="Y509" s="148"/>
      <c r="Z509" s="147"/>
      <c r="AF509" s="139"/>
      <c r="AH509" s="148"/>
      <c r="AI509" s="146"/>
    </row>
    <row r="510">
      <c r="B510" s="143"/>
      <c r="H510" s="143"/>
      <c r="K510" s="148"/>
      <c r="L510" s="150"/>
      <c r="P510" s="148"/>
      <c r="Q510" s="146"/>
      <c r="Y510" s="148"/>
      <c r="Z510" s="147"/>
      <c r="AF510" s="139"/>
      <c r="AH510" s="148"/>
      <c r="AI510" s="146"/>
    </row>
    <row r="511">
      <c r="B511" s="143"/>
      <c r="H511" s="143"/>
      <c r="K511" s="148"/>
      <c r="L511" s="150"/>
      <c r="P511" s="148"/>
      <c r="Q511" s="146"/>
      <c r="Y511" s="148"/>
      <c r="Z511" s="147"/>
      <c r="AF511" s="139"/>
      <c r="AH511" s="148"/>
      <c r="AI511" s="146"/>
    </row>
    <row r="512">
      <c r="B512" s="143"/>
      <c r="H512" s="143"/>
      <c r="K512" s="148"/>
      <c r="L512" s="150"/>
      <c r="P512" s="148"/>
      <c r="Q512" s="146"/>
      <c r="Y512" s="148"/>
      <c r="Z512" s="147"/>
      <c r="AF512" s="139"/>
      <c r="AH512" s="148"/>
      <c r="AI512" s="146"/>
    </row>
    <row r="513">
      <c r="B513" s="143"/>
      <c r="H513" s="143"/>
      <c r="K513" s="148"/>
      <c r="L513" s="150"/>
      <c r="P513" s="148"/>
      <c r="Q513" s="146"/>
      <c r="Y513" s="148"/>
      <c r="Z513" s="147"/>
      <c r="AF513" s="139"/>
      <c r="AH513" s="148"/>
      <c r="AI513" s="146"/>
    </row>
    <row r="514">
      <c r="B514" s="143"/>
      <c r="H514" s="143"/>
      <c r="K514" s="148"/>
      <c r="L514" s="150"/>
      <c r="P514" s="148"/>
      <c r="Q514" s="146"/>
      <c r="Y514" s="148"/>
      <c r="Z514" s="147"/>
      <c r="AF514" s="139"/>
      <c r="AH514" s="148"/>
      <c r="AI514" s="146"/>
    </row>
    <row r="515">
      <c r="B515" s="143"/>
      <c r="H515" s="143"/>
      <c r="K515" s="148"/>
      <c r="L515" s="150"/>
      <c r="P515" s="148"/>
      <c r="Q515" s="146"/>
      <c r="Y515" s="148"/>
      <c r="Z515" s="147"/>
      <c r="AF515" s="139"/>
      <c r="AH515" s="148"/>
      <c r="AI515" s="146"/>
    </row>
    <row r="516">
      <c r="B516" s="143"/>
      <c r="H516" s="143"/>
      <c r="K516" s="148"/>
      <c r="L516" s="150"/>
      <c r="P516" s="148"/>
      <c r="Q516" s="146"/>
      <c r="Y516" s="148"/>
      <c r="Z516" s="147"/>
      <c r="AF516" s="139"/>
      <c r="AH516" s="148"/>
      <c r="AI516" s="146"/>
    </row>
    <row r="517">
      <c r="B517" s="143"/>
      <c r="H517" s="143"/>
      <c r="K517" s="148"/>
      <c r="L517" s="150"/>
      <c r="P517" s="148"/>
      <c r="Q517" s="146"/>
      <c r="Y517" s="148"/>
      <c r="Z517" s="147"/>
      <c r="AF517" s="139"/>
      <c r="AH517" s="148"/>
      <c r="AI517" s="146"/>
    </row>
    <row r="518">
      <c r="B518" s="143"/>
      <c r="H518" s="143"/>
      <c r="K518" s="148"/>
      <c r="L518" s="150"/>
      <c r="P518" s="148"/>
      <c r="Q518" s="146"/>
      <c r="Y518" s="148"/>
      <c r="Z518" s="147"/>
      <c r="AF518" s="139"/>
      <c r="AH518" s="148"/>
      <c r="AI518" s="146"/>
    </row>
    <row r="519">
      <c r="B519" s="143"/>
      <c r="H519" s="143"/>
      <c r="K519" s="148"/>
      <c r="L519" s="150"/>
      <c r="P519" s="148"/>
      <c r="Q519" s="146"/>
      <c r="Y519" s="148"/>
      <c r="Z519" s="147"/>
      <c r="AF519" s="139"/>
      <c r="AH519" s="148"/>
      <c r="AI519" s="146"/>
    </row>
    <row r="520">
      <c r="B520" s="143"/>
      <c r="H520" s="143"/>
      <c r="K520" s="148"/>
      <c r="L520" s="150"/>
      <c r="P520" s="148"/>
      <c r="Q520" s="146"/>
      <c r="Y520" s="148"/>
      <c r="Z520" s="147"/>
      <c r="AF520" s="139"/>
      <c r="AH520" s="148"/>
      <c r="AI520" s="146"/>
    </row>
    <row r="521">
      <c r="B521" s="143"/>
      <c r="H521" s="143"/>
      <c r="K521" s="148"/>
      <c r="L521" s="150"/>
      <c r="P521" s="148"/>
      <c r="Q521" s="146"/>
      <c r="Y521" s="148"/>
      <c r="Z521" s="147"/>
      <c r="AF521" s="139"/>
      <c r="AH521" s="148"/>
      <c r="AI521" s="146"/>
    </row>
    <row r="522">
      <c r="B522" s="143"/>
      <c r="H522" s="143"/>
      <c r="K522" s="148"/>
      <c r="L522" s="150"/>
      <c r="P522" s="148"/>
      <c r="Q522" s="146"/>
      <c r="Y522" s="148"/>
      <c r="Z522" s="147"/>
      <c r="AF522" s="139"/>
      <c r="AH522" s="148"/>
      <c r="AI522" s="146"/>
    </row>
    <row r="523">
      <c r="B523" s="143"/>
      <c r="H523" s="143"/>
      <c r="K523" s="148"/>
      <c r="L523" s="150"/>
      <c r="P523" s="148"/>
      <c r="Q523" s="146"/>
      <c r="Y523" s="148"/>
      <c r="Z523" s="147"/>
      <c r="AF523" s="139"/>
      <c r="AH523" s="148"/>
      <c r="AI523" s="146"/>
    </row>
    <row r="524">
      <c r="B524" s="143"/>
      <c r="H524" s="143"/>
      <c r="K524" s="148"/>
      <c r="L524" s="150"/>
      <c r="P524" s="148"/>
      <c r="Q524" s="146"/>
      <c r="Y524" s="148"/>
      <c r="Z524" s="147"/>
      <c r="AF524" s="139"/>
      <c r="AH524" s="148"/>
      <c r="AI524" s="146"/>
    </row>
    <row r="525">
      <c r="B525" s="143"/>
      <c r="H525" s="143"/>
      <c r="K525" s="148"/>
      <c r="L525" s="150"/>
      <c r="P525" s="148"/>
      <c r="Q525" s="146"/>
      <c r="Y525" s="148"/>
      <c r="Z525" s="147"/>
      <c r="AF525" s="139"/>
      <c r="AH525" s="148"/>
      <c r="AI525" s="146"/>
    </row>
    <row r="526">
      <c r="B526" s="143"/>
      <c r="H526" s="143"/>
      <c r="K526" s="148"/>
      <c r="L526" s="150"/>
      <c r="P526" s="148"/>
      <c r="Q526" s="146"/>
      <c r="Y526" s="148"/>
      <c r="Z526" s="147"/>
      <c r="AF526" s="139"/>
      <c r="AH526" s="148"/>
      <c r="AI526" s="146"/>
    </row>
    <row r="527">
      <c r="B527" s="143"/>
      <c r="H527" s="143"/>
      <c r="K527" s="148"/>
      <c r="L527" s="150"/>
      <c r="P527" s="148"/>
      <c r="Q527" s="146"/>
      <c r="Y527" s="148"/>
      <c r="Z527" s="147"/>
      <c r="AF527" s="139"/>
      <c r="AH527" s="148"/>
      <c r="AI527" s="146"/>
    </row>
    <row r="528">
      <c r="B528" s="143"/>
      <c r="H528" s="143"/>
      <c r="K528" s="148"/>
      <c r="L528" s="150"/>
      <c r="P528" s="148"/>
      <c r="Q528" s="146"/>
      <c r="Y528" s="148"/>
      <c r="Z528" s="147"/>
      <c r="AF528" s="139"/>
      <c r="AH528" s="148"/>
      <c r="AI528" s="146"/>
    </row>
    <row r="529">
      <c r="B529" s="143"/>
      <c r="H529" s="143"/>
      <c r="K529" s="148"/>
      <c r="L529" s="150"/>
      <c r="P529" s="148"/>
      <c r="Q529" s="146"/>
      <c r="Y529" s="148"/>
      <c r="Z529" s="147"/>
      <c r="AF529" s="139"/>
      <c r="AH529" s="148"/>
      <c r="AI529" s="146"/>
    </row>
    <row r="530">
      <c r="B530" s="143"/>
      <c r="H530" s="143"/>
      <c r="K530" s="148"/>
      <c r="L530" s="150"/>
      <c r="P530" s="148"/>
      <c r="Q530" s="146"/>
      <c r="Y530" s="148"/>
      <c r="Z530" s="147"/>
      <c r="AF530" s="139"/>
      <c r="AH530" s="148"/>
      <c r="AI530" s="146"/>
    </row>
    <row r="531">
      <c r="B531" s="143"/>
      <c r="H531" s="143"/>
      <c r="K531" s="148"/>
      <c r="L531" s="150"/>
      <c r="P531" s="148"/>
      <c r="Q531" s="146"/>
      <c r="Y531" s="148"/>
      <c r="Z531" s="147"/>
      <c r="AF531" s="139"/>
      <c r="AH531" s="148"/>
      <c r="AI531" s="146"/>
    </row>
    <row r="532">
      <c r="B532" s="143"/>
      <c r="H532" s="143"/>
      <c r="K532" s="148"/>
      <c r="L532" s="150"/>
      <c r="P532" s="148"/>
      <c r="Q532" s="146"/>
      <c r="Y532" s="148"/>
      <c r="Z532" s="147"/>
      <c r="AF532" s="139"/>
      <c r="AH532" s="148"/>
      <c r="AI532" s="146"/>
    </row>
    <row r="533">
      <c r="B533" s="143"/>
      <c r="H533" s="143"/>
      <c r="K533" s="148"/>
      <c r="L533" s="150"/>
      <c r="P533" s="148"/>
      <c r="Q533" s="146"/>
      <c r="Y533" s="148"/>
      <c r="Z533" s="147"/>
      <c r="AF533" s="139"/>
      <c r="AH533" s="148"/>
      <c r="AI533" s="146"/>
    </row>
    <row r="534">
      <c r="B534" s="143"/>
      <c r="H534" s="143"/>
      <c r="K534" s="148"/>
      <c r="L534" s="150"/>
      <c r="P534" s="148"/>
      <c r="Q534" s="146"/>
      <c r="Y534" s="148"/>
      <c r="Z534" s="147"/>
      <c r="AF534" s="139"/>
      <c r="AH534" s="148"/>
      <c r="AI534" s="146"/>
    </row>
    <row r="535">
      <c r="B535" s="143"/>
      <c r="H535" s="143"/>
      <c r="K535" s="148"/>
      <c r="L535" s="150"/>
      <c r="P535" s="148"/>
      <c r="Q535" s="146"/>
      <c r="Y535" s="148"/>
      <c r="Z535" s="147"/>
      <c r="AF535" s="139"/>
      <c r="AH535" s="148"/>
      <c r="AI535" s="146"/>
    </row>
    <row r="536">
      <c r="B536" s="143"/>
      <c r="H536" s="143"/>
      <c r="K536" s="148"/>
      <c r="L536" s="150"/>
      <c r="P536" s="148"/>
      <c r="Q536" s="146"/>
      <c r="Y536" s="148"/>
      <c r="Z536" s="147"/>
      <c r="AF536" s="139"/>
      <c r="AH536" s="148"/>
      <c r="AI536" s="146"/>
    </row>
    <row r="537">
      <c r="B537" s="143"/>
      <c r="H537" s="143"/>
      <c r="K537" s="148"/>
      <c r="L537" s="150"/>
      <c r="P537" s="148"/>
      <c r="Q537" s="146"/>
      <c r="Y537" s="148"/>
      <c r="Z537" s="147"/>
      <c r="AF537" s="139"/>
      <c r="AH537" s="148"/>
      <c r="AI537" s="146"/>
    </row>
    <row r="538">
      <c r="B538" s="143"/>
      <c r="H538" s="143"/>
      <c r="K538" s="148"/>
      <c r="L538" s="150"/>
      <c r="P538" s="148"/>
      <c r="Q538" s="146"/>
      <c r="Y538" s="148"/>
      <c r="Z538" s="147"/>
      <c r="AF538" s="139"/>
      <c r="AH538" s="148"/>
      <c r="AI538" s="146"/>
    </row>
    <row r="539">
      <c r="B539" s="143"/>
      <c r="H539" s="143"/>
      <c r="K539" s="148"/>
      <c r="L539" s="150"/>
      <c r="P539" s="148"/>
      <c r="Q539" s="146"/>
      <c r="Y539" s="148"/>
      <c r="Z539" s="147"/>
      <c r="AF539" s="139"/>
      <c r="AH539" s="148"/>
      <c r="AI539" s="146"/>
    </row>
    <row r="540">
      <c r="B540" s="143"/>
      <c r="H540" s="143"/>
      <c r="K540" s="148"/>
      <c r="L540" s="150"/>
      <c r="P540" s="148"/>
      <c r="Q540" s="146"/>
      <c r="Y540" s="148"/>
      <c r="Z540" s="147"/>
      <c r="AF540" s="139"/>
      <c r="AH540" s="148"/>
      <c r="AI540" s="146"/>
    </row>
    <row r="541">
      <c r="B541" s="143"/>
      <c r="H541" s="143"/>
      <c r="K541" s="148"/>
      <c r="L541" s="150"/>
      <c r="P541" s="148"/>
      <c r="Q541" s="146"/>
      <c r="Y541" s="148"/>
      <c r="Z541" s="147"/>
      <c r="AF541" s="139"/>
      <c r="AH541" s="148"/>
      <c r="AI541" s="146"/>
    </row>
    <row r="542">
      <c r="B542" s="143"/>
      <c r="H542" s="143"/>
      <c r="K542" s="148"/>
      <c r="L542" s="150"/>
      <c r="P542" s="148"/>
      <c r="Q542" s="146"/>
      <c r="Y542" s="148"/>
      <c r="Z542" s="147"/>
      <c r="AF542" s="139"/>
      <c r="AH542" s="148"/>
      <c r="AI542" s="146"/>
    </row>
    <row r="543">
      <c r="B543" s="143"/>
      <c r="H543" s="143"/>
      <c r="K543" s="148"/>
      <c r="L543" s="150"/>
      <c r="P543" s="148"/>
      <c r="Q543" s="146"/>
      <c r="Y543" s="148"/>
      <c r="Z543" s="147"/>
      <c r="AF543" s="139"/>
      <c r="AH543" s="148"/>
      <c r="AI543" s="146"/>
    </row>
    <row r="544">
      <c r="B544" s="143"/>
      <c r="H544" s="143"/>
      <c r="K544" s="148"/>
      <c r="L544" s="150"/>
      <c r="P544" s="148"/>
      <c r="Q544" s="146"/>
      <c r="Y544" s="148"/>
      <c r="Z544" s="147"/>
      <c r="AF544" s="139"/>
      <c r="AH544" s="148"/>
      <c r="AI544" s="146"/>
    </row>
    <row r="545">
      <c r="B545" s="143"/>
      <c r="H545" s="143"/>
      <c r="K545" s="148"/>
      <c r="L545" s="150"/>
      <c r="P545" s="148"/>
      <c r="Q545" s="146"/>
      <c r="Y545" s="148"/>
      <c r="Z545" s="147"/>
      <c r="AF545" s="139"/>
      <c r="AH545" s="148"/>
      <c r="AI545" s="146"/>
    </row>
    <row r="546">
      <c r="B546" s="143"/>
      <c r="H546" s="143"/>
      <c r="K546" s="148"/>
      <c r="L546" s="150"/>
      <c r="P546" s="148"/>
      <c r="Q546" s="146"/>
      <c r="Y546" s="148"/>
      <c r="Z546" s="147"/>
      <c r="AF546" s="139"/>
      <c r="AH546" s="148"/>
      <c r="AI546" s="146"/>
    </row>
    <row r="547">
      <c r="B547" s="143"/>
      <c r="H547" s="143"/>
      <c r="K547" s="148"/>
      <c r="L547" s="150"/>
      <c r="P547" s="148"/>
      <c r="Q547" s="146"/>
      <c r="Y547" s="148"/>
      <c r="Z547" s="147"/>
      <c r="AF547" s="139"/>
      <c r="AH547" s="148"/>
      <c r="AI547" s="146"/>
    </row>
    <row r="548">
      <c r="B548" s="143"/>
      <c r="H548" s="143"/>
      <c r="K548" s="148"/>
      <c r="L548" s="150"/>
      <c r="P548" s="148"/>
      <c r="Q548" s="146"/>
      <c r="Y548" s="148"/>
      <c r="Z548" s="147"/>
      <c r="AF548" s="139"/>
      <c r="AH548" s="148"/>
      <c r="AI548" s="146"/>
    </row>
    <row r="549">
      <c r="B549" s="143"/>
      <c r="H549" s="143"/>
      <c r="K549" s="148"/>
      <c r="L549" s="150"/>
      <c r="P549" s="148"/>
      <c r="Q549" s="146"/>
      <c r="Y549" s="148"/>
      <c r="Z549" s="147"/>
      <c r="AF549" s="139"/>
      <c r="AH549" s="148"/>
      <c r="AI549" s="146"/>
    </row>
    <row r="550">
      <c r="B550" s="143"/>
      <c r="H550" s="143"/>
      <c r="K550" s="148"/>
      <c r="L550" s="150"/>
      <c r="P550" s="148"/>
      <c r="Q550" s="146"/>
      <c r="Y550" s="148"/>
      <c r="Z550" s="147"/>
      <c r="AF550" s="139"/>
      <c r="AH550" s="148"/>
      <c r="AI550" s="146"/>
    </row>
    <row r="551">
      <c r="B551" s="143"/>
      <c r="H551" s="143"/>
      <c r="K551" s="148"/>
      <c r="L551" s="150"/>
      <c r="P551" s="148"/>
      <c r="Q551" s="146"/>
      <c r="Y551" s="148"/>
      <c r="Z551" s="147"/>
      <c r="AF551" s="139"/>
      <c r="AH551" s="148"/>
      <c r="AI551" s="146"/>
    </row>
    <row r="552">
      <c r="B552" s="143"/>
      <c r="H552" s="143"/>
      <c r="K552" s="148"/>
      <c r="L552" s="150"/>
      <c r="P552" s="148"/>
      <c r="Q552" s="146"/>
      <c r="Y552" s="148"/>
      <c r="Z552" s="147"/>
      <c r="AF552" s="139"/>
      <c r="AH552" s="148"/>
      <c r="AI552" s="146"/>
    </row>
    <row r="553">
      <c r="B553" s="143"/>
      <c r="H553" s="143"/>
      <c r="K553" s="148"/>
      <c r="L553" s="150"/>
      <c r="P553" s="148"/>
      <c r="Q553" s="146"/>
      <c r="Y553" s="148"/>
      <c r="Z553" s="147"/>
      <c r="AF553" s="139"/>
      <c r="AH553" s="148"/>
      <c r="AI553" s="146"/>
    </row>
    <row r="554">
      <c r="B554" s="143"/>
      <c r="H554" s="143"/>
      <c r="K554" s="148"/>
      <c r="L554" s="150"/>
      <c r="P554" s="148"/>
      <c r="Q554" s="146"/>
      <c r="Y554" s="148"/>
      <c r="Z554" s="147"/>
      <c r="AF554" s="139"/>
      <c r="AH554" s="148"/>
      <c r="AI554" s="146"/>
    </row>
    <row r="555">
      <c r="B555" s="143"/>
      <c r="H555" s="143"/>
      <c r="K555" s="148"/>
      <c r="L555" s="150"/>
      <c r="P555" s="148"/>
      <c r="Q555" s="146"/>
      <c r="Y555" s="148"/>
      <c r="Z555" s="147"/>
      <c r="AF555" s="139"/>
      <c r="AH555" s="148"/>
      <c r="AI555" s="146"/>
    </row>
    <row r="556">
      <c r="B556" s="143"/>
      <c r="H556" s="143"/>
      <c r="K556" s="148"/>
      <c r="L556" s="150"/>
      <c r="P556" s="148"/>
      <c r="Q556" s="146"/>
      <c r="Y556" s="148"/>
      <c r="Z556" s="147"/>
      <c r="AF556" s="139"/>
      <c r="AH556" s="148"/>
      <c r="AI556" s="146"/>
    </row>
    <row r="557">
      <c r="B557" s="143"/>
      <c r="H557" s="143"/>
      <c r="K557" s="148"/>
      <c r="L557" s="150"/>
      <c r="P557" s="148"/>
      <c r="Q557" s="146"/>
      <c r="Y557" s="148"/>
      <c r="Z557" s="147"/>
      <c r="AF557" s="139"/>
      <c r="AH557" s="148"/>
      <c r="AI557" s="146"/>
    </row>
    <row r="558">
      <c r="B558" s="143"/>
      <c r="H558" s="143"/>
      <c r="K558" s="148"/>
      <c r="L558" s="150"/>
      <c r="P558" s="148"/>
      <c r="Q558" s="146"/>
      <c r="Y558" s="148"/>
      <c r="Z558" s="147"/>
      <c r="AF558" s="139"/>
      <c r="AH558" s="148"/>
      <c r="AI558" s="146"/>
    </row>
    <row r="559">
      <c r="B559" s="143"/>
      <c r="H559" s="143"/>
      <c r="K559" s="148"/>
      <c r="L559" s="150"/>
      <c r="P559" s="148"/>
      <c r="Q559" s="146"/>
      <c r="Y559" s="148"/>
      <c r="Z559" s="147"/>
      <c r="AF559" s="139"/>
      <c r="AH559" s="148"/>
      <c r="AI559" s="146"/>
    </row>
    <row r="560">
      <c r="B560" s="143"/>
      <c r="H560" s="143"/>
      <c r="K560" s="148"/>
      <c r="L560" s="150"/>
      <c r="P560" s="148"/>
      <c r="Q560" s="146"/>
      <c r="Y560" s="148"/>
      <c r="Z560" s="147"/>
      <c r="AF560" s="139"/>
      <c r="AH560" s="148"/>
      <c r="AI560" s="146"/>
    </row>
    <row r="561">
      <c r="B561" s="143"/>
      <c r="H561" s="143"/>
      <c r="K561" s="148"/>
      <c r="L561" s="150"/>
      <c r="P561" s="148"/>
      <c r="Q561" s="146"/>
      <c r="Y561" s="148"/>
      <c r="Z561" s="147"/>
      <c r="AF561" s="139"/>
      <c r="AH561" s="148"/>
      <c r="AI561" s="146"/>
    </row>
    <row r="562">
      <c r="B562" s="143"/>
      <c r="H562" s="143"/>
      <c r="K562" s="148"/>
      <c r="L562" s="150"/>
      <c r="P562" s="148"/>
      <c r="Q562" s="146"/>
      <c r="Y562" s="148"/>
      <c r="Z562" s="147"/>
      <c r="AF562" s="139"/>
      <c r="AH562" s="148"/>
      <c r="AI562" s="146"/>
    </row>
    <row r="563">
      <c r="B563" s="143"/>
      <c r="H563" s="143"/>
      <c r="K563" s="148"/>
      <c r="L563" s="150"/>
      <c r="P563" s="148"/>
      <c r="Q563" s="146"/>
      <c r="Y563" s="148"/>
      <c r="Z563" s="147"/>
      <c r="AF563" s="139"/>
      <c r="AH563" s="148"/>
      <c r="AI563" s="146"/>
    </row>
    <row r="564">
      <c r="B564" s="143"/>
      <c r="H564" s="143"/>
      <c r="K564" s="148"/>
      <c r="L564" s="150"/>
      <c r="P564" s="148"/>
      <c r="Q564" s="146"/>
      <c r="Y564" s="148"/>
      <c r="Z564" s="147"/>
      <c r="AF564" s="139"/>
      <c r="AH564" s="148"/>
      <c r="AI564" s="146"/>
    </row>
    <row r="565">
      <c r="B565" s="143"/>
      <c r="H565" s="143"/>
      <c r="K565" s="148"/>
      <c r="L565" s="150"/>
      <c r="P565" s="148"/>
      <c r="Q565" s="146"/>
      <c r="Y565" s="148"/>
      <c r="Z565" s="147"/>
      <c r="AF565" s="139"/>
      <c r="AH565" s="148"/>
      <c r="AI565" s="146"/>
    </row>
    <row r="566">
      <c r="B566" s="143"/>
      <c r="H566" s="143"/>
      <c r="K566" s="148"/>
      <c r="L566" s="150"/>
      <c r="P566" s="148"/>
      <c r="Q566" s="146"/>
      <c r="Y566" s="148"/>
      <c r="Z566" s="147"/>
      <c r="AF566" s="139"/>
      <c r="AH566" s="148"/>
      <c r="AI566" s="146"/>
    </row>
    <row r="567">
      <c r="B567" s="143"/>
      <c r="H567" s="143"/>
      <c r="K567" s="148"/>
      <c r="L567" s="150"/>
      <c r="P567" s="148"/>
      <c r="Q567" s="146"/>
      <c r="Y567" s="148"/>
      <c r="Z567" s="147"/>
      <c r="AF567" s="139"/>
      <c r="AH567" s="148"/>
      <c r="AI567" s="146"/>
    </row>
    <row r="568">
      <c r="B568" s="143"/>
      <c r="H568" s="143"/>
      <c r="K568" s="148"/>
      <c r="L568" s="150"/>
      <c r="P568" s="148"/>
      <c r="Q568" s="146"/>
      <c r="Y568" s="148"/>
      <c r="Z568" s="147"/>
      <c r="AF568" s="139"/>
      <c r="AH568" s="148"/>
      <c r="AI568" s="146"/>
    </row>
    <row r="569">
      <c r="B569" s="143"/>
      <c r="H569" s="143"/>
      <c r="K569" s="148"/>
      <c r="L569" s="150"/>
      <c r="P569" s="148"/>
      <c r="Q569" s="146"/>
      <c r="Y569" s="148"/>
      <c r="Z569" s="147"/>
      <c r="AF569" s="139"/>
      <c r="AH569" s="148"/>
      <c r="AI569" s="146"/>
    </row>
    <row r="570">
      <c r="B570" s="143"/>
      <c r="H570" s="143"/>
      <c r="K570" s="148"/>
      <c r="L570" s="150"/>
      <c r="P570" s="148"/>
      <c r="Q570" s="146"/>
      <c r="Y570" s="148"/>
      <c r="Z570" s="147"/>
      <c r="AF570" s="139"/>
      <c r="AH570" s="148"/>
      <c r="AI570" s="146"/>
    </row>
    <row r="571">
      <c r="B571" s="143"/>
      <c r="H571" s="143"/>
      <c r="K571" s="148"/>
      <c r="L571" s="150"/>
      <c r="P571" s="148"/>
      <c r="Q571" s="146"/>
      <c r="Y571" s="148"/>
      <c r="Z571" s="147"/>
      <c r="AF571" s="139"/>
      <c r="AH571" s="148"/>
      <c r="AI571" s="146"/>
    </row>
    <row r="572">
      <c r="B572" s="143"/>
      <c r="H572" s="143"/>
      <c r="K572" s="148"/>
      <c r="L572" s="150"/>
      <c r="P572" s="148"/>
      <c r="Q572" s="146"/>
      <c r="Y572" s="148"/>
      <c r="Z572" s="147"/>
      <c r="AF572" s="139"/>
      <c r="AH572" s="148"/>
      <c r="AI572" s="146"/>
    </row>
    <row r="573">
      <c r="B573" s="143"/>
      <c r="H573" s="143"/>
      <c r="K573" s="148"/>
      <c r="L573" s="150"/>
      <c r="P573" s="148"/>
      <c r="Q573" s="146"/>
      <c r="Y573" s="148"/>
      <c r="Z573" s="147"/>
      <c r="AF573" s="139"/>
      <c r="AH573" s="148"/>
      <c r="AI573" s="146"/>
    </row>
    <row r="574">
      <c r="B574" s="143"/>
      <c r="H574" s="143"/>
      <c r="K574" s="148"/>
      <c r="L574" s="150"/>
      <c r="P574" s="148"/>
      <c r="Q574" s="146"/>
      <c r="Y574" s="148"/>
      <c r="Z574" s="147"/>
      <c r="AF574" s="139"/>
      <c r="AH574" s="148"/>
      <c r="AI574" s="146"/>
    </row>
    <row r="575">
      <c r="B575" s="143"/>
      <c r="H575" s="143"/>
      <c r="K575" s="148"/>
      <c r="L575" s="150"/>
      <c r="P575" s="148"/>
      <c r="Q575" s="146"/>
      <c r="Y575" s="148"/>
      <c r="Z575" s="147"/>
      <c r="AF575" s="139"/>
      <c r="AH575" s="148"/>
      <c r="AI575" s="146"/>
    </row>
    <row r="576">
      <c r="B576" s="143"/>
      <c r="H576" s="143"/>
      <c r="K576" s="148"/>
      <c r="L576" s="150"/>
      <c r="P576" s="148"/>
      <c r="Q576" s="146"/>
      <c r="Y576" s="148"/>
      <c r="Z576" s="147"/>
      <c r="AF576" s="139"/>
      <c r="AH576" s="148"/>
      <c r="AI576" s="146"/>
    </row>
    <row r="577">
      <c r="B577" s="143"/>
      <c r="H577" s="143"/>
      <c r="K577" s="148"/>
      <c r="L577" s="150"/>
      <c r="P577" s="148"/>
      <c r="Q577" s="146"/>
      <c r="Y577" s="148"/>
      <c r="Z577" s="147"/>
      <c r="AF577" s="139"/>
      <c r="AH577" s="148"/>
      <c r="AI577" s="146"/>
    </row>
    <row r="578">
      <c r="B578" s="143"/>
      <c r="H578" s="143"/>
      <c r="K578" s="148"/>
      <c r="L578" s="150"/>
      <c r="P578" s="148"/>
      <c r="Q578" s="146"/>
      <c r="Y578" s="148"/>
      <c r="Z578" s="147"/>
      <c r="AF578" s="139"/>
      <c r="AH578" s="148"/>
      <c r="AI578" s="146"/>
    </row>
    <row r="579">
      <c r="B579" s="143"/>
      <c r="H579" s="143"/>
      <c r="K579" s="148"/>
      <c r="L579" s="150"/>
      <c r="P579" s="148"/>
      <c r="Q579" s="146"/>
      <c r="Y579" s="148"/>
      <c r="Z579" s="147"/>
      <c r="AF579" s="139"/>
      <c r="AH579" s="148"/>
      <c r="AI579" s="146"/>
    </row>
    <row r="580">
      <c r="B580" s="143"/>
      <c r="H580" s="143"/>
      <c r="K580" s="148"/>
      <c r="L580" s="150"/>
      <c r="P580" s="148"/>
      <c r="Q580" s="146"/>
      <c r="Y580" s="148"/>
      <c r="Z580" s="147"/>
      <c r="AF580" s="139"/>
      <c r="AH580" s="148"/>
      <c r="AI580" s="146"/>
    </row>
    <row r="581">
      <c r="B581" s="143"/>
      <c r="H581" s="143"/>
      <c r="K581" s="148"/>
      <c r="L581" s="150"/>
      <c r="P581" s="148"/>
      <c r="Q581" s="146"/>
      <c r="Y581" s="148"/>
      <c r="Z581" s="147"/>
      <c r="AF581" s="139"/>
      <c r="AH581" s="148"/>
      <c r="AI581" s="146"/>
    </row>
    <row r="582">
      <c r="B582" s="143"/>
      <c r="H582" s="143"/>
      <c r="K582" s="148"/>
      <c r="L582" s="150"/>
      <c r="P582" s="148"/>
      <c r="Q582" s="146"/>
      <c r="Y582" s="148"/>
      <c r="Z582" s="147"/>
      <c r="AF582" s="139"/>
      <c r="AH582" s="148"/>
      <c r="AI582" s="146"/>
    </row>
    <row r="583">
      <c r="B583" s="143"/>
      <c r="H583" s="143"/>
      <c r="K583" s="148"/>
      <c r="L583" s="150"/>
      <c r="P583" s="148"/>
      <c r="Q583" s="146"/>
      <c r="Y583" s="148"/>
      <c r="Z583" s="147"/>
      <c r="AF583" s="139"/>
      <c r="AH583" s="148"/>
      <c r="AI583" s="146"/>
    </row>
    <row r="584">
      <c r="B584" s="143"/>
      <c r="H584" s="143"/>
      <c r="K584" s="148"/>
      <c r="L584" s="150"/>
      <c r="P584" s="148"/>
      <c r="Q584" s="146"/>
      <c r="Y584" s="148"/>
      <c r="Z584" s="147"/>
      <c r="AF584" s="139"/>
      <c r="AH584" s="148"/>
      <c r="AI584" s="146"/>
    </row>
    <row r="585">
      <c r="B585" s="143"/>
      <c r="H585" s="143"/>
      <c r="K585" s="148"/>
      <c r="L585" s="150"/>
      <c r="P585" s="148"/>
      <c r="Q585" s="146"/>
      <c r="Y585" s="148"/>
      <c r="Z585" s="147"/>
      <c r="AF585" s="139"/>
      <c r="AH585" s="148"/>
      <c r="AI585" s="146"/>
    </row>
    <row r="586">
      <c r="B586" s="143"/>
      <c r="H586" s="143"/>
      <c r="K586" s="148"/>
      <c r="L586" s="150"/>
      <c r="P586" s="148"/>
      <c r="Q586" s="146"/>
      <c r="Y586" s="148"/>
      <c r="Z586" s="147"/>
      <c r="AF586" s="139"/>
      <c r="AH586" s="148"/>
      <c r="AI586" s="146"/>
    </row>
    <row r="587">
      <c r="B587" s="143"/>
      <c r="H587" s="143"/>
      <c r="K587" s="148"/>
      <c r="L587" s="150"/>
      <c r="P587" s="148"/>
      <c r="Q587" s="146"/>
      <c r="Y587" s="148"/>
      <c r="Z587" s="147"/>
      <c r="AF587" s="139"/>
      <c r="AH587" s="148"/>
      <c r="AI587" s="146"/>
    </row>
    <row r="588">
      <c r="B588" s="143"/>
      <c r="H588" s="143"/>
      <c r="K588" s="148"/>
      <c r="L588" s="150"/>
      <c r="P588" s="148"/>
      <c r="Q588" s="146"/>
      <c r="Y588" s="148"/>
      <c r="Z588" s="147"/>
      <c r="AF588" s="139"/>
      <c r="AH588" s="148"/>
      <c r="AI588" s="146"/>
    </row>
    <row r="589">
      <c r="B589" s="143"/>
      <c r="H589" s="143"/>
      <c r="K589" s="148"/>
      <c r="L589" s="150"/>
      <c r="P589" s="148"/>
      <c r="Q589" s="146"/>
      <c r="Y589" s="148"/>
      <c r="Z589" s="147"/>
      <c r="AF589" s="139"/>
      <c r="AH589" s="148"/>
      <c r="AI589" s="146"/>
    </row>
    <row r="590">
      <c r="B590" s="143"/>
      <c r="H590" s="143"/>
      <c r="K590" s="148"/>
      <c r="L590" s="150"/>
      <c r="P590" s="148"/>
      <c r="Q590" s="146"/>
      <c r="Y590" s="148"/>
      <c r="Z590" s="147"/>
      <c r="AF590" s="139"/>
      <c r="AH590" s="148"/>
      <c r="AI590" s="146"/>
    </row>
    <row r="591">
      <c r="B591" s="143"/>
      <c r="H591" s="143"/>
      <c r="K591" s="148"/>
      <c r="L591" s="150"/>
      <c r="P591" s="148"/>
      <c r="Q591" s="146"/>
      <c r="Y591" s="148"/>
      <c r="Z591" s="147"/>
      <c r="AF591" s="139"/>
      <c r="AH591" s="148"/>
      <c r="AI591" s="146"/>
    </row>
    <row r="592">
      <c r="B592" s="143"/>
      <c r="H592" s="143"/>
      <c r="K592" s="148"/>
      <c r="L592" s="150"/>
      <c r="P592" s="148"/>
      <c r="Q592" s="146"/>
      <c r="Y592" s="148"/>
      <c r="Z592" s="147"/>
      <c r="AF592" s="139"/>
      <c r="AH592" s="148"/>
      <c r="AI592" s="146"/>
    </row>
    <row r="593">
      <c r="B593" s="143"/>
      <c r="H593" s="143"/>
      <c r="K593" s="148"/>
      <c r="L593" s="150"/>
      <c r="P593" s="148"/>
      <c r="Q593" s="146"/>
      <c r="Y593" s="148"/>
      <c r="Z593" s="147"/>
      <c r="AF593" s="139"/>
      <c r="AH593" s="148"/>
      <c r="AI593" s="146"/>
    </row>
    <row r="594">
      <c r="B594" s="143"/>
      <c r="H594" s="143"/>
      <c r="K594" s="148"/>
      <c r="L594" s="150"/>
      <c r="P594" s="148"/>
      <c r="Q594" s="146"/>
      <c r="Y594" s="148"/>
      <c r="Z594" s="147"/>
      <c r="AF594" s="139"/>
      <c r="AH594" s="148"/>
      <c r="AI594" s="146"/>
    </row>
    <row r="595">
      <c r="B595" s="143"/>
      <c r="H595" s="143"/>
      <c r="K595" s="148"/>
      <c r="L595" s="150"/>
      <c r="P595" s="148"/>
      <c r="Q595" s="146"/>
      <c r="Y595" s="148"/>
      <c r="Z595" s="147"/>
      <c r="AF595" s="139"/>
      <c r="AH595" s="148"/>
      <c r="AI595" s="146"/>
    </row>
    <row r="596">
      <c r="B596" s="143"/>
      <c r="H596" s="143"/>
      <c r="K596" s="148"/>
      <c r="L596" s="150"/>
      <c r="P596" s="148"/>
      <c r="Q596" s="146"/>
      <c r="Y596" s="148"/>
      <c r="Z596" s="147"/>
      <c r="AF596" s="139"/>
      <c r="AH596" s="148"/>
      <c r="AI596" s="146"/>
    </row>
    <row r="597">
      <c r="B597" s="143"/>
      <c r="H597" s="143"/>
      <c r="K597" s="148"/>
      <c r="L597" s="150"/>
      <c r="P597" s="148"/>
      <c r="Q597" s="146"/>
      <c r="Y597" s="148"/>
      <c r="Z597" s="147"/>
      <c r="AF597" s="139"/>
      <c r="AH597" s="148"/>
      <c r="AI597" s="146"/>
    </row>
    <row r="598">
      <c r="B598" s="143"/>
      <c r="H598" s="143"/>
      <c r="K598" s="148"/>
      <c r="L598" s="150"/>
      <c r="P598" s="148"/>
      <c r="Q598" s="146"/>
      <c r="Y598" s="148"/>
      <c r="Z598" s="147"/>
      <c r="AF598" s="139"/>
      <c r="AH598" s="148"/>
      <c r="AI598" s="146"/>
    </row>
    <row r="599">
      <c r="B599" s="143"/>
      <c r="H599" s="143"/>
      <c r="K599" s="148"/>
      <c r="L599" s="150"/>
      <c r="P599" s="148"/>
      <c r="Q599" s="146"/>
      <c r="Y599" s="148"/>
      <c r="Z599" s="147"/>
      <c r="AF599" s="139"/>
      <c r="AH599" s="148"/>
      <c r="AI599" s="146"/>
    </row>
    <row r="600">
      <c r="B600" s="143"/>
      <c r="H600" s="143"/>
      <c r="K600" s="148"/>
      <c r="L600" s="150"/>
      <c r="P600" s="148"/>
      <c r="Q600" s="146"/>
      <c r="Y600" s="148"/>
      <c r="Z600" s="147"/>
      <c r="AF600" s="139"/>
      <c r="AH600" s="148"/>
      <c r="AI600" s="146"/>
    </row>
    <row r="601">
      <c r="B601" s="143"/>
      <c r="H601" s="143"/>
      <c r="K601" s="148"/>
      <c r="L601" s="150"/>
      <c r="P601" s="148"/>
      <c r="Q601" s="146"/>
      <c r="Y601" s="148"/>
      <c r="Z601" s="147"/>
      <c r="AF601" s="139"/>
      <c r="AH601" s="148"/>
      <c r="AI601" s="146"/>
    </row>
    <row r="602">
      <c r="B602" s="143"/>
      <c r="H602" s="143"/>
      <c r="K602" s="148"/>
      <c r="L602" s="150"/>
      <c r="P602" s="148"/>
      <c r="Q602" s="146"/>
      <c r="Y602" s="148"/>
      <c r="Z602" s="147"/>
      <c r="AF602" s="139"/>
      <c r="AH602" s="148"/>
      <c r="AI602" s="146"/>
    </row>
    <row r="603">
      <c r="B603" s="143"/>
      <c r="H603" s="143"/>
      <c r="K603" s="148"/>
      <c r="L603" s="150"/>
      <c r="P603" s="148"/>
      <c r="Q603" s="146"/>
      <c r="Y603" s="148"/>
      <c r="Z603" s="147"/>
      <c r="AF603" s="139"/>
      <c r="AH603" s="148"/>
      <c r="AI603" s="146"/>
    </row>
    <row r="604">
      <c r="B604" s="143"/>
      <c r="H604" s="143"/>
      <c r="K604" s="148"/>
      <c r="L604" s="150"/>
      <c r="P604" s="148"/>
      <c r="Q604" s="146"/>
      <c r="Y604" s="148"/>
      <c r="Z604" s="147"/>
      <c r="AF604" s="139"/>
      <c r="AH604" s="148"/>
      <c r="AI604" s="146"/>
    </row>
    <row r="605">
      <c r="B605" s="143"/>
      <c r="H605" s="143"/>
      <c r="K605" s="148"/>
      <c r="L605" s="150"/>
      <c r="P605" s="148"/>
      <c r="Q605" s="146"/>
      <c r="Y605" s="148"/>
      <c r="Z605" s="147"/>
      <c r="AF605" s="139"/>
      <c r="AH605" s="148"/>
      <c r="AI605" s="146"/>
    </row>
    <row r="606">
      <c r="B606" s="143"/>
      <c r="H606" s="143"/>
      <c r="K606" s="148"/>
      <c r="L606" s="150"/>
      <c r="P606" s="148"/>
      <c r="Q606" s="146"/>
      <c r="Y606" s="148"/>
      <c r="Z606" s="147"/>
      <c r="AF606" s="139"/>
      <c r="AH606" s="148"/>
      <c r="AI606" s="146"/>
    </row>
    <row r="607">
      <c r="B607" s="143"/>
      <c r="H607" s="143"/>
      <c r="K607" s="148"/>
      <c r="L607" s="150"/>
      <c r="P607" s="148"/>
      <c r="Q607" s="146"/>
      <c r="Y607" s="148"/>
      <c r="Z607" s="147"/>
      <c r="AF607" s="139"/>
      <c r="AH607" s="148"/>
      <c r="AI607" s="146"/>
    </row>
    <row r="608">
      <c r="B608" s="143"/>
      <c r="H608" s="143"/>
      <c r="K608" s="148"/>
      <c r="L608" s="150"/>
      <c r="P608" s="148"/>
      <c r="Q608" s="146"/>
      <c r="Y608" s="148"/>
      <c r="Z608" s="147"/>
      <c r="AF608" s="139"/>
      <c r="AH608" s="148"/>
      <c r="AI608" s="146"/>
    </row>
    <row r="609">
      <c r="B609" s="143"/>
      <c r="H609" s="143"/>
      <c r="K609" s="148"/>
      <c r="L609" s="150"/>
      <c r="P609" s="148"/>
      <c r="Q609" s="146"/>
      <c r="Y609" s="148"/>
      <c r="Z609" s="147"/>
      <c r="AF609" s="139"/>
      <c r="AH609" s="148"/>
      <c r="AI609" s="146"/>
    </row>
    <row r="610">
      <c r="B610" s="143"/>
      <c r="H610" s="143"/>
      <c r="K610" s="148"/>
      <c r="L610" s="150"/>
      <c r="P610" s="148"/>
      <c r="Q610" s="146"/>
      <c r="Y610" s="148"/>
      <c r="Z610" s="147"/>
      <c r="AF610" s="139"/>
      <c r="AH610" s="148"/>
      <c r="AI610" s="146"/>
    </row>
    <row r="611">
      <c r="B611" s="143"/>
      <c r="H611" s="143"/>
      <c r="K611" s="148"/>
      <c r="L611" s="150"/>
      <c r="P611" s="148"/>
      <c r="Q611" s="146"/>
      <c r="Y611" s="148"/>
      <c r="Z611" s="147"/>
      <c r="AF611" s="139"/>
      <c r="AH611" s="148"/>
      <c r="AI611" s="146"/>
    </row>
    <row r="612">
      <c r="B612" s="143"/>
      <c r="H612" s="143"/>
      <c r="K612" s="148"/>
      <c r="L612" s="150"/>
      <c r="P612" s="148"/>
      <c r="Q612" s="146"/>
      <c r="Y612" s="148"/>
      <c r="Z612" s="147"/>
      <c r="AF612" s="139"/>
      <c r="AH612" s="148"/>
      <c r="AI612" s="146"/>
    </row>
    <row r="613">
      <c r="B613" s="143"/>
      <c r="H613" s="143"/>
      <c r="K613" s="148"/>
      <c r="L613" s="150"/>
      <c r="P613" s="148"/>
      <c r="Q613" s="146"/>
      <c r="Y613" s="148"/>
      <c r="Z613" s="147"/>
      <c r="AF613" s="139"/>
      <c r="AH613" s="148"/>
      <c r="AI613" s="146"/>
    </row>
    <row r="614">
      <c r="B614" s="143"/>
      <c r="H614" s="143"/>
      <c r="K614" s="148"/>
      <c r="L614" s="150"/>
      <c r="P614" s="148"/>
      <c r="Q614" s="146"/>
      <c r="Y614" s="148"/>
      <c r="Z614" s="147"/>
      <c r="AF614" s="139"/>
      <c r="AH614" s="148"/>
      <c r="AI614" s="146"/>
    </row>
    <row r="615">
      <c r="B615" s="143"/>
      <c r="H615" s="143"/>
      <c r="K615" s="148"/>
      <c r="L615" s="150"/>
      <c r="P615" s="148"/>
      <c r="Q615" s="146"/>
      <c r="Y615" s="148"/>
      <c r="Z615" s="147"/>
      <c r="AF615" s="139"/>
      <c r="AH615" s="148"/>
      <c r="AI615" s="146"/>
    </row>
    <row r="616">
      <c r="B616" s="143"/>
      <c r="H616" s="143"/>
      <c r="K616" s="148"/>
      <c r="L616" s="150"/>
      <c r="P616" s="148"/>
      <c r="Q616" s="146"/>
      <c r="Y616" s="148"/>
      <c r="Z616" s="147"/>
      <c r="AF616" s="139"/>
      <c r="AH616" s="148"/>
      <c r="AI616" s="146"/>
    </row>
    <row r="617">
      <c r="B617" s="143"/>
      <c r="H617" s="143"/>
      <c r="K617" s="148"/>
      <c r="L617" s="150"/>
      <c r="P617" s="148"/>
      <c r="Q617" s="146"/>
      <c r="Y617" s="148"/>
      <c r="Z617" s="147"/>
      <c r="AF617" s="139"/>
      <c r="AH617" s="148"/>
      <c r="AI617" s="146"/>
    </row>
    <row r="618">
      <c r="B618" s="143"/>
      <c r="H618" s="143"/>
      <c r="K618" s="148"/>
      <c r="L618" s="150"/>
      <c r="P618" s="148"/>
      <c r="Q618" s="146"/>
      <c r="Y618" s="148"/>
      <c r="Z618" s="147"/>
      <c r="AF618" s="139"/>
      <c r="AH618" s="148"/>
      <c r="AI618" s="146"/>
    </row>
    <row r="619">
      <c r="B619" s="143"/>
      <c r="H619" s="143"/>
      <c r="K619" s="148"/>
      <c r="L619" s="150"/>
      <c r="P619" s="148"/>
      <c r="Q619" s="146"/>
      <c r="Y619" s="148"/>
      <c r="Z619" s="147"/>
      <c r="AF619" s="139"/>
      <c r="AH619" s="148"/>
      <c r="AI619" s="146"/>
    </row>
    <row r="620">
      <c r="B620" s="143"/>
      <c r="H620" s="143"/>
      <c r="K620" s="148"/>
      <c r="L620" s="150"/>
      <c r="P620" s="148"/>
      <c r="Q620" s="146"/>
      <c r="Y620" s="148"/>
      <c r="Z620" s="147"/>
      <c r="AF620" s="139"/>
      <c r="AH620" s="148"/>
      <c r="AI620" s="146"/>
    </row>
    <row r="621">
      <c r="B621" s="143"/>
      <c r="H621" s="143"/>
      <c r="K621" s="148"/>
      <c r="L621" s="150"/>
      <c r="P621" s="148"/>
      <c r="Q621" s="146"/>
      <c r="Y621" s="148"/>
      <c r="Z621" s="147"/>
      <c r="AF621" s="139"/>
      <c r="AH621" s="148"/>
      <c r="AI621" s="146"/>
    </row>
    <row r="622">
      <c r="B622" s="143"/>
      <c r="H622" s="143"/>
      <c r="K622" s="148"/>
      <c r="L622" s="150"/>
      <c r="P622" s="148"/>
      <c r="Q622" s="146"/>
      <c r="Y622" s="148"/>
      <c r="Z622" s="147"/>
      <c r="AF622" s="139"/>
      <c r="AH622" s="148"/>
      <c r="AI622" s="146"/>
    </row>
    <row r="623">
      <c r="B623" s="143"/>
      <c r="H623" s="143"/>
      <c r="K623" s="148"/>
      <c r="L623" s="150"/>
      <c r="P623" s="148"/>
      <c r="Q623" s="146"/>
      <c r="Y623" s="148"/>
      <c r="Z623" s="147"/>
      <c r="AF623" s="139"/>
      <c r="AH623" s="148"/>
      <c r="AI623" s="146"/>
    </row>
    <row r="624">
      <c r="B624" s="143"/>
      <c r="H624" s="143"/>
      <c r="K624" s="148"/>
      <c r="L624" s="150"/>
      <c r="P624" s="148"/>
      <c r="Q624" s="146"/>
      <c r="Y624" s="148"/>
      <c r="Z624" s="147"/>
      <c r="AF624" s="139"/>
      <c r="AH624" s="148"/>
      <c r="AI624" s="146"/>
    </row>
    <row r="625">
      <c r="B625" s="143"/>
      <c r="H625" s="143"/>
      <c r="K625" s="148"/>
      <c r="L625" s="150"/>
      <c r="P625" s="148"/>
      <c r="Q625" s="146"/>
      <c r="Y625" s="148"/>
      <c r="Z625" s="147"/>
      <c r="AF625" s="139"/>
      <c r="AH625" s="148"/>
      <c r="AI625" s="146"/>
    </row>
    <row r="626">
      <c r="B626" s="143"/>
      <c r="H626" s="143"/>
      <c r="K626" s="148"/>
      <c r="L626" s="150"/>
      <c r="P626" s="148"/>
      <c r="Q626" s="146"/>
      <c r="Y626" s="148"/>
      <c r="Z626" s="147"/>
      <c r="AF626" s="139"/>
      <c r="AH626" s="148"/>
      <c r="AI626" s="146"/>
    </row>
    <row r="627">
      <c r="B627" s="143"/>
      <c r="H627" s="143"/>
      <c r="K627" s="148"/>
      <c r="L627" s="150"/>
      <c r="P627" s="148"/>
      <c r="Q627" s="146"/>
      <c r="Y627" s="148"/>
      <c r="Z627" s="147"/>
      <c r="AF627" s="139"/>
      <c r="AH627" s="148"/>
      <c r="AI627" s="146"/>
    </row>
    <row r="628">
      <c r="B628" s="143"/>
      <c r="H628" s="143"/>
      <c r="K628" s="148"/>
      <c r="L628" s="150"/>
      <c r="P628" s="148"/>
      <c r="Q628" s="146"/>
      <c r="Y628" s="148"/>
      <c r="Z628" s="147"/>
      <c r="AF628" s="139"/>
      <c r="AH628" s="148"/>
      <c r="AI628" s="146"/>
    </row>
    <row r="629">
      <c r="B629" s="143"/>
      <c r="H629" s="143"/>
      <c r="K629" s="148"/>
      <c r="L629" s="150"/>
      <c r="P629" s="148"/>
      <c r="Q629" s="146"/>
      <c r="Y629" s="148"/>
      <c r="Z629" s="147"/>
      <c r="AF629" s="139"/>
      <c r="AH629" s="148"/>
      <c r="AI629" s="146"/>
    </row>
    <row r="630">
      <c r="B630" s="143"/>
      <c r="H630" s="143"/>
      <c r="K630" s="148"/>
      <c r="L630" s="150"/>
      <c r="P630" s="148"/>
      <c r="Q630" s="146"/>
      <c r="Y630" s="148"/>
      <c r="Z630" s="147"/>
      <c r="AF630" s="139"/>
      <c r="AH630" s="148"/>
      <c r="AI630" s="146"/>
    </row>
    <row r="631">
      <c r="B631" s="143"/>
      <c r="H631" s="143"/>
      <c r="K631" s="148"/>
      <c r="L631" s="150"/>
      <c r="P631" s="148"/>
      <c r="Q631" s="146"/>
      <c r="Y631" s="148"/>
      <c r="Z631" s="147"/>
      <c r="AF631" s="139"/>
      <c r="AH631" s="148"/>
      <c r="AI631" s="146"/>
    </row>
    <row r="632">
      <c r="B632" s="143"/>
      <c r="H632" s="143"/>
      <c r="K632" s="148"/>
      <c r="L632" s="150"/>
      <c r="P632" s="148"/>
      <c r="Q632" s="146"/>
      <c r="Y632" s="148"/>
      <c r="Z632" s="147"/>
      <c r="AF632" s="139"/>
      <c r="AH632" s="148"/>
      <c r="AI632" s="146"/>
    </row>
    <row r="633">
      <c r="B633" s="143"/>
      <c r="H633" s="143"/>
      <c r="K633" s="148"/>
      <c r="L633" s="150"/>
      <c r="P633" s="148"/>
      <c r="Q633" s="146"/>
      <c r="Y633" s="148"/>
      <c r="Z633" s="147"/>
      <c r="AF633" s="139"/>
      <c r="AH633" s="148"/>
      <c r="AI633" s="146"/>
    </row>
    <row r="634">
      <c r="B634" s="143"/>
      <c r="H634" s="143"/>
      <c r="K634" s="148"/>
      <c r="L634" s="150"/>
      <c r="P634" s="148"/>
      <c r="Q634" s="146"/>
      <c r="Y634" s="148"/>
      <c r="Z634" s="147"/>
      <c r="AF634" s="139"/>
      <c r="AH634" s="148"/>
      <c r="AI634" s="146"/>
    </row>
    <row r="635">
      <c r="B635" s="143"/>
      <c r="H635" s="143"/>
      <c r="K635" s="148"/>
      <c r="L635" s="150"/>
      <c r="P635" s="148"/>
      <c r="Q635" s="146"/>
      <c r="Y635" s="148"/>
      <c r="Z635" s="147"/>
      <c r="AF635" s="139"/>
      <c r="AH635" s="148"/>
      <c r="AI635" s="146"/>
    </row>
    <row r="636">
      <c r="B636" s="143"/>
      <c r="H636" s="143"/>
      <c r="K636" s="148"/>
      <c r="L636" s="150"/>
      <c r="P636" s="148"/>
      <c r="Q636" s="146"/>
      <c r="Y636" s="148"/>
      <c r="Z636" s="147"/>
      <c r="AF636" s="139"/>
      <c r="AH636" s="148"/>
      <c r="AI636" s="146"/>
    </row>
    <row r="637">
      <c r="B637" s="143"/>
      <c r="H637" s="143"/>
      <c r="K637" s="148"/>
      <c r="L637" s="150"/>
      <c r="P637" s="148"/>
      <c r="Q637" s="146"/>
      <c r="Y637" s="148"/>
      <c r="Z637" s="147"/>
      <c r="AF637" s="139"/>
      <c r="AH637" s="148"/>
      <c r="AI637" s="146"/>
    </row>
    <row r="638">
      <c r="B638" s="143"/>
      <c r="H638" s="143"/>
      <c r="K638" s="148"/>
      <c r="L638" s="150"/>
      <c r="P638" s="148"/>
      <c r="Q638" s="146"/>
      <c r="Y638" s="148"/>
      <c r="Z638" s="147"/>
      <c r="AF638" s="139"/>
      <c r="AH638" s="148"/>
      <c r="AI638" s="146"/>
    </row>
    <row r="639">
      <c r="B639" s="143"/>
      <c r="H639" s="143"/>
      <c r="K639" s="148"/>
      <c r="L639" s="150"/>
      <c r="P639" s="148"/>
      <c r="Q639" s="146"/>
      <c r="Y639" s="148"/>
      <c r="Z639" s="147"/>
      <c r="AF639" s="139"/>
      <c r="AH639" s="148"/>
      <c r="AI639" s="146"/>
    </row>
    <row r="640">
      <c r="B640" s="143"/>
      <c r="H640" s="143"/>
      <c r="K640" s="148"/>
      <c r="L640" s="150"/>
      <c r="P640" s="148"/>
      <c r="Q640" s="146"/>
      <c r="Y640" s="148"/>
      <c r="Z640" s="147"/>
      <c r="AF640" s="139"/>
      <c r="AH640" s="148"/>
      <c r="AI640" s="146"/>
    </row>
    <row r="641">
      <c r="B641" s="143"/>
      <c r="H641" s="143"/>
      <c r="K641" s="148"/>
      <c r="L641" s="150"/>
      <c r="P641" s="148"/>
      <c r="Q641" s="146"/>
      <c r="Y641" s="148"/>
      <c r="Z641" s="147"/>
      <c r="AF641" s="139"/>
      <c r="AH641" s="148"/>
      <c r="AI641" s="146"/>
    </row>
    <row r="642">
      <c r="B642" s="143"/>
      <c r="H642" s="143"/>
      <c r="K642" s="148"/>
      <c r="L642" s="150"/>
      <c r="P642" s="148"/>
      <c r="Q642" s="146"/>
      <c r="Y642" s="148"/>
      <c r="Z642" s="147"/>
      <c r="AF642" s="139"/>
      <c r="AH642" s="148"/>
      <c r="AI642" s="146"/>
    </row>
    <row r="643">
      <c r="B643" s="143"/>
      <c r="H643" s="143"/>
      <c r="K643" s="148"/>
      <c r="L643" s="150"/>
      <c r="P643" s="148"/>
      <c r="Q643" s="146"/>
      <c r="Y643" s="148"/>
      <c r="Z643" s="147"/>
      <c r="AF643" s="139"/>
      <c r="AH643" s="148"/>
      <c r="AI643" s="146"/>
    </row>
    <row r="644">
      <c r="B644" s="143"/>
      <c r="H644" s="143"/>
      <c r="K644" s="148"/>
      <c r="L644" s="150"/>
      <c r="P644" s="148"/>
      <c r="Q644" s="146"/>
      <c r="Y644" s="148"/>
      <c r="Z644" s="147"/>
      <c r="AF644" s="139"/>
      <c r="AH644" s="148"/>
      <c r="AI644" s="146"/>
    </row>
    <row r="645">
      <c r="B645" s="143"/>
      <c r="H645" s="143"/>
      <c r="K645" s="148"/>
      <c r="L645" s="150"/>
      <c r="P645" s="148"/>
      <c r="Q645" s="146"/>
      <c r="Y645" s="148"/>
      <c r="Z645" s="147"/>
      <c r="AF645" s="139"/>
      <c r="AH645" s="148"/>
      <c r="AI645" s="146"/>
    </row>
    <row r="646">
      <c r="B646" s="143"/>
      <c r="H646" s="143"/>
      <c r="K646" s="148"/>
      <c r="L646" s="150"/>
      <c r="P646" s="148"/>
      <c r="Q646" s="146"/>
      <c r="Y646" s="148"/>
      <c r="Z646" s="147"/>
      <c r="AF646" s="139"/>
      <c r="AH646" s="148"/>
      <c r="AI646" s="146"/>
    </row>
    <row r="647">
      <c r="B647" s="143"/>
      <c r="H647" s="143"/>
      <c r="K647" s="148"/>
      <c r="L647" s="150"/>
      <c r="P647" s="148"/>
      <c r="Q647" s="146"/>
      <c r="Y647" s="148"/>
      <c r="Z647" s="147"/>
      <c r="AF647" s="139"/>
      <c r="AH647" s="148"/>
      <c r="AI647" s="146"/>
    </row>
    <row r="648">
      <c r="B648" s="143"/>
      <c r="H648" s="143"/>
      <c r="K648" s="148"/>
      <c r="L648" s="150"/>
      <c r="P648" s="148"/>
      <c r="Q648" s="146"/>
      <c r="Y648" s="148"/>
      <c r="Z648" s="147"/>
      <c r="AF648" s="139"/>
      <c r="AH648" s="148"/>
      <c r="AI648" s="146"/>
    </row>
    <row r="649">
      <c r="B649" s="143"/>
      <c r="H649" s="143"/>
      <c r="K649" s="148"/>
      <c r="L649" s="150"/>
      <c r="P649" s="148"/>
      <c r="Q649" s="146"/>
      <c r="Y649" s="148"/>
      <c r="Z649" s="147"/>
      <c r="AF649" s="139"/>
      <c r="AH649" s="148"/>
      <c r="AI649" s="146"/>
    </row>
    <row r="650">
      <c r="B650" s="143"/>
      <c r="H650" s="143"/>
      <c r="K650" s="148"/>
      <c r="L650" s="150"/>
      <c r="P650" s="148"/>
      <c r="Q650" s="146"/>
      <c r="Y650" s="148"/>
      <c r="Z650" s="147"/>
      <c r="AF650" s="139"/>
      <c r="AH650" s="148"/>
      <c r="AI650" s="146"/>
    </row>
    <row r="651">
      <c r="B651" s="143"/>
      <c r="H651" s="143"/>
      <c r="K651" s="148"/>
      <c r="L651" s="150"/>
      <c r="P651" s="148"/>
      <c r="Q651" s="146"/>
      <c r="Y651" s="148"/>
      <c r="Z651" s="147"/>
      <c r="AF651" s="139"/>
      <c r="AH651" s="148"/>
      <c r="AI651" s="146"/>
    </row>
    <row r="652">
      <c r="B652" s="143"/>
      <c r="H652" s="143"/>
      <c r="K652" s="148"/>
      <c r="L652" s="150"/>
      <c r="P652" s="148"/>
      <c r="Q652" s="146"/>
      <c r="Y652" s="148"/>
      <c r="Z652" s="147"/>
      <c r="AF652" s="139"/>
      <c r="AH652" s="148"/>
      <c r="AI652" s="146"/>
    </row>
    <row r="653">
      <c r="B653" s="143"/>
      <c r="H653" s="143"/>
      <c r="K653" s="148"/>
      <c r="L653" s="150"/>
      <c r="P653" s="148"/>
      <c r="Q653" s="146"/>
      <c r="Y653" s="148"/>
      <c r="Z653" s="147"/>
      <c r="AF653" s="139"/>
      <c r="AH653" s="148"/>
      <c r="AI653" s="146"/>
    </row>
    <row r="654">
      <c r="B654" s="143"/>
      <c r="H654" s="143"/>
      <c r="K654" s="148"/>
      <c r="L654" s="150"/>
      <c r="P654" s="148"/>
      <c r="Q654" s="146"/>
      <c r="Y654" s="148"/>
      <c r="Z654" s="147"/>
      <c r="AF654" s="139"/>
      <c r="AH654" s="148"/>
      <c r="AI654" s="146"/>
    </row>
    <row r="655">
      <c r="B655" s="143"/>
      <c r="H655" s="143"/>
      <c r="K655" s="148"/>
      <c r="L655" s="150"/>
      <c r="P655" s="148"/>
      <c r="Q655" s="146"/>
      <c r="Y655" s="148"/>
      <c r="Z655" s="147"/>
      <c r="AF655" s="139"/>
      <c r="AH655" s="148"/>
      <c r="AI655" s="146"/>
    </row>
    <row r="656">
      <c r="B656" s="143"/>
      <c r="H656" s="143"/>
      <c r="K656" s="148"/>
      <c r="L656" s="150"/>
      <c r="P656" s="148"/>
      <c r="Q656" s="146"/>
      <c r="Y656" s="148"/>
      <c r="Z656" s="147"/>
      <c r="AF656" s="139"/>
      <c r="AH656" s="148"/>
      <c r="AI656" s="146"/>
    </row>
    <row r="657">
      <c r="B657" s="143"/>
      <c r="H657" s="143"/>
      <c r="K657" s="148"/>
      <c r="L657" s="150"/>
      <c r="P657" s="148"/>
      <c r="Q657" s="146"/>
      <c r="Y657" s="148"/>
      <c r="Z657" s="147"/>
      <c r="AF657" s="139"/>
      <c r="AH657" s="148"/>
      <c r="AI657" s="146"/>
    </row>
    <row r="658">
      <c r="B658" s="143"/>
      <c r="H658" s="143"/>
      <c r="K658" s="148"/>
      <c r="L658" s="150"/>
      <c r="P658" s="148"/>
      <c r="Q658" s="146"/>
      <c r="Y658" s="148"/>
      <c r="Z658" s="147"/>
      <c r="AF658" s="139"/>
      <c r="AH658" s="148"/>
      <c r="AI658" s="146"/>
    </row>
    <row r="659">
      <c r="B659" s="143"/>
      <c r="H659" s="143"/>
      <c r="K659" s="148"/>
      <c r="L659" s="150"/>
      <c r="P659" s="148"/>
      <c r="Q659" s="146"/>
      <c r="Y659" s="148"/>
      <c r="Z659" s="147"/>
      <c r="AF659" s="139"/>
      <c r="AH659" s="148"/>
      <c r="AI659" s="146"/>
    </row>
    <row r="660">
      <c r="B660" s="143"/>
      <c r="H660" s="143"/>
      <c r="K660" s="148"/>
      <c r="L660" s="150"/>
      <c r="P660" s="148"/>
      <c r="Q660" s="146"/>
      <c r="Y660" s="148"/>
      <c r="Z660" s="147"/>
      <c r="AF660" s="139"/>
      <c r="AH660" s="148"/>
      <c r="AI660" s="146"/>
    </row>
    <row r="661">
      <c r="B661" s="143"/>
      <c r="H661" s="143"/>
      <c r="K661" s="148"/>
      <c r="L661" s="150"/>
      <c r="P661" s="148"/>
      <c r="Q661" s="146"/>
      <c r="Y661" s="148"/>
      <c r="Z661" s="147"/>
      <c r="AF661" s="139"/>
      <c r="AH661" s="148"/>
      <c r="AI661" s="146"/>
    </row>
    <row r="662">
      <c r="B662" s="143"/>
      <c r="H662" s="143"/>
      <c r="K662" s="148"/>
      <c r="L662" s="150"/>
      <c r="P662" s="148"/>
      <c r="Q662" s="146"/>
      <c r="Y662" s="148"/>
      <c r="Z662" s="147"/>
      <c r="AF662" s="139"/>
      <c r="AH662" s="148"/>
      <c r="AI662" s="146"/>
    </row>
    <row r="663">
      <c r="B663" s="143"/>
      <c r="H663" s="143"/>
      <c r="K663" s="148"/>
      <c r="L663" s="150"/>
      <c r="P663" s="148"/>
      <c r="Q663" s="146"/>
      <c r="Y663" s="148"/>
      <c r="Z663" s="147"/>
      <c r="AF663" s="139"/>
      <c r="AH663" s="148"/>
      <c r="AI663" s="146"/>
    </row>
    <row r="664">
      <c r="B664" s="143"/>
      <c r="H664" s="143"/>
      <c r="K664" s="148"/>
      <c r="L664" s="150"/>
      <c r="P664" s="148"/>
      <c r="Q664" s="146"/>
      <c r="Y664" s="148"/>
      <c r="Z664" s="147"/>
      <c r="AF664" s="139"/>
      <c r="AH664" s="148"/>
      <c r="AI664" s="146"/>
    </row>
    <row r="665">
      <c r="B665" s="143"/>
      <c r="H665" s="143"/>
      <c r="K665" s="148"/>
      <c r="L665" s="150"/>
      <c r="P665" s="148"/>
      <c r="Q665" s="146"/>
      <c r="Y665" s="148"/>
      <c r="Z665" s="147"/>
      <c r="AF665" s="139"/>
      <c r="AH665" s="148"/>
      <c r="AI665" s="146"/>
    </row>
    <row r="666">
      <c r="B666" s="143"/>
      <c r="H666" s="143"/>
      <c r="K666" s="148"/>
      <c r="L666" s="150"/>
      <c r="P666" s="148"/>
      <c r="Q666" s="146"/>
      <c r="Y666" s="148"/>
      <c r="Z666" s="147"/>
      <c r="AF666" s="139"/>
      <c r="AH666" s="148"/>
      <c r="AI666" s="146"/>
    </row>
    <row r="667">
      <c r="B667" s="143"/>
      <c r="H667" s="143"/>
      <c r="K667" s="148"/>
      <c r="L667" s="150"/>
      <c r="P667" s="148"/>
      <c r="Q667" s="146"/>
      <c r="Y667" s="148"/>
      <c r="Z667" s="147"/>
      <c r="AF667" s="139"/>
      <c r="AH667" s="148"/>
      <c r="AI667" s="146"/>
    </row>
    <row r="668">
      <c r="B668" s="143"/>
      <c r="H668" s="143"/>
      <c r="K668" s="148"/>
      <c r="L668" s="150"/>
      <c r="P668" s="148"/>
      <c r="Q668" s="146"/>
      <c r="Y668" s="148"/>
      <c r="Z668" s="147"/>
      <c r="AF668" s="139"/>
      <c r="AH668" s="148"/>
      <c r="AI668" s="146"/>
    </row>
    <row r="669">
      <c r="B669" s="143"/>
      <c r="H669" s="143"/>
      <c r="K669" s="148"/>
      <c r="L669" s="150"/>
      <c r="P669" s="148"/>
      <c r="Q669" s="146"/>
      <c r="Y669" s="148"/>
      <c r="Z669" s="147"/>
      <c r="AF669" s="139"/>
      <c r="AH669" s="148"/>
      <c r="AI669" s="146"/>
    </row>
    <row r="670">
      <c r="B670" s="143"/>
      <c r="H670" s="143"/>
      <c r="K670" s="148"/>
      <c r="L670" s="150"/>
      <c r="P670" s="148"/>
      <c r="Q670" s="146"/>
      <c r="Y670" s="148"/>
      <c r="Z670" s="147"/>
      <c r="AF670" s="139"/>
      <c r="AH670" s="148"/>
      <c r="AI670" s="146"/>
    </row>
    <row r="671">
      <c r="B671" s="143"/>
      <c r="H671" s="143"/>
      <c r="K671" s="148"/>
      <c r="L671" s="150"/>
      <c r="P671" s="148"/>
      <c r="Q671" s="146"/>
      <c r="Y671" s="148"/>
      <c r="Z671" s="147"/>
      <c r="AF671" s="139"/>
      <c r="AH671" s="148"/>
      <c r="AI671" s="146"/>
    </row>
    <row r="672">
      <c r="B672" s="143"/>
      <c r="H672" s="143"/>
      <c r="K672" s="148"/>
      <c r="L672" s="150"/>
      <c r="P672" s="148"/>
      <c r="Q672" s="146"/>
      <c r="Y672" s="148"/>
      <c r="Z672" s="147"/>
      <c r="AF672" s="139"/>
      <c r="AH672" s="148"/>
      <c r="AI672" s="146"/>
    </row>
    <row r="673">
      <c r="B673" s="143"/>
      <c r="H673" s="143"/>
      <c r="K673" s="148"/>
      <c r="L673" s="150"/>
      <c r="P673" s="148"/>
      <c r="Q673" s="146"/>
      <c r="Y673" s="148"/>
      <c r="Z673" s="147"/>
      <c r="AF673" s="139"/>
      <c r="AH673" s="148"/>
      <c r="AI673" s="146"/>
    </row>
    <row r="674">
      <c r="B674" s="143"/>
      <c r="H674" s="143"/>
      <c r="K674" s="148"/>
      <c r="L674" s="150"/>
      <c r="P674" s="148"/>
      <c r="Q674" s="146"/>
      <c r="Y674" s="148"/>
      <c r="Z674" s="147"/>
      <c r="AF674" s="139"/>
      <c r="AH674" s="148"/>
      <c r="AI674" s="146"/>
    </row>
    <row r="675">
      <c r="B675" s="143"/>
      <c r="H675" s="143"/>
      <c r="K675" s="148"/>
      <c r="L675" s="150"/>
      <c r="P675" s="148"/>
      <c r="Q675" s="146"/>
      <c r="Y675" s="148"/>
      <c r="Z675" s="147"/>
      <c r="AF675" s="139"/>
      <c r="AH675" s="148"/>
      <c r="AI675" s="146"/>
    </row>
    <row r="676">
      <c r="B676" s="143"/>
      <c r="H676" s="143"/>
      <c r="K676" s="148"/>
      <c r="L676" s="150"/>
      <c r="P676" s="148"/>
      <c r="Q676" s="146"/>
      <c r="Y676" s="148"/>
      <c r="Z676" s="147"/>
      <c r="AF676" s="139"/>
      <c r="AH676" s="148"/>
      <c r="AI676" s="146"/>
    </row>
    <row r="677">
      <c r="B677" s="143"/>
      <c r="H677" s="143"/>
      <c r="K677" s="148"/>
      <c r="L677" s="150"/>
      <c r="P677" s="148"/>
      <c r="Q677" s="146"/>
      <c r="Y677" s="148"/>
      <c r="Z677" s="147"/>
      <c r="AF677" s="139"/>
      <c r="AH677" s="148"/>
      <c r="AI677" s="146"/>
    </row>
    <row r="678">
      <c r="B678" s="143"/>
      <c r="H678" s="143"/>
      <c r="K678" s="148"/>
      <c r="L678" s="150"/>
      <c r="P678" s="148"/>
      <c r="Q678" s="146"/>
      <c r="Y678" s="148"/>
      <c r="Z678" s="147"/>
      <c r="AF678" s="139"/>
      <c r="AH678" s="148"/>
      <c r="AI678" s="146"/>
    </row>
    <row r="679">
      <c r="B679" s="143"/>
      <c r="H679" s="143"/>
      <c r="K679" s="148"/>
      <c r="L679" s="150"/>
      <c r="P679" s="148"/>
      <c r="Q679" s="146"/>
      <c r="Y679" s="148"/>
      <c r="Z679" s="147"/>
      <c r="AF679" s="139"/>
      <c r="AH679" s="148"/>
      <c r="AI679" s="146"/>
    </row>
    <row r="680">
      <c r="B680" s="143"/>
      <c r="H680" s="143"/>
      <c r="K680" s="148"/>
      <c r="L680" s="150"/>
      <c r="P680" s="148"/>
      <c r="Q680" s="146"/>
      <c r="Y680" s="148"/>
      <c r="Z680" s="147"/>
      <c r="AF680" s="139"/>
      <c r="AH680" s="148"/>
      <c r="AI680" s="146"/>
    </row>
    <row r="681">
      <c r="B681" s="143"/>
      <c r="H681" s="143"/>
      <c r="K681" s="148"/>
      <c r="L681" s="150"/>
      <c r="P681" s="148"/>
      <c r="Q681" s="146"/>
      <c r="Y681" s="148"/>
      <c r="Z681" s="147"/>
      <c r="AF681" s="139"/>
      <c r="AH681" s="148"/>
      <c r="AI681" s="146"/>
    </row>
    <row r="682">
      <c r="B682" s="143"/>
      <c r="H682" s="143"/>
      <c r="K682" s="148"/>
      <c r="L682" s="150"/>
      <c r="P682" s="148"/>
      <c r="Q682" s="146"/>
      <c r="Y682" s="148"/>
      <c r="Z682" s="147"/>
      <c r="AF682" s="139"/>
      <c r="AH682" s="148"/>
      <c r="AI682" s="146"/>
    </row>
    <row r="683">
      <c r="B683" s="143"/>
      <c r="H683" s="143"/>
      <c r="K683" s="148"/>
      <c r="L683" s="150"/>
      <c r="P683" s="148"/>
      <c r="Q683" s="146"/>
      <c r="Y683" s="148"/>
      <c r="Z683" s="147"/>
      <c r="AF683" s="139"/>
      <c r="AH683" s="148"/>
      <c r="AI683" s="146"/>
    </row>
    <row r="684">
      <c r="B684" s="143"/>
      <c r="H684" s="143"/>
      <c r="K684" s="148"/>
      <c r="L684" s="150"/>
      <c r="P684" s="148"/>
      <c r="Q684" s="146"/>
      <c r="Y684" s="148"/>
      <c r="Z684" s="147"/>
      <c r="AF684" s="139"/>
      <c r="AH684" s="148"/>
      <c r="AI684" s="146"/>
    </row>
    <row r="685">
      <c r="B685" s="143"/>
      <c r="H685" s="143"/>
      <c r="K685" s="148"/>
      <c r="L685" s="150"/>
      <c r="P685" s="148"/>
      <c r="Q685" s="146"/>
      <c r="Y685" s="148"/>
      <c r="Z685" s="147"/>
      <c r="AF685" s="139"/>
      <c r="AH685" s="148"/>
      <c r="AI685" s="146"/>
    </row>
    <row r="686">
      <c r="B686" s="143"/>
      <c r="H686" s="143"/>
      <c r="K686" s="148"/>
      <c r="L686" s="150"/>
      <c r="P686" s="148"/>
      <c r="Q686" s="146"/>
      <c r="Y686" s="148"/>
      <c r="Z686" s="147"/>
      <c r="AF686" s="139"/>
      <c r="AH686" s="148"/>
      <c r="AI686" s="146"/>
    </row>
    <row r="687">
      <c r="B687" s="143"/>
      <c r="H687" s="143"/>
      <c r="K687" s="148"/>
      <c r="L687" s="150"/>
      <c r="P687" s="148"/>
      <c r="Q687" s="146"/>
      <c r="Y687" s="148"/>
      <c r="Z687" s="147"/>
      <c r="AF687" s="139"/>
      <c r="AH687" s="148"/>
      <c r="AI687" s="146"/>
    </row>
    <row r="688">
      <c r="B688" s="143"/>
      <c r="H688" s="143"/>
      <c r="K688" s="148"/>
      <c r="L688" s="150"/>
      <c r="P688" s="148"/>
      <c r="Q688" s="146"/>
      <c r="Y688" s="148"/>
      <c r="Z688" s="147"/>
      <c r="AF688" s="139"/>
      <c r="AH688" s="148"/>
      <c r="AI688" s="146"/>
    </row>
    <row r="689">
      <c r="B689" s="143"/>
      <c r="H689" s="143"/>
      <c r="K689" s="148"/>
      <c r="L689" s="150"/>
      <c r="P689" s="148"/>
      <c r="Q689" s="146"/>
      <c r="Y689" s="148"/>
      <c r="Z689" s="147"/>
      <c r="AF689" s="139"/>
      <c r="AH689" s="148"/>
      <c r="AI689" s="146"/>
    </row>
    <row r="690">
      <c r="B690" s="143"/>
      <c r="H690" s="143"/>
      <c r="K690" s="148"/>
      <c r="L690" s="150"/>
      <c r="P690" s="148"/>
      <c r="Q690" s="146"/>
      <c r="Y690" s="148"/>
      <c r="Z690" s="147"/>
      <c r="AF690" s="139"/>
      <c r="AH690" s="148"/>
      <c r="AI690" s="146"/>
    </row>
    <row r="691">
      <c r="B691" s="143"/>
      <c r="H691" s="143"/>
      <c r="K691" s="148"/>
      <c r="L691" s="150"/>
      <c r="P691" s="148"/>
      <c r="Q691" s="146"/>
      <c r="Y691" s="148"/>
      <c r="Z691" s="147"/>
      <c r="AF691" s="139"/>
      <c r="AH691" s="148"/>
      <c r="AI691" s="146"/>
    </row>
    <row r="692">
      <c r="B692" s="143"/>
      <c r="H692" s="143"/>
      <c r="K692" s="148"/>
      <c r="L692" s="150"/>
      <c r="P692" s="148"/>
      <c r="Q692" s="146"/>
      <c r="Y692" s="148"/>
      <c r="Z692" s="147"/>
      <c r="AF692" s="139"/>
      <c r="AH692" s="148"/>
      <c r="AI692" s="146"/>
    </row>
    <row r="693">
      <c r="B693" s="143"/>
      <c r="H693" s="143"/>
      <c r="K693" s="148"/>
      <c r="L693" s="150"/>
      <c r="P693" s="148"/>
      <c r="Q693" s="146"/>
      <c r="Y693" s="148"/>
      <c r="Z693" s="147"/>
      <c r="AF693" s="139"/>
      <c r="AH693" s="148"/>
      <c r="AI693" s="146"/>
    </row>
    <row r="694">
      <c r="B694" s="143"/>
      <c r="H694" s="143"/>
      <c r="K694" s="148"/>
      <c r="L694" s="150"/>
      <c r="P694" s="148"/>
      <c r="Q694" s="146"/>
      <c r="Y694" s="148"/>
      <c r="Z694" s="147"/>
      <c r="AF694" s="139"/>
      <c r="AH694" s="148"/>
      <c r="AI694" s="146"/>
    </row>
    <row r="695">
      <c r="B695" s="143"/>
      <c r="H695" s="143"/>
      <c r="K695" s="148"/>
      <c r="L695" s="150"/>
      <c r="P695" s="148"/>
      <c r="Q695" s="146"/>
      <c r="Y695" s="148"/>
      <c r="Z695" s="147"/>
      <c r="AF695" s="139"/>
      <c r="AH695" s="148"/>
      <c r="AI695" s="146"/>
    </row>
    <row r="696">
      <c r="B696" s="143"/>
      <c r="H696" s="143"/>
      <c r="K696" s="148"/>
      <c r="L696" s="150"/>
      <c r="P696" s="148"/>
      <c r="Q696" s="146"/>
      <c r="Y696" s="148"/>
      <c r="Z696" s="147"/>
      <c r="AF696" s="139"/>
      <c r="AH696" s="148"/>
      <c r="AI696" s="146"/>
    </row>
    <row r="697">
      <c r="B697" s="143"/>
      <c r="H697" s="143"/>
      <c r="K697" s="148"/>
      <c r="L697" s="150"/>
      <c r="P697" s="148"/>
      <c r="Q697" s="146"/>
      <c r="Y697" s="148"/>
      <c r="Z697" s="147"/>
      <c r="AF697" s="139"/>
      <c r="AH697" s="148"/>
      <c r="AI697" s="146"/>
    </row>
    <row r="698">
      <c r="B698" s="143"/>
      <c r="H698" s="143"/>
      <c r="K698" s="148"/>
      <c r="L698" s="150"/>
      <c r="P698" s="148"/>
      <c r="Q698" s="146"/>
      <c r="Y698" s="148"/>
      <c r="Z698" s="147"/>
      <c r="AF698" s="139"/>
      <c r="AH698" s="148"/>
      <c r="AI698" s="146"/>
    </row>
    <row r="699">
      <c r="B699" s="143"/>
      <c r="H699" s="143"/>
      <c r="K699" s="148"/>
      <c r="L699" s="150"/>
      <c r="P699" s="148"/>
      <c r="Q699" s="146"/>
      <c r="Y699" s="148"/>
      <c r="Z699" s="147"/>
      <c r="AF699" s="139"/>
      <c r="AH699" s="148"/>
      <c r="AI699" s="146"/>
    </row>
    <row r="700">
      <c r="B700" s="143"/>
      <c r="H700" s="143"/>
      <c r="K700" s="148"/>
      <c r="L700" s="150"/>
      <c r="P700" s="148"/>
      <c r="Q700" s="146"/>
      <c r="Y700" s="148"/>
      <c r="Z700" s="147"/>
      <c r="AF700" s="139"/>
      <c r="AH700" s="148"/>
      <c r="AI700" s="146"/>
    </row>
    <row r="701">
      <c r="B701" s="143"/>
      <c r="H701" s="143"/>
      <c r="K701" s="148"/>
      <c r="L701" s="150"/>
      <c r="P701" s="148"/>
      <c r="Q701" s="146"/>
      <c r="Y701" s="148"/>
      <c r="Z701" s="147"/>
      <c r="AF701" s="139"/>
      <c r="AH701" s="148"/>
      <c r="AI701" s="146"/>
    </row>
    <row r="702">
      <c r="B702" s="143"/>
      <c r="H702" s="143"/>
      <c r="K702" s="148"/>
      <c r="L702" s="150"/>
      <c r="P702" s="148"/>
      <c r="Q702" s="146"/>
      <c r="Y702" s="148"/>
      <c r="Z702" s="147"/>
      <c r="AF702" s="139"/>
      <c r="AH702" s="148"/>
      <c r="AI702" s="146"/>
    </row>
    <row r="703">
      <c r="B703" s="143"/>
      <c r="H703" s="143"/>
      <c r="K703" s="148"/>
      <c r="L703" s="150"/>
      <c r="P703" s="148"/>
      <c r="Q703" s="146"/>
      <c r="Y703" s="148"/>
      <c r="Z703" s="147"/>
      <c r="AF703" s="139"/>
      <c r="AH703" s="148"/>
      <c r="AI703" s="146"/>
    </row>
    <row r="704">
      <c r="B704" s="143"/>
      <c r="H704" s="143"/>
      <c r="K704" s="148"/>
      <c r="L704" s="150"/>
      <c r="P704" s="148"/>
      <c r="Q704" s="146"/>
      <c r="Y704" s="148"/>
      <c r="Z704" s="147"/>
      <c r="AF704" s="139"/>
      <c r="AH704" s="148"/>
      <c r="AI704" s="146"/>
    </row>
    <row r="705">
      <c r="B705" s="143"/>
      <c r="H705" s="143"/>
      <c r="K705" s="148"/>
      <c r="L705" s="150"/>
      <c r="P705" s="148"/>
      <c r="Q705" s="146"/>
      <c r="Y705" s="148"/>
      <c r="Z705" s="147"/>
      <c r="AF705" s="139"/>
      <c r="AH705" s="148"/>
      <c r="AI705" s="146"/>
    </row>
    <row r="706">
      <c r="B706" s="143"/>
      <c r="H706" s="143"/>
      <c r="K706" s="148"/>
      <c r="L706" s="150"/>
      <c r="P706" s="148"/>
      <c r="Q706" s="146"/>
      <c r="Y706" s="148"/>
      <c r="Z706" s="147"/>
      <c r="AF706" s="139"/>
      <c r="AH706" s="148"/>
      <c r="AI706" s="146"/>
    </row>
    <row r="707">
      <c r="B707" s="143"/>
      <c r="H707" s="143"/>
      <c r="K707" s="148"/>
      <c r="L707" s="150"/>
      <c r="P707" s="148"/>
      <c r="Q707" s="146"/>
      <c r="Y707" s="148"/>
      <c r="Z707" s="147"/>
      <c r="AF707" s="139"/>
      <c r="AH707" s="148"/>
      <c r="AI707" s="146"/>
    </row>
    <row r="708">
      <c r="B708" s="143"/>
      <c r="H708" s="143"/>
      <c r="K708" s="148"/>
      <c r="L708" s="150"/>
      <c r="P708" s="148"/>
      <c r="Q708" s="146"/>
      <c r="Y708" s="148"/>
      <c r="Z708" s="147"/>
      <c r="AF708" s="139"/>
      <c r="AH708" s="148"/>
      <c r="AI708" s="146"/>
    </row>
    <row r="709">
      <c r="B709" s="143"/>
      <c r="H709" s="143"/>
      <c r="K709" s="148"/>
      <c r="L709" s="150"/>
      <c r="P709" s="148"/>
      <c r="Q709" s="146"/>
      <c r="Y709" s="148"/>
      <c r="Z709" s="147"/>
      <c r="AF709" s="139"/>
      <c r="AH709" s="148"/>
      <c r="AI709" s="146"/>
    </row>
    <row r="710">
      <c r="B710" s="143"/>
      <c r="H710" s="143"/>
      <c r="K710" s="148"/>
      <c r="L710" s="150"/>
      <c r="P710" s="148"/>
      <c r="Q710" s="146"/>
      <c r="Y710" s="148"/>
      <c r="Z710" s="147"/>
      <c r="AF710" s="139"/>
      <c r="AH710" s="148"/>
      <c r="AI710" s="146"/>
    </row>
    <row r="711">
      <c r="B711" s="143"/>
      <c r="H711" s="143"/>
      <c r="K711" s="148"/>
      <c r="L711" s="150"/>
      <c r="P711" s="148"/>
      <c r="Q711" s="146"/>
      <c r="Y711" s="148"/>
      <c r="Z711" s="147"/>
      <c r="AF711" s="139"/>
      <c r="AH711" s="148"/>
      <c r="AI711" s="146"/>
    </row>
    <row r="712">
      <c r="B712" s="143"/>
      <c r="H712" s="143"/>
      <c r="K712" s="148"/>
      <c r="L712" s="150"/>
      <c r="P712" s="148"/>
      <c r="Q712" s="146"/>
      <c r="Y712" s="148"/>
      <c r="Z712" s="147"/>
      <c r="AF712" s="139"/>
      <c r="AH712" s="148"/>
      <c r="AI712" s="146"/>
    </row>
    <row r="713">
      <c r="B713" s="143"/>
      <c r="H713" s="143"/>
      <c r="K713" s="148"/>
      <c r="L713" s="150"/>
      <c r="P713" s="148"/>
      <c r="Q713" s="146"/>
      <c r="Y713" s="148"/>
      <c r="Z713" s="147"/>
      <c r="AF713" s="139"/>
      <c r="AH713" s="148"/>
      <c r="AI713" s="146"/>
    </row>
    <row r="714">
      <c r="B714" s="143"/>
      <c r="H714" s="143"/>
      <c r="K714" s="148"/>
      <c r="L714" s="150"/>
      <c r="P714" s="148"/>
      <c r="Q714" s="146"/>
      <c r="Y714" s="148"/>
      <c r="Z714" s="147"/>
      <c r="AF714" s="139"/>
      <c r="AH714" s="148"/>
      <c r="AI714" s="146"/>
    </row>
    <row r="715">
      <c r="B715" s="143"/>
      <c r="H715" s="143"/>
      <c r="K715" s="148"/>
      <c r="L715" s="150"/>
      <c r="P715" s="148"/>
      <c r="Q715" s="146"/>
      <c r="Y715" s="148"/>
      <c r="Z715" s="147"/>
      <c r="AF715" s="139"/>
      <c r="AH715" s="148"/>
      <c r="AI715" s="146"/>
    </row>
    <row r="716">
      <c r="B716" s="143"/>
      <c r="H716" s="143"/>
      <c r="K716" s="148"/>
      <c r="L716" s="150"/>
      <c r="P716" s="148"/>
      <c r="Q716" s="146"/>
      <c r="Y716" s="148"/>
      <c r="Z716" s="147"/>
      <c r="AF716" s="139"/>
      <c r="AH716" s="148"/>
      <c r="AI716" s="146"/>
    </row>
    <row r="717">
      <c r="B717" s="143"/>
      <c r="H717" s="143"/>
      <c r="K717" s="148"/>
      <c r="L717" s="150"/>
      <c r="P717" s="148"/>
      <c r="Q717" s="146"/>
      <c r="Y717" s="148"/>
      <c r="Z717" s="147"/>
      <c r="AF717" s="139"/>
      <c r="AH717" s="148"/>
      <c r="AI717" s="146"/>
    </row>
    <row r="718">
      <c r="B718" s="143"/>
      <c r="H718" s="143"/>
      <c r="K718" s="148"/>
      <c r="L718" s="150"/>
      <c r="P718" s="148"/>
      <c r="Q718" s="146"/>
      <c r="Y718" s="148"/>
      <c r="Z718" s="147"/>
      <c r="AF718" s="139"/>
      <c r="AH718" s="148"/>
      <c r="AI718" s="146"/>
    </row>
    <row r="719">
      <c r="B719" s="143"/>
      <c r="H719" s="143"/>
      <c r="K719" s="148"/>
      <c r="L719" s="150"/>
      <c r="P719" s="148"/>
      <c r="Q719" s="146"/>
      <c r="Y719" s="148"/>
      <c r="Z719" s="147"/>
      <c r="AF719" s="139"/>
      <c r="AH719" s="148"/>
      <c r="AI719" s="146"/>
    </row>
    <row r="720">
      <c r="B720" s="143"/>
      <c r="H720" s="143"/>
      <c r="K720" s="148"/>
      <c r="L720" s="150"/>
      <c r="P720" s="148"/>
      <c r="Q720" s="146"/>
      <c r="Y720" s="148"/>
      <c r="Z720" s="147"/>
      <c r="AF720" s="139"/>
      <c r="AH720" s="148"/>
      <c r="AI720" s="146"/>
    </row>
    <row r="721">
      <c r="B721" s="143"/>
      <c r="H721" s="143"/>
      <c r="K721" s="148"/>
      <c r="L721" s="150"/>
      <c r="P721" s="148"/>
      <c r="Q721" s="146"/>
      <c r="Y721" s="148"/>
      <c r="Z721" s="147"/>
      <c r="AF721" s="139"/>
      <c r="AH721" s="148"/>
      <c r="AI721" s="146"/>
    </row>
    <row r="722">
      <c r="B722" s="143"/>
      <c r="H722" s="143"/>
      <c r="K722" s="148"/>
      <c r="L722" s="150"/>
      <c r="P722" s="148"/>
      <c r="Q722" s="146"/>
      <c r="Y722" s="148"/>
      <c r="Z722" s="147"/>
      <c r="AF722" s="139"/>
      <c r="AH722" s="148"/>
      <c r="AI722" s="146"/>
    </row>
    <row r="723">
      <c r="B723" s="143"/>
      <c r="H723" s="143"/>
      <c r="K723" s="148"/>
      <c r="L723" s="150"/>
      <c r="P723" s="148"/>
      <c r="Q723" s="146"/>
      <c r="Y723" s="148"/>
      <c r="Z723" s="147"/>
      <c r="AF723" s="139"/>
      <c r="AH723" s="148"/>
      <c r="AI723" s="146"/>
    </row>
    <row r="724">
      <c r="B724" s="143"/>
      <c r="H724" s="143"/>
      <c r="K724" s="148"/>
      <c r="L724" s="150"/>
      <c r="P724" s="148"/>
      <c r="Q724" s="146"/>
      <c r="Y724" s="148"/>
      <c r="Z724" s="147"/>
      <c r="AF724" s="139"/>
      <c r="AH724" s="148"/>
      <c r="AI724" s="146"/>
    </row>
    <row r="725">
      <c r="B725" s="143"/>
      <c r="H725" s="143"/>
      <c r="K725" s="148"/>
      <c r="L725" s="150"/>
      <c r="P725" s="148"/>
      <c r="Q725" s="146"/>
      <c r="Y725" s="148"/>
      <c r="Z725" s="147"/>
      <c r="AF725" s="139"/>
      <c r="AH725" s="148"/>
      <c r="AI725" s="146"/>
    </row>
    <row r="726">
      <c r="B726" s="143"/>
      <c r="H726" s="143"/>
      <c r="K726" s="148"/>
      <c r="L726" s="150"/>
      <c r="P726" s="148"/>
      <c r="Q726" s="146"/>
      <c r="Y726" s="148"/>
      <c r="Z726" s="147"/>
      <c r="AF726" s="139"/>
      <c r="AH726" s="148"/>
      <c r="AI726" s="146"/>
    </row>
    <row r="727">
      <c r="B727" s="143"/>
      <c r="H727" s="143"/>
      <c r="K727" s="148"/>
      <c r="L727" s="150"/>
      <c r="P727" s="148"/>
      <c r="Q727" s="146"/>
      <c r="Y727" s="148"/>
      <c r="Z727" s="147"/>
      <c r="AF727" s="139"/>
      <c r="AH727" s="148"/>
      <c r="AI727" s="146"/>
    </row>
    <row r="728">
      <c r="B728" s="143"/>
      <c r="H728" s="143"/>
      <c r="K728" s="148"/>
      <c r="L728" s="150"/>
      <c r="P728" s="148"/>
      <c r="Q728" s="146"/>
      <c r="Y728" s="148"/>
      <c r="Z728" s="147"/>
      <c r="AF728" s="139"/>
      <c r="AH728" s="148"/>
      <c r="AI728" s="146"/>
    </row>
    <row r="729">
      <c r="B729" s="143"/>
      <c r="H729" s="143"/>
      <c r="K729" s="148"/>
      <c r="L729" s="150"/>
      <c r="P729" s="148"/>
      <c r="Q729" s="146"/>
      <c r="Y729" s="148"/>
      <c r="Z729" s="147"/>
      <c r="AF729" s="139"/>
      <c r="AH729" s="148"/>
      <c r="AI729" s="146"/>
    </row>
    <row r="730">
      <c r="B730" s="143"/>
      <c r="H730" s="143"/>
      <c r="K730" s="148"/>
      <c r="L730" s="150"/>
      <c r="P730" s="148"/>
      <c r="Q730" s="146"/>
      <c r="Y730" s="148"/>
      <c r="Z730" s="147"/>
      <c r="AF730" s="139"/>
      <c r="AH730" s="148"/>
      <c r="AI730" s="146"/>
    </row>
    <row r="731">
      <c r="B731" s="143"/>
      <c r="H731" s="143"/>
      <c r="K731" s="148"/>
      <c r="L731" s="150"/>
      <c r="P731" s="148"/>
      <c r="Q731" s="146"/>
      <c r="Y731" s="148"/>
      <c r="Z731" s="147"/>
      <c r="AF731" s="139"/>
      <c r="AH731" s="148"/>
      <c r="AI731" s="146"/>
    </row>
    <row r="732">
      <c r="B732" s="143"/>
      <c r="H732" s="143"/>
      <c r="K732" s="148"/>
      <c r="L732" s="150"/>
      <c r="P732" s="148"/>
      <c r="Q732" s="146"/>
      <c r="Y732" s="148"/>
      <c r="Z732" s="147"/>
      <c r="AF732" s="139"/>
      <c r="AH732" s="148"/>
      <c r="AI732" s="146"/>
    </row>
    <row r="733">
      <c r="B733" s="143"/>
      <c r="H733" s="143"/>
      <c r="K733" s="148"/>
      <c r="L733" s="150"/>
      <c r="P733" s="148"/>
      <c r="Q733" s="146"/>
      <c r="Y733" s="148"/>
      <c r="Z733" s="147"/>
      <c r="AF733" s="139"/>
      <c r="AH733" s="148"/>
      <c r="AI733" s="146"/>
    </row>
    <row r="734">
      <c r="B734" s="143"/>
      <c r="H734" s="143"/>
      <c r="K734" s="148"/>
      <c r="L734" s="150"/>
      <c r="P734" s="148"/>
      <c r="Q734" s="146"/>
      <c r="Y734" s="148"/>
      <c r="Z734" s="147"/>
      <c r="AF734" s="139"/>
      <c r="AH734" s="148"/>
      <c r="AI734" s="146"/>
    </row>
    <row r="735">
      <c r="B735" s="143"/>
      <c r="H735" s="143"/>
      <c r="K735" s="148"/>
      <c r="L735" s="150"/>
      <c r="P735" s="148"/>
      <c r="Q735" s="146"/>
      <c r="Y735" s="148"/>
      <c r="Z735" s="147"/>
      <c r="AF735" s="139"/>
      <c r="AH735" s="148"/>
      <c r="AI735" s="146"/>
    </row>
    <row r="736">
      <c r="B736" s="143"/>
      <c r="H736" s="143"/>
      <c r="K736" s="148"/>
      <c r="L736" s="150"/>
      <c r="P736" s="148"/>
      <c r="Q736" s="146"/>
      <c r="Y736" s="148"/>
      <c r="Z736" s="147"/>
      <c r="AF736" s="139"/>
      <c r="AH736" s="148"/>
      <c r="AI736" s="146"/>
    </row>
    <row r="737">
      <c r="B737" s="143"/>
      <c r="H737" s="143"/>
      <c r="K737" s="148"/>
      <c r="L737" s="150"/>
      <c r="P737" s="148"/>
      <c r="Q737" s="146"/>
      <c r="Y737" s="148"/>
      <c r="Z737" s="147"/>
      <c r="AF737" s="139"/>
      <c r="AH737" s="148"/>
      <c r="AI737" s="146"/>
    </row>
    <row r="738">
      <c r="B738" s="143"/>
      <c r="H738" s="143"/>
      <c r="K738" s="148"/>
      <c r="L738" s="150"/>
      <c r="P738" s="148"/>
      <c r="Q738" s="146"/>
      <c r="Y738" s="148"/>
      <c r="Z738" s="147"/>
      <c r="AF738" s="139"/>
      <c r="AH738" s="148"/>
      <c r="AI738" s="146"/>
    </row>
    <row r="739">
      <c r="B739" s="143"/>
      <c r="H739" s="143"/>
      <c r="K739" s="148"/>
      <c r="L739" s="150"/>
      <c r="P739" s="148"/>
      <c r="Q739" s="146"/>
      <c r="Y739" s="148"/>
      <c r="Z739" s="147"/>
      <c r="AF739" s="139"/>
      <c r="AH739" s="148"/>
      <c r="AI739" s="146"/>
    </row>
    <row r="740">
      <c r="B740" s="143"/>
      <c r="H740" s="143"/>
      <c r="K740" s="148"/>
      <c r="L740" s="150"/>
      <c r="P740" s="148"/>
      <c r="Q740" s="146"/>
      <c r="Y740" s="148"/>
      <c r="Z740" s="147"/>
      <c r="AF740" s="139"/>
      <c r="AH740" s="148"/>
      <c r="AI740" s="146"/>
    </row>
    <row r="741">
      <c r="B741" s="143"/>
      <c r="H741" s="143"/>
      <c r="K741" s="148"/>
      <c r="L741" s="150"/>
      <c r="P741" s="148"/>
      <c r="Q741" s="146"/>
      <c r="Y741" s="148"/>
      <c r="Z741" s="147"/>
      <c r="AF741" s="139"/>
      <c r="AH741" s="148"/>
      <c r="AI741" s="146"/>
    </row>
    <row r="742">
      <c r="B742" s="143"/>
      <c r="H742" s="143"/>
      <c r="K742" s="148"/>
      <c r="L742" s="150"/>
      <c r="P742" s="148"/>
      <c r="Q742" s="146"/>
      <c r="Y742" s="148"/>
      <c r="Z742" s="147"/>
      <c r="AF742" s="139"/>
      <c r="AH742" s="148"/>
      <c r="AI742" s="146"/>
    </row>
    <row r="743">
      <c r="B743" s="143"/>
      <c r="H743" s="143"/>
      <c r="K743" s="148"/>
      <c r="L743" s="150"/>
      <c r="P743" s="148"/>
      <c r="Q743" s="146"/>
      <c r="Y743" s="148"/>
      <c r="Z743" s="147"/>
      <c r="AF743" s="139"/>
      <c r="AH743" s="148"/>
      <c r="AI743" s="146"/>
    </row>
    <row r="744">
      <c r="B744" s="143"/>
      <c r="H744" s="143"/>
      <c r="K744" s="148"/>
      <c r="L744" s="150"/>
      <c r="P744" s="148"/>
      <c r="Q744" s="146"/>
      <c r="Y744" s="148"/>
      <c r="Z744" s="147"/>
      <c r="AF744" s="139"/>
      <c r="AH744" s="148"/>
      <c r="AI744" s="146"/>
    </row>
    <row r="745">
      <c r="B745" s="143"/>
      <c r="H745" s="143"/>
      <c r="K745" s="148"/>
      <c r="L745" s="150"/>
      <c r="P745" s="148"/>
      <c r="Q745" s="146"/>
      <c r="Y745" s="148"/>
      <c r="Z745" s="147"/>
      <c r="AF745" s="139"/>
      <c r="AH745" s="148"/>
      <c r="AI745" s="146"/>
    </row>
    <row r="746">
      <c r="B746" s="143"/>
      <c r="H746" s="143"/>
      <c r="K746" s="148"/>
      <c r="L746" s="150"/>
      <c r="P746" s="148"/>
      <c r="Q746" s="146"/>
      <c r="Y746" s="148"/>
      <c r="Z746" s="147"/>
      <c r="AF746" s="139"/>
      <c r="AH746" s="148"/>
      <c r="AI746" s="146"/>
    </row>
    <row r="747">
      <c r="B747" s="143"/>
      <c r="H747" s="143"/>
      <c r="K747" s="148"/>
      <c r="L747" s="150"/>
      <c r="P747" s="148"/>
      <c r="Q747" s="146"/>
      <c r="Y747" s="148"/>
      <c r="Z747" s="147"/>
      <c r="AF747" s="139"/>
      <c r="AH747" s="148"/>
      <c r="AI747" s="146"/>
    </row>
    <row r="748">
      <c r="B748" s="143"/>
      <c r="H748" s="143"/>
      <c r="K748" s="148"/>
      <c r="L748" s="150"/>
      <c r="P748" s="148"/>
      <c r="Q748" s="146"/>
      <c r="Y748" s="148"/>
      <c r="Z748" s="147"/>
      <c r="AF748" s="139"/>
      <c r="AH748" s="148"/>
      <c r="AI748" s="146"/>
    </row>
    <row r="749">
      <c r="B749" s="143"/>
      <c r="H749" s="143"/>
      <c r="K749" s="148"/>
      <c r="L749" s="150"/>
      <c r="P749" s="148"/>
      <c r="Q749" s="146"/>
      <c r="Y749" s="148"/>
      <c r="Z749" s="147"/>
      <c r="AF749" s="139"/>
      <c r="AH749" s="148"/>
      <c r="AI749" s="146"/>
    </row>
    <row r="750">
      <c r="B750" s="143"/>
      <c r="H750" s="143"/>
      <c r="K750" s="148"/>
      <c r="L750" s="150"/>
      <c r="P750" s="148"/>
      <c r="Q750" s="146"/>
      <c r="Y750" s="148"/>
      <c r="Z750" s="147"/>
      <c r="AF750" s="139"/>
      <c r="AH750" s="148"/>
      <c r="AI750" s="146"/>
    </row>
    <row r="751">
      <c r="B751" s="143"/>
      <c r="H751" s="143"/>
      <c r="K751" s="148"/>
      <c r="L751" s="150"/>
      <c r="P751" s="148"/>
      <c r="Q751" s="146"/>
      <c r="Y751" s="148"/>
      <c r="Z751" s="147"/>
      <c r="AF751" s="139"/>
      <c r="AH751" s="148"/>
      <c r="AI751" s="146"/>
    </row>
    <row r="752">
      <c r="B752" s="143"/>
      <c r="H752" s="143"/>
      <c r="K752" s="148"/>
      <c r="L752" s="150"/>
      <c r="P752" s="148"/>
      <c r="Q752" s="146"/>
      <c r="Y752" s="148"/>
      <c r="Z752" s="147"/>
      <c r="AF752" s="139"/>
      <c r="AH752" s="148"/>
      <c r="AI752" s="146"/>
    </row>
    <row r="753">
      <c r="B753" s="143"/>
      <c r="H753" s="143"/>
      <c r="K753" s="148"/>
      <c r="L753" s="150"/>
      <c r="P753" s="148"/>
      <c r="Q753" s="146"/>
      <c r="Y753" s="148"/>
      <c r="Z753" s="147"/>
      <c r="AF753" s="139"/>
      <c r="AH753" s="148"/>
      <c r="AI753" s="146"/>
    </row>
    <row r="754">
      <c r="B754" s="143"/>
      <c r="H754" s="143"/>
      <c r="K754" s="148"/>
      <c r="L754" s="150"/>
      <c r="P754" s="148"/>
      <c r="Q754" s="146"/>
      <c r="Y754" s="148"/>
      <c r="Z754" s="147"/>
      <c r="AF754" s="139"/>
      <c r="AH754" s="148"/>
      <c r="AI754" s="146"/>
    </row>
    <row r="755">
      <c r="B755" s="143"/>
      <c r="H755" s="143"/>
      <c r="K755" s="148"/>
      <c r="L755" s="150"/>
      <c r="P755" s="148"/>
      <c r="Q755" s="146"/>
      <c r="Y755" s="148"/>
      <c r="Z755" s="147"/>
      <c r="AF755" s="139"/>
      <c r="AH755" s="148"/>
      <c r="AI755" s="146"/>
    </row>
    <row r="756">
      <c r="B756" s="143"/>
      <c r="H756" s="143"/>
      <c r="K756" s="148"/>
      <c r="L756" s="150"/>
      <c r="P756" s="148"/>
      <c r="Q756" s="146"/>
      <c r="Y756" s="148"/>
      <c r="Z756" s="147"/>
      <c r="AF756" s="139"/>
      <c r="AH756" s="148"/>
      <c r="AI756" s="146"/>
    </row>
    <row r="757">
      <c r="B757" s="143"/>
      <c r="H757" s="143"/>
      <c r="K757" s="148"/>
      <c r="L757" s="150"/>
      <c r="P757" s="148"/>
      <c r="Q757" s="146"/>
      <c r="Y757" s="148"/>
      <c r="Z757" s="147"/>
      <c r="AF757" s="139"/>
      <c r="AH757" s="148"/>
      <c r="AI757" s="146"/>
    </row>
    <row r="758">
      <c r="B758" s="143"/>
      <c r="H758" s="143"/>
      <c r="K758" s="148"/>
      <c r="L758" s="150"/>
      <c r="P758" s="148"/>
      <c r="Q758" s="146"/>
      <c r="Y758" s="148"/>
      <c r="Z758" s="147"/>
      <c r="AF758" s="139"/>
      <c r="AH758" s="148"/>
      <c r="AI758" s="146"/>
    </row>
    <row r="759">
      <c r="B759" s="143"/>
      <c r="H759" s="143"/>
      <c r="K759" s="148"/>
      <c r="L759" s="150"/>
      <c r="P759" s="148"/>
      <c r="Q759" s="146"/>
      <c r="Y759" s="148"/>
      <c r="Z759" s="147"/>
      <c r="AF759" s="139"/>
      <c r="AH759" s="148"/>
      <c r="AI759" s="146"/>
    </row>
    <row r="760">
      <c r="B760" s="143"/>
      <c r="H760" s="143"/>
      <c r="K760" s="148"/>
      <c r="L760" s="150"/>
      <c r="P760" s="148"/>
      <c r="Q760" s="146"/>
      <c r="Y760" s="148"/>
      <c r="Z760" s="147"/>
      <c r="AF760" s="139"/>
      <c r="AH760" s="148"/>
      <c r="AI760" s="146"/>
    </row>
    <row r="761">
      <c r="B761" s="143"/>
      <c r="H761" s="143"/>
      <c r="K761" s="148"/>
      <c r="L761" s="150"/>
      <c r="P761" s="148"/>
      <c r="Q761" s="146"/>
      <c r="Y761" s="148"/>
      <c r="Z761" s="147"/>
      <c r="AF761" s="139"/>
      <c r="AH761" s="148"/>
      <c r="AI761" s="146"/>
    </row>
    <row r="762">
      <c r="B762" s="143"/>
      <c r="H762" s="143"/>
      <c r="K762" s="148"/>
      <c r="L762" s="150"/>
      <c r="P762" s="148"/>
      <c r="Q762" s="146"/>
      <c r="Y762" s="148"/>
      <c r="Z762" s="147"/>
      <c r="AF762" s="139"/>
      <c r="AH762" s="148"/>
      <c r="AI762" s="146"/>
    </row>
    <row r="763">
      <c r="B763" s="143"/>
      <c r="H763" s="143"/>
      <c r="K763" s="148"/>
      <c r="L763" s="150"/>
      <c r="P763" s="148"/>
      <c r="Q763" s="146"/>
      <c r="Y763" s="148"/>
      <c r="Z763" s="147"/>
      <c r="AF763" s="139"/>
      <c r="AH763" s="148"/>
      <c r="AI763" s="146"/>
    </row>
    <row r="764">
      <c r="B764" s="143"/>
      <c r="H764" s="143"/>
      <c r="K764" s="148"/>
      <c r="L764" s="150"/>
      <c r="P764" s="148"/>
      <c r="Q764" s="146"/>
      <c r="Y764" s="148"/>
      <c r="Z764" s="147"/>
      <c r="AF764" s="139"/>
      <c r="AH764" s="148"/>
      <c r="AI764" s="146"/>
    </row>
    <row r="765">
      <c r="B765" s="143"/>
      <c r="H765" s="143"/>
      <c r="K765" s="148"/>
      <c r="L765" s="150"/>
      <c r="P765" s="148"/>
      <c r="Q765" s="146"/>
      <c r="Y765" s="148"/>
      <c r="Z765" s="147"/>
      <c r="AF765" s="139"/>
      <c r="AH765" s="148"/>
      <c r="AI765" s="146"/>
    </row>
    <row r="766">
      <c r="B766" s="143"/>
      <c r="H766" s="143"/>
      <c r="K766" s="148"/>
      <c r="L766" s="150"/>
      <c r="P766" s="148"/>
      <c r="Q766" s="146"/>
      <c r="Y766" s="148"/>
      <c r="Z766" s="147"/>
      <c r="AF766" s="139"/>
      <c r="AH766" s="148"/>
      <c r="AI766" s="146"/>
    </row>
    <row r="767">
      <c r="B767" s="143"/>
      <c r="H767" s="143"/>
      <c r="K767" s="148"/>
      <c r="L767" s="150"/>
      <c r="P767" s="148"/>
      <c r="Q767" s="146"/>
      <c r="Y767" s="148"/>
      <c r="Z767" s="147"/>
      <c r="AF767" s="139"/>
      <c r="AH767" s="148"/>
      <c r="AI767" s="146"/>
    </row>
    <row r="768">
      <c r="B768" s="143"/>
      <c r="H768" s="143"/>
      <c r="K768" s="148"/>
      <c r="L768" s="150"/>
      <c r="P768" s="148"/>
      <c r="Q768" s="146"/>
      <c r="Y768" s="148"/>
      <c r="Z768" s="147"/>
      <c r="AF768" s="139"/>
      <c r="AH768" s="148"/>
      <c r="AI768" s="146"/>
    </row>
    <row r="769">
      <c r="B769" s="143"/>
      <c r="H769" s="143"/>
      <c r="K769" s="148"/>
      <c r="L769" s="150"/>
      <c r="P769" s="148"/>
      <c r="Q769" s="146"/>
      <c r="Y769" s="148"/>
      <c r="Z769" s="147"/>
      <c r="AF769" s="139"/>
      <c r="AH769" s="148"/>
      <c r="AI769" s="146"/>
    </row>
    <row r="770">
      <c r="B770" s="143"/>
      <c r="H770" s="143"/>
      <c r="K770" s="148"/>
      <c r="L770" s="150"/>
      <c r="P770" s="148"/>
      <c r="Q770" s="146"/>
      <c r="Y770" s="148"/>
      <c r="Z770" s="147"/>
      <c r="AF770" s="139"/>
      <c r="AH770" s="148"/>
      <c r="AI770" s="146"/>
    </row>
    <row r="771">
      <c r="B771" s="143"/>
      <c r="H771" s="143"/>
      <c r="K771" s="148"/>
      <c r="L771" s="150"/>
      <c r="P771" s="148"/>
      <c r="Q771" s="146"/>
      <c r="Y771" s="148"/>
      <c r="Z771" s="147"/>
      <c r="AF771" s="139"/>
      <c r="AH771" s="148"/>
      <c r="AI771" s="146"/>
    </row>
    <row r="772">
      <c r="B772" s="143"/>
      <c r="H772" s="143"/>
      <c r="K772" s="148"/>
      <c r="L772" s="150"/>
      <c r="P772" s="148"/>
      <c r="Q772" s="146"/>
      <c r="Y772" s="148"/>
      <c r="Z772" s="147"/>
      <c r="AF772" s="139"/>
      <c r="AH772" s="148"/>
      <c r="AI772" s="146"/>
    </row>
    <row r="773">
      <c r="B773" s="143"/>
      <c r="H773" s="143"/>
      <c r="K773" s="148"/>
      <c r="L773" s="150"/>
      <c r="P773" s="148"/>
      <c r="Q773" s="146"/>
      <c r="Y773" s="148"/>
      <c r="Z773" s="147"/>
      <c r="AF773" s="139"/>
      <c r="AH773" s="148"/>
      <c r="AI773" s="146"/>
    </row>
    <row r="774">
      <c r="B774" s="143"/>
      <c r="H774" s="143"/>
      <c r="K774" s="148"/>
      <c r="L774" s="150"/>
      <c r="P774" s="148"/>
      <c r="Q774" s="146"/>
      <c r="Y774" s="148"/>
      <c r="Z774" s="147"/>
      <c r="AF774" s="139"/>
      <c r="AH774" s="148"/>
      <c r="AI774" s="146"/>
    </row>
    <row r="775">
      <c r="B775" s="143"/>
      <c r="H775" s="143"/>
      <c r="K775" s="148"/>
      <c r="L775" s="150"/>
      <c r="P775" s="148"/>
      <c r="Q775" s="146"/>
      <c r="Y775" s="148"/>
      <c r="Z775" s="147"/>
      <c r="AF775" s="139"/>
      <c r="AH775" s="148"/>
      <c r="AI775" s="146"/>
    </row>
    <row r="776">
      <c r="B776" s="143"/>
      <c r="H776" s="143"/>
      <c r="K776" s="148"/>
      <c r="L776" s="150"/>
      <c r="P776" s="148"/>
      <c r="Q776" s="146"/>
      <c r="Y776" s="148"/>
      <c r="Z776" s="147"/>
      <c r="AF776" s="139"/>
      <c r="AH776" s="148"/>
      <c r="AI776" s="146"/>
    </row>
    <row r="777">
      <c r="B777" s="143"/>
      <c r="H777" s="143"/>
      <c r="K777" s="148"/>
      <c r="L777" s="150"/>
      <c r="P777" s="148"/>
      <c r="Q777" s="146"/>
      <c r="Y777" s="148"/>
      <c r="Z777" s="147"/>
      <c r="AF777" s="139"/>
      <c r="AH777" s="148"/>
      <c r="AI777" s="146"/>
    </row>
    <row r="778">
      <c r="B778" s="143"/>
      <c r="H778" s="143"/>
      <c r="K778" s="148"/>
      <c r="L778" s="150"/>
      <c r="P778" s="148"/>
      <c r="Q778" s="146"/>
      <c r="Y778" s="148"/>
      <c r="Z778" s="147"/>
      <c r="AF778" s="139"/>
      <c r="AH778" s="148"/>
      <c r="AI778" s="146"/>
    </row>
    <row r="779">
      <c r="B779" s="143"/>
      <c r="H779" s="143"/>
      <c r="K779" s="148"/>
      <c r="L779" s="150"/>
      <c r="P779" s="148"/>
      <c r="Q779" s="146"/>
      <c r="Y779" s="148"/>
      <c r="Z779" s="147"/>
      <c r="AF779" s="139"/>
      <c r="AH779" s="148"/>
      <c r="AI779" s="146"/>
    </row>
    <row r="780">
      <c r="B780" s="143"/>
      <c r="H780" s="143"/>
      <c r="K780" s="148"/>
      <c r="L780" s="150"/>
      <c r="P780" s="148"/>
      <c r="Q780" s="146"/>
      <c r="Y780" s="148"/>
      <c r="Z780" s="147"/>
      <c r="AF780" s="139"/>
      <c r="AH780" s="148"/>
      <c r="AI780" s="146"/>
    </row>
    <row r="781">
      <c r="B781" s="143"/>
      <c r="H781" s="143"/>
      <c r="K781" s="148"/>
      <c r="L781" s="150"/>
      <c r="P781" s="148"/>
      <c r="Q781" s="146"/>
      <c r="Y781" s="148"/>
      <c r="Z781" s="147"/>
      <c r="AF781" s="139"/>
      <c r="AH781" s="148"/>
      <c r="AI781" s="146"/>
    </row>
    <row r="782">
      <c r="B782" s="143"/>
      <c r="H782" s="143"/>
      <c r="K782" s="148"/>
      <c r="L782" s="150"/>
      <c r="P782" s="148"/>
      <c r="Q782" s="146"/>
      <c r="Y782" s="148"/>
      <c r="Z782" s="147"/>
      <c r="AF782" s="139"/>
      <c r="AH782" s="148"/>
      <c r="AI782" s="146"/>
    </row>
    <row r="783">
      <c r="B783" s="143"/>
      <c r="H783" s="143"/>
      <c r="K783" s="148"/>
      <c r="L783" s="150"/>
      <c r="P783" s="148"/>
      <c r="Q783" s="146"/>
      <c r="Y783" s="148"/>
      <c r="Z783" s="147"/>
      <c r="AF783" s="139"/>
      <c r="AH783" s="148"/>
      <c r="AI783" s="146"/>
    </row>
    <row r="784">
      <c r="B784" s="143"/>
      <c r="H784" s="143"/>
      <c r="K784" s="148"/>
      <c r="L784" s="150"/>
      <c r="P784" s="148"/>
      <c r="Q784" s="146"/>
      <c r="Y784" s="148"/>
      <c r="Z784" s="147"/>
      <c r="AF784" s="139"/>
      <c r="AH784" s="148"/>
      <c r="AI784" s="146"/>
    </row>
    <row r="785">
      <c r="B785" s="143"/>
      <c r="H785" s="143"/>
      <c r="K785" s="148"/>
      <c r="L785" s="150"/>
      <c r="P785" s="148"/>
      <c r="Q785" s="146"/>
      <c r="Y785" s="148"/>
      <c r="Z785" s="147"/>
      <c r="AF785" s="139"/>
      <c r="AH785" s="148"/>
      <c r="AI785" s="146"/>
    </row>
    <row r="786">
      <c r="B786" s="143"/>
      <c r="H786" s="143"/>
      <c r="K786" s="148"/>
      <c r="L786" s="150"/>
      <c r="P786" s="148"/>
      <c r="Q786" s="146"/>
      <c r="Y786" s="148"/>
      <c r="Z786" s="147"/>
      <c r="AF786" s="139"/>
      <c r="AH786" s="148"/>
      <c r="AI786" s="146"/>
    </row>
    <row r="787">
      <c r="B787" s="143"/>
      <c r="H787" s="143"/>
      <c r="K787" s="148"/>
      <c r="L787" s="150"/>
      <c r="P787" s="148"/>
      <c r="Q787" s="146"/>
      <c r="Y787" s="148"/>
      <c r="Z787" s="147"/>
      <c r="AF787" s="139"/>
      <c r="AH787" s="148"/>
      <c r="AI787" s="146"/>
    </row>
    <row r="788">
      <c r="B788" s="143"/>
      <c r="H788" s="143"/>
      <c r="K788" s="148"/>
      <c r="L788" s="150"/>
      <c r="P788" s="148"/>
      <c r="Q788" s="146"/>
      <c r="Y788" s="148"/>
      <c r="Z788" s="147"/>
      <c r="AF788" s="139"/>
      <c r="AH788" s="148"/>
      <c r="AI788" s="146"/>
    </row>
    <row r="789">
      <c r="B789" s="143"/>
      <c r="H789" s="143"/>
      <c r="K789" s="148"/>
      <c r="L789" s="150"/>
      <c r="P789" s="148"/>
      <c r="Q789" s="146"/>
      <c r="Y789" s="148"/>
      <c r="Z789" s="147"/>
      <c r="AF789" s="139"/>
      <c r="AH789" s="148"/>
      <c r="AI789" s="146"/>
    </row>
    <row r="790">
      <c r="B790" s="143"/>
      <c r="H790" s="143"/>
      <c r="K790" s="148"/>
      <c r="L790" s="150"/>
      <c r="P790" s="148"/>
      <c r="Q790" s="146"/>
      <c r="Y790" s="148"/>
      <c r="Z790" s="147"/>
      <c r="AF790" s="139"/>
      <c r="AH790" s="148"/>
      <c r="AI790" s="146"/>
    </row>
    <row r="791">
      <c r="B791" s="143"/>
      <c r="H791" s="143"/>
      <c r="K791" s="148"/>
      <c r="L791" s="150"/>
      <c r="P791" s="148"/>
      <c r="Q791" s="146"/>
      <c r="Y791" s="148"/>
      <c r="Z791" s="147"/>
      <c r="AF791" s="139"/>
      <c r="AH791" s="148"/>
      <c r="AI791" s="146"/>
    </row>
    <row r="792">
      <c r="B792" s="143"/>
      <c r="H792" s="143"/>
      <c r="K792" s="148"/>
      <c r="L792" s="150"/>
      <c r="P792" s="148"/>
      <c r="Q792" s="146"/>
      <c r="Y792" s="148"/>
      <c r="Z792" s="147"/>
      <c r="AF792" s="139"/>
      <c r="AH792" s="148"/>
      <c r="AI792" s="146"/>
    </row>
    <row r="793">
      <c r="B793" s="143"/>
      <c r="H793" s="143"/>
      <c r="K793" s="148"/>
      <c r="L793" s="150"/>
      <c r="P793" s="148"/>
      <c r="Q793" s="146"/>
      <c r="Y793" s="148"/>
      <c r="Z793" s="147"/>
      <c r="AF793" s="139"/>
      <c r="AH793" s="148"/>
      <c r="AI793" s="146"/>
    </row>
    <row r="794">
      <c r="B794" s="143"/>
      <c r="H794" s="143"/>
      <c r="K794" s="148"/>
      <c r="L794" s="150"/>
      <c r="P794" s="148"/>
      <c r="Q794" s="146"/>
      <c r="Y794" s="148"/>
      <c r="Z794" s="147"/>
      <c r="AF794" s="139"/>
      <c r="AH794" s="148"/>
      <c r="AI794" s="146"/>
    </row>
    <row r="795">
      <c r="B795" s="143"/>
      <c r="H795" s="143"/>
      <c r="K795" s="148"/>
      <c r="L795" s="150"/>
      <c r="P795" s="148"/>
      <c r="Q795" s="146"/>
      <c r="Y795" s="148"/>
      <c r="Z795" s="147"/>
      <c r="AF795" s="139"/>
      <c r="AH795" s="148"/>
      <c r="AI795" s="146"/>
    </row>
    <row r="796">
      <c r="B796" s="143"/>
      <c r="H796" s="143"/>
      <c r="K796" s="148"/>
      <c r="L796" s="150"/>
      <c r="P796" s="148"/>
      <c r="Q796" s="146"/>
      <c r="Y796" s="148"/>
      <c r="Z796" s="147"/>
      <c r="AF796" s="139"/>
      <c r="AH796" s="148"/>
      <c r="AI796" s="146"/>
    </row>
    <row r="797">
      <c r="B797" s="143"/>
      <c r="H797" s="143"/>
      <c r="K797" s="148"/>
      <c r="L797" s="150"/>
      <c r="P797" s="148"/>
      <c r="Q797" s="146"/>
      <c r="Y797" s="148"/>
      <c r="Z797" s="147"/>
      <c r="AF797" s="139"/>
      <c r="AH797" s="148"/>
      <c r="AI797" s="146"/>
    </row>
    <row r="798">
      <c r="B798" s="143"/>
      <c r="H798" s="143"/>
      <c r="K798" s="148"/>
      <c r="L798" s="150"/>
      <c r="P798" s="148"/>
      <c r="Q798" s="146"/>
      <c r="Y798" s="148"/>
      <c r="Z798" s="147"/>
      <c r="AF798" s="139"/>
      <c r="AH798" s="148"/>
      <c r="AI798" s="146"/>
    </row>
    <row r="799">
      <c r="B799" s="143"/>
      <c r="H799" s="143"/>
      <c r="K799" s="148"/>
      <c r="L799" s="150"/>
      <c r="P799" s="148"/>
      <c r="Q799" s="146"/>
      <c r="Y799" s="148"/>
      <c r="Z799" s="147"/>
      <c r="AF799" s="139"/>
      <c r="AH799" s="148"/>
      <c r="AI799" s="146"/>
    </row>
    <row r="800">
      <c r="B800" s="143"/>
      <c r="H800" s="143"/>
      <c r="K800" s="148"/>
      <c r="L800" s="150"/>
      <c r="P800" s="148"/>
      <c r="Q800" s="146"/>
      <c r="Y800" s="148"/>
      <c r="Z800" s="147"/>
      <c r="AF800" s="139"/>
      <c r="AH800" s="148"/>
      <c r="AI800" s="146"/>
    </row>
    <row r="801">
      <c r="B801" s="143"/>
      <c r="H801" s="143"/>
      <c r="K801" s="148"/>
      <c r="L801" s="150"/>
      <c r="P801" s="148"/>
      <c r="Q801" s="146"/>
      <c r="Y801" s="148"/>
      <c r="Z801" s="147"/>
      <c r="AF801" s="139"/>
      <c r="AH801" s="148"/>
      <c r="AI801" s="146"/>
    </row>
    <row r="802">
      <c r="B802" s="143"/>
      <c r="H802" s="143"/>
      <c r="K802" s="148"/>
      <c r="L802" s="150"/>
      <c r="P802" s="148"/>
      <c r="Q802" s="146"/>
      <c r="Y802" s="148"/>
      <c r="Z802" s="147"/>
      <c r="AF802" s="139"/>
      <c r="AH802" s="148"/>
      <c r="AI802" s="146"/>
    </row>
    <row r="803">
      <c r="B803" s="143"/>
      <c r="H803" s="143"/>
      <c r="K803" s="148"/>
      <c r="L803" s="150"/>
      <c r="P803" s="148"/>
      <c r="Q803" s="146"/>
      <c r="Y803" s="148"/>
      <c r="Z803" s="147"/>
      <c r="AF803" s="139"/>
      <c r="AH803" s="148"/>
      <c r="AI803" s="146"/>
    </row>
    <row r="804">
      <c r="B804" s="143"/>
      <c r="H804" s="143"/>
      <c r="K804" s="148"/>
      <c r="L804" s="150"/>
      <c r="P804" s="148"/>
      <c r="Q804" s="146"/>
      <c r="Y804" s="148"/>
      <c r="Z804" s="147"/>
      <c r="AF804" s="139"/>
      <c r="AH804" s="148"/>
      <c r="AI804" s="146"/>
    </row>
    <row r="805">
      <c r="B805" s="143"/>
      <c r="H805" s="143"/>
      <c r="K805" s="148"/>
      <c r="L805" s="150"/>
      <c r="P805" s="148"/>
      <c r="Q805" s="146"/>
      <c r="Y805" s="148"/>
      <c r="Z805" s="147"/>
      <c r="AF805" s="139"/>
      <c r="AH805" s="148"/>
      <c r="AI805" s="146"/>
    </row>
    <row r="806">
      <c r="B806" s="143"/>
      <c r="H806" s="143"/>
      <c r="K806" s="148"/>
      <c r="L806" s="150"/>
      <c r="P806" s="148"/>
      <c r="Q806" s="146"/>
      <c r="Y806" s="148"/>
      <c r="Z806" s="147"/>
      <c r="AF806" s="139"/>
      <c r="AH806" s="148"/>
      <c r="AI806" s="146"/>
    </row>
    <row r="807">
      <c r="B807" s="143"/>
      <c r="H807" s="143"/>
      <c r="K807" s="148"/>
      <c r="L807" s="150"/>
      <c r="P807" s="148"/>
      <c r="Q807" s="146"/>
      <c r="Y807" s="148"/>
      <c r="Z807" s="147"/>
      <c r="AF807" s="139"/>
      <c r="AH807" s="148"/>
      <c r="AI807" s="146"/>
    </row>
    <row r="808">
      <c r="B808" s="143"/>
      <c r="H808" s="143"/>
      <c r="K808" s="148"/>
      <c r="L808" s="150"/>
      <c r="P808" s="148"/>
      <c r="Q808" s="146"/>
      <c r="Y808" s="148"/>
      <c r="Z808" s="147"/>
      <c r="AF808" s="139"/>
      <c r="AH808" s="148"/>
      <c r="AI808" s="146"/>
    </row>
    <row r="809">
      <c r="B809" s="143"/>
      <c r="H809" s="143"/>
      <c r="K809" s="148"/>
      <c r="L809" s="150"/>
      <c r="P809" s="148"/>
      <c r="Q809" s="146"/>
      <c r="Y809" s="148"/>
      <c r="Z809" s="147"/>
      <c r="AF809" s="139"/>
      <c r="AH809" s="148"/>
      <c r="AI809" s="146"/>
    </row>
    <row r="810">
      <c r="B810" s="143"/>
      <c r="H810" s="143"/>
      <c r="K810" s="148"/>
      <c r="L810" s="150"/>
      <c r="P810" s="148"/>
      <c r="Q810" s="146"/>
      <c r="Y810" s="148"/>
      <c r="Z810" s="147"/>
      <c r="AF810" s="139"/>
      <c r="AH810" s="148"/>
      <c r="AI810" s="146"/>
    </row>
    <row r="811">
      <c r="B811" s="143"/>
      <c r="H811" s="143"/>
      <c r="K811" s="148"/>
      <c r="L811" s="150"/>
      <c r="P811" s="148"/>
      <c r="Q811" s="146"/>
      <c r="Y811" s="148"/>
      <c r="Z811" s="147"/>
      <c r="AF811" s="139"/>
      <c r="AH811" s="148"/>
      <c r="AI811" s="146"/>
    </row>
    <row r="812">
      <c r="B812" s="143"/>
      <c r="H812" s="143"/>
      <c r="K812" s="148"/>
      <c r="L812" s="150"/>
      <c r="P812" s="148"/>
      <c r="Q812" s="146"/>
      <c r="Y812" s="148"/>
      <c r="Z812" s="147"/>
      <c r="AF812" s="139"/>
      <c r="AH812" s="148"/>
      <c r="AI812" s="146"/>
    </row>
    <row r="813">
      <c r="B813" s="143"/>
      <c r="H813" s="143"/>
      <c r="K813" s="148"/>
      <c r="L813" s="150"/>
      <c r="P813" s="148"/>
      <c r="Q813" s="146"/>
      <c r="Y813" s="148"/>
      <c r="Z813" s="147"/>
      <c r="AF813" s="139"/>
      <c r="AH813" s="148"/>
      <c r="AI813" s="146"/>
    </row>
    <row r="814">
      <c r="B814" s="143"/>
      <c r="H814" s="143"/>
      <c r="K814" s="148"/>
      <c r="L814" s="150"/>
      <c r="P814" s="148"/>
      <c r="Q814" s="146"/>
      <c r="Y814" s="148"/>
      <c r="Z814" s="147"/>
      <c r="AF814" s="139"/>
      <c r="AH814" s="148"/>
      <c r="AI814" s="146"/>
    </row>
    <row r="815">
      <c r="B815" s="143"/>
      <c r="H815" s="143"/>
      <c r="K815" s="148"/>
      <c r="L815" s="150"/>
      <c r="P815" s="148"/>
      <c r="Q815" s="146"/>
      <c r="Y815" s="148"/>
      <c r="Z815" s="147"/>
      <c r="AF815" s="139"/>
      <c r="AH815" s="148"/>
      <c r="AI815" s="146"/>
    </row>
    <row r="816">
      <c r="B816" s="143"/>
      <c r="H816" s="143"/>
      <c r="K816" s="148"/>
      <c r="L816" s="150"/>
      <c r="P816" s="148"/>
      <c r="Q816" s="146"/>
      <c r="Y816" s="148"/>
      <c r="Z816" s="147"/>
      <c r="AF816" s="139"/>
      <c r="AH816" s="148"/>
      <c r="AI816" s="146"/>
    </row>
    <row r="817">
      <c r="B817" s="143"/>
      <c r="H817" s="143"/>
      <c r="K817" s="148"/>
      <c r="L817" s="150"/>
      <c r="P817" s="148"/>
      <c r="Q817" s="146"/>
      <c r="Y817" s="148"/>
      <c r="Z817" s="147"/>
      <c r="AF817" s="139"/>
      <c r="AH817" s="148"/>
      <c r="AI817" s="146"/>
    </row>
    <row r="818">
      <c r="B818" s="143"/>
      <c r="H818" s="143"/>
      <c r="K818" s="148"/>
      <c r="L818" s="150"/>
      <c r="P818" s="148"/>
      <c r="Q818" s="146"/>
      <c r="Y818" s="148"/>
      <c r="Z818" s="147"/>
      <c r="AF818" s="139"/>
      <c r="AH818" s="148"/>
      <c r="AI818" s="146"/>
    </row>
    <row r="819">
      <c r="B819" s="143"/>
      <c r="H819" s="143"/>
      <c r="K819" s="148"/>
      <c r="L819" s="150"/>
      <c r="P819" s="148"/>
      <c r="Q819" s="146"/>
      <c r="Y819" s="148"/>
      <c r="Z819" s="147"/>
      <c r="AF819" s="139"/>
      <c r="AH819" s="148"/>
      <c r="AI819" s="146"/>
    </row>
    <row r="820">
      <c r="B820" s="143"/>
      <c r="H820" s="143"/>
      <c r="K820" s="148"/>
      <c r="L820" s="150"/>
      <c r="P820" s="148"/>
      <c r="Q820" s="146"/>
      <c r="Y820" s="148"/>
      <c r="Z820" s="147"/>
      <c r="AF820" s="139"/>
      <c r="AH820" s="148"/>
      <c r="AI820" s="146"/>
    </row>
    <row r="821">
      <c r="B821" s="143"/>
      <c r="H821" s="143"/>
      <c r="K821" s="148"/>
      <c r="L821" s="150"/>
      <c r="P821" s="148"/>
      <c r="Q821" s="146"/>
      <c r="Y821" s="148"/>
      <c r="Z821" s="147"/>
      <c r="AF821" s="139"/>
      <c r="AH821" s="148"/>
      <c r="AI821" s="146"/>
    </row>
    <row r="822">
      <c r="B822" s="143"/>
      <c r="H822" s="143"/>
      <c r="K822" s="148"/>
      <c r="L822" s="150"/>
      <c r="P822" s="148"/>
      <c r="Q822" s="146"/>
      <c r="Y822" s="148"/>
      <c r="Z822" s="147"/>
      <c r="AF822" s="139"/>
      <c r="AH822" s="148"/>
      <c r="AI822" s="146"/>
    </row>
    <row r="823">
      <c r="B823" s="143"/>
      <c r="H823" s="143"/>
      <c r="K823" s="148"/>
      <c r="L823" s="150"/>
      <c r="P823" s="148"/>
      <c r="Q823" s="146"/>
      <c r="Y823" s="148"/>
      <c r="Z823" s="147"/>
      <c r="AF823" s="139"/>
      <c r="AH823" s="148"/>
      <c r="AI823" s="146"/>
    </row>
    <row r="824">
      <c r="B824" s="143"/>
      <c r="H824" s="143"/>
      <c r="K824" s="148"/>
      <c r="L824" s="150"/>
      <c r="P824" s="148"/>
      <c r="Q824" s="146"/>
      <c r="Y824" s="148"/>
      <c r="Z824" s="147"/>
      <c r="AF824" s="139"/>
      <c r="AH824" s="148"/>
      <c r="AI824" s="146"/>
    </row>
    <row r="825">
      <c r="B825" s="143"/>
      <c r="H825" s="143"/>
      <c r="K825" s="148"/>
      <c r="L825" s="150"/>
      <c r="P825" s="148"/>
      <c r="Q825" s="146"/>
      <c r="Y825" s="148"/>
      <c r="Z825" s="147"/>
      <c r="AF825" s="139"/>
      <c r="AH825" s="148"/>
      <c r="AI825" s="146"/>
    </row>
    <row r="826">
      <c r="B826" s="143"/>
      <c r="H826" s="143"/>
      <c r="K826" s="148"/>
      <c r="L826" s="150"/>
      <c r="P826" s="148"/>
      <c r="Q826" s="146"/>
      <c r="Y826" s="148"/>
      <c r="Z826" s="147"/>
      <c r="AF826" s="139"/>
      <c r="AH826" s="148"/>
      <c r="AI826" s="146"/>
    </row>
    <row r="827">
      <c r="B827" s="143"/>
      <c r="H827" s="143"/>
      <c r="K827" s="148"/>
      <c r="L827" s="150"/>
      <c r="P827" s="148"/>
      <c r="Q827" s="146"/>
      <c r="Y827" s="148"/>
      <c r="Z827" s="147"/>
      <c r="AF827" s="139"/>
      <c r="AH827" s="148"/>
      <c r="AI827" s="146"/>
    </row>
    <row r="828">
      <c r="B828" s="143"/>
      <c r="H828" s="143"/>
      <c r="K828" s="148"/>
      <c r="L828" s="150"/>
      <c r="P828" s="148"/>
      <c r="Q828" s="146"/>
      <c r="Y828" s="148"/>
      <c r="Z828" s="147"/>
      <c r="AF828" s="139"/>
      <c r="AH828" s="148"/>
      <c r="AI828" s="146"/>
    </row>
    <row r="829">
      <c r="B829" s="143"/>
      <c r="H829" s="143"/>
      <c r="K829" s="148"/>
      <c r="L829" s="150"/>
      <c r="P829" s="148"/>
      <c r="Q829" s="146"/>
      <c r="Y829" s="148"/>
      <c r="Z829" s="147"/>
      <c r="AF829" s="139"/>
      <c r="AH829" s="148"/>
      <c r="AI829" s="146"/>
    </row>
    <row r="830">
      <c r="B830" s="143"/>
      <c r="H830" s="143"/>
      <c r="K830" s="148"/>
      <c r="L830" s="150"/>
      <c r="P830" s="148"/>
      <c r="Q830" s="146"/>
      <c r="Y830" s="148"/>
      <c r="Z830" s="147"/>
      <c r="AF830" s="139"/>
      <c r="AH830" s="148"/>
      <c r="AI830" s="146"/>
    </row>
    <row r="831">
      <c r="B831" s="143"/>
      <c r="H831" s="143"/>
      <c r="K831" s="148"/>
      <c r="L831" s="150"/>
      <c r="P831" s="148"/>
      <c r="Q831" s="146"/>
      <c r="Y831" s="148"/>
      <c r="Z831" s="147"/>
      <c r="AF831" s="139"/>
      <c r="AH831" s="148"/>
      <c r="AI831" s="146"/>
    </row>
    <row r="832">
      <c r="B832" s="143"/>
      <c r="H832" s="143"/>
      <c r="K832" s="148"/>
      <c r="L832" s="150"/>
      <c r="P832" s="148"/>
      <c r="Q832" s="146"/>
      <c r="Y832" s="148"/>
      <c r="Z832" s="147"/>
      <c r="AF832" s="139"/>
      <c r="AH832" s="148"/>
      <c r="AI832" s="146"/>
    </row>
    <row r="833">
      <c r="B833" s="143"/>
      <c r="H833" s="143"/>
      <c r="K833" s="148"/>
      <c r="L833" s="150"/>
      <c r="P833" s="148"/>
      <c r="Q833" s="146"/>
      <c r="Y833" s="148"/>
      <c r="Z833" s="147"/>
      <c r="AF833" s="139"/>
      <c r="AH833" s="148"/>
      <c r="AI833" s="146"/>
    </row>
    <row r="834">
      <c r="B834" s="143"/>
      <c r="H834" s="143"/>
      <c r="K834" s="148"/>
      <c r="L834" s="150"/>
      <c r="P834" s="148"/>
      <c r="Q834" s="146"/>
      <c r="Y834" s="148"/>
      <c r="Z834" s="147"/>
      <c r="AF834" s="139"/>
      <c r="AH834" s="148"/>
      <c r="AI834" s="146"/>
    </row>
    <row r="835">
      <c r="B835" s="143"/>
      <c r="H835" s="143"/>
      <c r="K835" s="148"/>
      <c r="L835" s="150"/>
      <c r="P835" s="148"/>
      <c r="Q835" s="146"/>
      <c r="Y835" s="148"/>
      <c r="Z835" s="147"/>
      <c r="AF835" s="139"/>
      <c r="AH835" s="148"/>
      <c r="AI835" s="146"/>
    </row>
    <row r="836">
      <c r="B836" s="143"/>
      <c r="H836" s="143"/>
      <c r="K836" s="148"/>
      <c r="L836" s="150"/>
      <c r="P836" s="148"/>
      <c r="Q836" s="146"/>
      <c r="Y836" s="148"/>
      <c r="Z836" s="147"/>
      <c r="AF836" s="139"/>
      <c r="AH836" s="148"/>
      <c r="AI836" s="146"/>
    </row>
    <row r="837">
      <c r="B837" s="143"/>
      <c r="H837" s="143"/>
      <c r="K837" s="148"/>
      <c r="L837" s="150"/>
      <c r="P837" s="148"/>
      <c r="Q837" s="146"/>
      <c r="Y837" s="148"/>
      <c r="Z837" s="147"/>
      <c r="AF837" s="139"/>
      <c r="AH837" s="148"/>
      <c r="AI837" s="146"/>
    </row>
    <row r="838">
      <c r="B838" s="143"/>
      <c r="H838" s="143"/>
      <c r="K838" s="148"/>
      <c r="L838" s="150"/>
      <c r="P838" s="148"/>
      <c r="Q838" s="146"/>
      <c r="Y838" s="148"/>
      <c r="Z838" s="147"/>
      <c r="AF838" s="139"/>
      <c r="AH838" s="148"/>
      <c r="AI838" s="146"/>
    </row>
    <row r="839">
      <c r="B839" s="143"/>
      <c r="H839" s="143"/>
      <c r="K839" s="148"/>
      <c r="L839" s="150"/>
      <c r="P839" s="148"/>
      <c r="Q839" s="146"/>
      <c r="Y839" s="148"/>
      <c r="Z839" s="147"/>
      <c r="AF839" s="139"/>
      <c r="AH839" s="148"/>
      <c r="AI839" s="146"/>
    </row>
    <row r="840">
      <c r="B840" s="143"/>
      <c r="H840" s="143"/>
      <c r="K840" s="148"/>
      <c r="L840" s="150"/>
      <c r="P840" s="148"/>
      <c r="Q840" s="146"/>
      <c r="Y840" s="148"/>
      <c r="Z840" s="147"/>
      <c r="AF840" s="139"/>
      <c r="AH840" s="148"/>
      <c r="AI840" s="146"/>
    </row>
    <row r="841">
      <c r="B841" s="143"/>
      <c r="H841" s="143"/>
      <c r="K841" s="148"/>
      <c r="L841" s="150"/>
      <c r="P841" s="148"/>
      <c r="Q841" s="146"/>
      <c r="Y841" s="148"/>
      <c r="Z841" s="147"/>
      <c r="AF841" s="139"/>
      <c r="AH841" s="148"/>
      <c r="AI841" s="146"/>
    </row>
    <row r="842">
      <c r="B842" s="143"/>
      <c r="H842" s="143"/>
      <c r="K842" s="148"/>
      <c r="L842" s="150"/>
      <c r="P842" s="148"/>
      <c r="Q842" s="146"/>
      <c r="Y842" s="148"/>
      <c r="Z842" s="147"/>
      <c r="AF842" s="139"/>
      <c r="AH842" s="148"/>
      <c r="AI842" s="146"/>
    </row>
    <row r="843">
      <c r="B843" s="143"/>
      <c r="H843" s="143"/>
      <c r="K843" s="148"/>
      <c r="L843" s="150"/>
      <c r="P843" s="148"/>
      <c r="Q843" s="146"/>
      <c r="Y843" s="148"/>
      <c r="Z843" s="147"/>
      <c r="AF843" s="139"/>
      <c r="AH843" s="148"/>
      <c r="AI843" s="146"/>
    </row>
    <row r="844">
      <c r="B844" s="143"/>
      <c r="H844" s="143"/>
      <c r="K844" s="148"/>
      <c r="L844" s="150"/>
      <c r="P844" s="148"/>
      <c r="Q844" s="146"/>
      <c r="Y844" s="148"/>
      <c r="Z844" s="147"/>
      <c r="AF844" s="139"/>
      <c r="AH844" s="148"/>
      <c r="AI844" s="146"/>
    </row>
    <row r="845">
      <c r="B845" s="143"/>
      <c r="H845" s="143"/>
      <c r="K845" s="148"/>
      <c r="L845" s="150"/>
      <c r="P845" s="148"/>
      <c r="Q845" s="146"/>
      <c r="Y845" s="148"/>
      <c r="Z845" s="147"/>
      <c r="AF845" s="139"/>
      <c r="AH845" s="148"/>
      <c r="AI845" s="146"/>
    </row>
    <row r="846">
      <c r="B846" s="143"/>
      <c r="H846" s="143"/>
      <c r="K846" s="148"/>
      <c r="L846" s="150"/>
      <c r="P846" s="148"/>
      <c r="Q846" s="146"/>
      <c r="Y846" s="148"/>
      <c r="Z846" s="147"/>
      <c r="AF846" s="139"/>
      <c r="AH846" s="148"/>
      <c r="AI846" s="146"/>
    </row>
    <row r="847">
      <c r="B847" s="143"/>
      <c r="H847" s="143"/>
      <c r="K847" s="148"/>
      <c r="L847" s="150"/>
      <c r="P847" s="148"/>
      <c r="Q847" s="146"/>
      <c r="Y847" s="148"/>
      <c r="Z847" s="147"/>
      <c r="AF847" s="139"/>
      <c r="AH847" s="148"/>
      <c r="AI847" s="146"/>
    </row>
    <row r="848">
      <c r="B848" s="143"/>
      <c r="H848" s="143"/>
      <c r="K848" s="148"/>
      <c r="L848" s="150"/>
      <c r="P848" s="148"/>
      <c r="Q848" s="146"/>
      <c r="Y848" s="148"/>
      <c r="Z848" s="147"/>
      <c r="AF848" s="139"/>
      <c r="AH848" s="148"/>
      <c r="AI848" s="146"/>
    </row>
    <row r="849">
      <c r="B849" s="143"/>
      <c r="H849" s="143"/>
      <c r="K849" s="148"/>
      <c r="L849" s="150"/>
      <c r="P849" s="148"/>
      <c r="Q849" s="146"/>
      <c r="Y849" s="148"/>
      <c r="Z849" s="147"/>
      <c r="AF849" s="139"/>
      <c r="AH849" s="148"/>
      <c r="AI849" s="146"/>
    </row>
    <row r="850">
      <c r="B850" s="143"/>
      <c r="H850" s="143"/>
      <c r="K850" s="148"/>
      <c r="L850" s="150"/>
      <c r="P850" s="148"/>
      <c r="Q850" s="146"/>
      <c r="Y850" s="148"/>
      <c r="Z850" s="147"/>
      <c r="AF850" s="139"/>
      <c r="AH850" s="148"/>
      <c r="AI850" s="146"/>
    </row>
    <row r="851">
      <c r="B851" s="143"/>
      <c r="H851" s="143"/>
      <c r="K851" s="148"/>
      <c r="L851" s="150"/>
      <c r="P851" s="148"/>
      <c r="Q851" s="146"/>
      <c r="Y851" s="148"/>
      <c r="Z851" s="147"/>
      <c r="AF851" s="139"/>
      <c r="AH851" s="148"/>
      <c r="AI851" s="146"/>
    </row>
    <row r="852">
      <c r="B852" s="143"/>
      <c r="H852" s="143"/>
      <c r="K852" s="148"/>
      <c r="L852" s="150"/>
      <c r="P852" s="148"/>
      <c r="Q852" s="146"/>
      <c r="Y852" s="148"/>
      <c r="Z852" s="147"/>
      <c r="AF852" s="139"/>
      <c r="AH852" s="148"/>
      <c r="AI852" s="146"/>
    </row>
    <row r="853">
      <c r="B853" s="143"/>
      <c r="H853" s="143"/>
      <c r="K853" s="148"/>
      <c r="L853" s="150"/>
      <c r="P853" s="148"/>
      <c r="Q853" s="146"/>
      <c r="Y853" s="148"/>
      <c r="Z853" s="147"/>
      <c r="AF853" s="139"/>
      <c r="AH853" s="148"/>
      <c r="AI853" s="146"/>
    </row>
    <row r="854">
      <c r="B854" s="143"/>
      <c r="H854" s="143"/>
      <c r="K854" s="148"/>
      <c r="L854" s="150"/>
      <c r="P854" s="148"/>
      <c r="Q854" s="146"/>
      <c r="Y854" s="148"/>
      <c r="Z854" s="147"/>
      <c r="AF854" s="139"/>
      <c r="AH854" s="148"/>
      <c r="AI854" s="146"/>
    </row>
    <row r="855">
      <c r="B855" s="143"/>
      <c r="H855" s="143"/>
      <c r="K855" s="148"/>
      <c r="L855" s="150"/>
      <c r="P855" s="148"/>
      <c r="Q855" s="146"/>
      <c r="Y855" s="148"/>
      <c r="Z855" s="147"/>
      <c r="AF855" s="139"/>
      <c r="AH855" s="148"/>
      <c r="AI855" s="146"/>
    </row>
    <row r="856">
      <c r="B856" s="143"/>
      <c r="H856" s="143"/>
      <c r="K856" s="148"/>
      <c r="L856" s="150"/>
      <c r="P856" s="148"/>
      <c r="Q856" s="146"/>
      <c r="Y856" s="148"/>
      <c r="Z856" s="147"/>
      <c r="AF856" s="139"/>
      <c r="AH856" s="148"/>
      <c r="AI856" s="146"/>
    </row>
    <row r="857">
      <c r="B857" s="143"/>
      <c r="H857" s="143"/>
      <c r="K857" s="148"/>
      <c r="L857" s="150"/>
      <c r="P857" s="148"/>
      <c r="Q857" s="146"/>
      <c r="Y857" s="148"/>
      <c r="Z857" s="147"/>
      <c r="AF857" s="139"/>
      <c r="AH857" s="148"/>
      <c r="AI857" s="146"/>
    </row>
    <row r="858">
      <c r="B858" s="143"/>
      <c r="H858" s="143"/>
      <c r="K858" s="148"/>
      <c r="L858" s="150"/>
      <c r="P858" s="148"/>
      <c r="Q858" s="146"/>
      <c r="Y858" s="148"/>
      <c r="Z858" s="147"/>
      <c r="AF858" s="139"/>
      <c r="AH858" s="148"/>
      <c r="AI858" s="146"/>
    </row>
    <row r="859">
      <c r="B859" s="143"/>
      <c r="H859" s="143"/>
      <c r="K859" s="148"/>
      <c r="L859" s="150"/>
      <c r="P859" s="148"/>
      <c r="Q859" s="146"/>
      <c r="Y859" s="148"/>
      <c r="Z859" s="147"/>
      <c r="AF859" s="139"/>
      <c r="AH859" s="148"/>
      <c r="AI859" s="146"/>
    </row>
    <row r="860">
      <c r="B860" s="143"/>
      <c r="H860" s="143"/>
      <c r="K860" s="148"/>
      <c r="L860" s="150"/>
      <c r="P860" s="148"/>
      <c r="Q860" s="146"/>
      <c r="Y860" s="148"/>
      <c r="Z860" s="147"/>
      <c r="AF860" s="139"/>
      <c r="AH860" s="148"/>
      <c r="AI860" s="146"/>
    </row>
    <row r="861">
      <c r="B861" s="143"/>
      <c r="H861" s="143"/>
      <c r="K861" s="148"/>
      <c r="L861" s="150"/>
      <c r="P861" s="148"/>
      <c r="Q861" s="146"/>
      <c r="Y861" s="148"/>
      <c r="Z861" s="147"/>
      <c r="AF861" s="139"/>
      <c r="AH861" s="148"/>
      <c r="AI861" s="146"/>
    </row>
    <row r="862">
      <c r="B862" s="143"/>
      <c r="H862" s="143"/>
      <c r="K862" s="148"/>
      <c r="L862" s="150"/>
      <c r="P862" s="148"/>
      <c r="Q862" s="146"/>
      <c r="Y862" s="148"/>
      <c r="Z862" s="147"/>
      <c r="AF862" s="139"/>
      <c r="AH862" s="148"/>
      <c r="AI862" s="146"/>
    </row>
    <row r="863">
      <c r="B863" s="143"/>
      <c r="H863" s="143"/>
      <c r="K863" s="148"/>
      <c r="L863" s="150"/>
      <c r="P863" s="148"/>
      <c r="Q863" s="146"/>
      <c r="Y863" s="148"/>
      <c r="Z863" s="147"/>
      <c r="AF863" s="139"/>
      <c r="AH863" s="148"/>
      <c r="AI863" s="146"/>
    </row>
    <row r="864">
      <c r="B864" s="143"/>
      <c r="H864" s="143"/>
      <c r="K864" s="148"/>
      <c r="L864" s="150"/>
      <c r="P864" s="148"/>
      <c r="Q864" s="146"/>
      <c r="Y864" s="148"/>
      <c r="Z864" s="147"/>
      <c r="AF864" s="139"/>
      <c r="AH864" s="148"/>
      <c r="AI864" s="146"/>
    </row>
    <row r="865">
      <c r="B865" s="143"/>
      <c r="H865" s="143"/>
      <c r="K865" s="148"/>
      <c r="L865" s="150"/>
      <c r="P865" s="148"/>
      <c r="Q865" s="146"/>
      <c r="Y865" s="148"/>
      <c r="Z865" s="147"/>
      <c r="AF865" s="139"/>
      <c r="AH865" s="148"/>
      <c r="AI865" s="146"/>
    </row>
    <row r="866">
      <c r="B866" s="143"/>
      <c r="H866" s="143"/>
      <c r="K866" s="148"/>
      <c r="L866" s="150"/>
      <c r="P866" s="148"/>
      <c r="Q866" s="146"/>
      <c r="Y866" s="148"/>
      <c r="Z866" s="147"/>
      <c r="AF866" s="139"/>
      <c r="AH866" s="148"/>
      <c r="AI866" s="146"/>
    </row>
    <row r="867">
      <c r="B867" s="143"/>
      <c r="H867" s="143"/>
      <c r="K867" s="148"/>
      <c r="L867" s="150"/>
      <c r="P867" s="148"/>
      <c r="Q867" s="146"/>
      <c r="Y867" s="148"/>
      <c r="Z867" s="147"/>
      <c r="AF867" s="139"/>
      <c r="AH867" s="148"/>
      <c r="AI867" s="146"/>
    </row>
    <row r="868">
      <c r="B868" s="143"/>
      <c r="H868" s="143"/>
      <c r="K868" s="148"/>
      <c r="L868" s="150"/>
      <c r="P868" s="148"/>
      <c r="Q868" s="146"/>
      <c r="Y868" s="148"/>
      <c r="Z868" s="147"/>
      <c r="AF868" s="139"/>
      <c r="AH868" s="148"/>
      <c r="AI868" s="146"/>
    </row>
    <row r="869">
      <c r="B869" s="143"/>
      <c r="H869" s="143"/>
      <c r="K869" s="148"/>
      <c r="L869" s="150"/>
      <c r="P869" s="148"/>
      <c r="Q869" s="146"/>
      <c r="Y869" s="148"/>
      <c r="Z869" s="147"/>
      <c r="AF869" s="139"/>
      <c r="AH869" s="148"/>
      <c r="AI869" s="146"/>
    </row>
    <row r="870">
      <c r="B870" s="143"/>
      <c r="H870" s="143"/>
      <c r="K870" s="148"/>
      <c r="L870" s="150"/>
      <c r="P870" s="148"/>
      <c r="Q870" s="146"/>
      <c r="Y870" s="148"/>
      <c r="Z870" s="147"/>
      <c r="AF870" s="139"/>
      <c r="AH870" s="148"/>
      <c r="AI870" s="146"/>
    </row>
    <row r="871">
      <c r="B871" s="143"/>
      <c r="H871" s="143"/>
      <c r="K871" s="148"/>
      <c r="L871" s="150"/>
      <c r="P871" s="148"/>
      <c r="Q871" s="146"/>
      <c r="Y871" s="148"/>
      <c r="Z871" s="147"/>
      <c r="AF871" s="139"/>
      <c r="AH871" s="148"/>
      <c r="AI871" s="146"/>
    </row>
    <row r="872">
      <c r="B872" s="143"/>
      <c r="H872" s="143"/>
      <c r="K872" s="148"/>
      <c r="L872" s="150"/>
      <c r="P872" s="148"/>
      <c r="Q872" s="146"/>
      <c r="Y872" s="148"/>
      <c r="Z872" s="147"/>
      <c r="AF872" s="139"/>
      <c r="AH872" s="148"/>
      <c r="AI872" s="146"/>
    </row>
    <row r="873">
      <c r="B873" s="143"/>
      <c r="H873" s="143"/>
      <c r="K873" s="148"/>
      <c r="L873" s="150"/>
      <c r="P873" s="148"/>
      <c r="Q873" s="146"/>
      <c r="Y873" s="148"/>
      <c r="Z873" s="147"/>
      <c r="AF873" s="139"/>
      <c r="AH873" s="148"/>
      <c r="AI873" s="146"/>
    </row>
    <row r="874">
      <c r="B874" s="143"/>
      <c r="H874" s="143"/>
      <c r="K874" s="148"/>
      <c r="L874" s="150"/>
      <c r="P874" s="148"/>
      <c r="Q874" s="146"/>
      <c r="Y874" s="148"/>
      <c r="Z874" s="147"/>
      <c r="AF874" s="139"/>
      <c r="AH874" s="148"/>
      <c r="AI874" s="146"/>
    </row>
    <row r="875">
      <c r="B875" s="143"/>
      <c r="H875" s="143"/>
      <c r="K875" s="148"/>
      <c r="L875" s="150"/>
      <c r="P875" s="148"/>
      <c r="Q875" s="146"/>
      <c r="Y875" s="148"/>
      <c r="Z875" s="147"/>
      <c r="AF875" s="139"/>
      <c r="AH875" s="148"/>
      <c r="AI875" s="146"/>
    </row>
    <row r="876">
      <c r="B876" s="143"/>
      <c r="H876" s="143"/>
      <c r="K876" s="148"/>
      <c r="L876" s="150"/>
      <c r="P876" s="148"/>
      <c r="Q876" s="146"/>
      <c r="Y876" s="148"/>
      <c r="Z876" s="147"/>
      <c r="AF876" s="139"/>
      <c r="AH876" s="148"/>
      <c r="AI876" s="146"/>
    </row>
    <row r="877">
      <c r="B877" s="143"/>
      <c r="H877" s="143"/>
      <c r="K877" s="148"/>
      <c r="L877" s="150"/>
      <c r="P877" s="148"/>
      <c r="Q877" s="146"/>
      <c r="Y877" s="148"/>
      <c r="Z877" s="147"/>
      <c r="AF877" s="139"/>
      <c r="AH877" s="148"/>
      <c r="AI877" s="146"/>
    </row>
    <row r="878">
      <c r="B878" s="143"/>
      <c r="H878" s="143"/>
      <c r="K878" s="148"/>
      <c r="L878" s="150"/>
      <c r="P878" s="148"/>
      <c r="Q878" s="146"/>
      <c r="Y878" s="148"/>
      <c r="Z878" s="147"/>
      <c r="AF878" s="139"/>
      <c r="AH878" s="148"/>
      <c r="AI878" s="146"/>
    </row>
    <row r="879">
      <c r="B879" s="143"/>
      <c r="H879" s="143"/>
      <c r="K879" s="148"/>
      <c r="L879" s="150"/>
      <c r="P879" s="148"/>
      <c r="Q879" s="146"/>
      <c r="Y879" s="148"/>
      <c r="Z879" s="147"/>
      <c r="AF879" s="139"/>
      <c r="AH879" s="148"/>
      <c r="AI879" s="146"/>
    </row>
    <row r="880">
      <c r="B880" s="143"/>
      <c r="H880" s="143"/>
      <c r="K880" s="148"/>
      <c r="L880" s="150"/>
      <c r="P880" s="148"/>
      <c r="Q880" s="146"/>
      <c r="Y880" s="148"/>
      <c r="Z880" s="147"/>
      <c r="AF880" s="139"/>
      <c r="AH880" s="148"/>
      <c r="AI880" s="146"/>
    </row>
    <row r="881">
      <c r="B881" s="143"/>
      <c r="H881" s="143"/>
      <c r="K881" s="148"/>
      <c r="L881" s="150"/>
      <c r="P881" s="148"/>
      <c r="Q881" s="146"/>
      <c r="Y881" s="148"/>
      <c r="Z881" s="147"/>
      <c r="AF881" s="139"/>
      <c r="AH881" s="148"/>
      <c r="AI881" s="146"/>
    </row>
    <row r="882">
      <c r="B882" s="143"/>
      <c r="H882" s="143"/>
      <c r="K882" s="148"/>
      <c r="L882" s="150"/>
      <c r="P882" s="148"/>
      <c r="Q882" s="146"/>
      <c r="Y882" s="148"/>
      <c r="Z882" s="147"/>
      <c r="AF882" s="139"/>
      <c r="AH882" s="148"/>
      <c r="AI882" s="146"/>
    </row>
    <row r="883">
      <c r="B883" s="143"/>
      <c r="H883" s="143"/>
      <c r="K883" s="148"/>
      <c r="L883" s="150"/>
      <c r="P883" s="148"/>
      <c r="Q883" s="146"/>
      <c r="Y883" s="148"/>
      <c r="Z883" s="147"/>
      <c r="AF883" s="139"/>
      <c r="AH883" s="148"/>
      <c r="AI883" s="146"/>
    </row>
    <row r="884">
      <c r="B884" s="143"/>
      <c r="H884" s="143"/>
      <c r="K884" s="148"/>
      <c r="L884" s="150"/>
      <c r="P884" s="148"/>
      <c r="Q884" s="146"/>
      <c r="Y884" s="148"/>
      <c r="Z884" s="147"/>
      <c r="AF884" s="139"/>
      <c r="AH884" s="148"/>
      <c r="AI884" s="146"/>
    </row>
    <row r="885">
      <c r="B885" s="143"/>
      <c r="H885" s="143"/>
      <c r="K885" s="148"/>
      <c r="L885" s="150"/>
      <c r="P885" s="148"/>
      <c r="Q885" s="146"/>
      <c r="Y885" s="148"/>
      <c r="Z885" s="147"/>
      <c r="AF885" s="139"/>
      <c r="AH885" s="148"/>
      <c r="AI885" s="146"/>
    </row>
    <row r="886">
      <c r="B886" s="143"/>
      <c r="H886" s="143"/>
      <c r="K886" s="148"/>
      <c r="L886" s="150"/>
      <c r="P886" s="148"/>
      <c r="Q886" s="146"/>
      <c r="Y886" s="148"/>
      <c r="Z886" s="147"/>
      <c r="AF886" s="139"/>
      <c r="AH886" s="148"/>
      <c r="AI886" s="146"/>
    </row>
    <row r="887">
      <c r="B887" s="143"/>
      <c r="H887" s="143"/>
      <c r="K887" s="148"/>
      <c r="L887" s="150"/>
      <c r="P887" s="148"/>
      <c r="Q887" s="146"/>
      <c r="Y887" s="148"/>
      <c r="Z887" s="147"/>
      <c r="AF887" s="139"/>
      <c r="AH887" s="148"/>
      <c r="AI887" s="146"/>
    </row>
    <row r="888">
      <c r="B888" s="143"/>
      <c r="H888" s="143"/>
      <c r="K888" s="148"/>
      <c r="L888" s="150"/>
      <c r="P888" s="148"/>
      <c r="Q888" s="146"/>
      <c r="Y888" s="148"/>
      <c r="Z888" s="147"/>
      <c r="AF888" s="139"/>
      <c r="AH888" s="148"/>
      <c r="AI888" s="146"/>
    </row>
    <row r="889">
      <c r="B889" s="143"/>
      <c r="H889" s="143"/>
      <c r="K889" s="148"/>
      <c r="L889" s="150"/>
      <c r="P889" s="148"/>
      <c r="Q889" s="146"/>
      <c r="Y889" s="148"/>
      <c r="Z889" s="147"/>
      <c r="AF889" s="139"/>
      <c r="AH889" s="148"/>
      <c r="AI889" s="146"/>
    </row>
    <row r="890">
      <c r="B890" s="143"/>
      <c r="H890" s="143"/>
      <c r="K890" s="148"/>
      <c r="L890" s="150"/>
      <c r="P890" s="148"/>
      <c r="Q890" s="146"/>
      <c r="Y890" s="148"/>
      <c r="Z890" s="147"/>
      <c r="AF890" s="139"/>
      <c r="AH890" s="148"/>
      <c r="AI890" s="146"/>
    </row>
    <row r="891">
      <c r="B891" s="143"/>
      <c r="H891" s="143"/>
      <c r="K891" s="148"/>
      <c r="L891" s="150"/>
      <c r="P891" s="148"/>
      <c r="Q891" s="146"/>
      <c r="Y891" s="148"/>
      <c r="Z891" s="147"/>
      <c r="AF891" s="139"/>
      <c r="AH891" s="148"/>
      <c r="AI891" s="146"/>
    </row>
    <row r="892">
      <c r="B892" s="143"/>
      <c r="H892" s="143"/>
      <c r="K892" s="148"/>
      <c r="L892" s="150"/>
      <c r="P892" s="148"/>
      <c r="Q892" s="146"/>
      <c r="Y892" s="148"/>
      <c r="Z892" s="147"/>
      <c r="AF892" s="139"/>
      <c r="AH892" s="148"/>
      <c r="AI892" s="146"/>
    </row>
    <row r="893">
      <c r="B893" s="143"/>
      <c r="H893" s="143"/>
      <c r="K893" s="148"/>
      <c r="L893" s="150"/>
      <c r="P893" s="148"/>
      <c r="Q893" s="146"/>
      <c r="Y893" s="148"/>
      <c r="Z893" s="147"/>
      <c r="AF893" s="139"/>
      <c r="AH893" s="148"/>
      <c r="AI893" s="146"/>
    </row>
    <row r="894">
      <c r="B894" s="143"/>
      <c r="H894" s="143"/>
      <c r="K894" s="148"/>
      <c r="L894" s="150"/>
      <c r="P894" s="148"/>
      <c r="Q894" s="146"/>
      <c r="Y894" s="148"/>
      <c r="Z894" s="147"/>
      <c r="AF894" s="139"/>
      <c r="AH894" s="148"/>
      <c r="AI894" s="146"/>
    </row>
    <row r="895">
      <c r="B895" s="143"/>
      <c r="H895" s="143"/>
      <c r="K895" s="148"/>
      <c r="L895" s="150"/>
      <c r="P895" s="148"/>
      <c r="Q895" s="146"/>
      <c r="Y895" s="148"/>
      <c r="Z895" s="147"/>
      <c r="AF895" s="139"/>
      <c r="AH895" s="148"/>
      <c r="AI895" s="146"/>
    </row>
    <row r="896">
      <c r="B896" s="143"/>
      <c r="H896" s="143"/>
      <c r="K896" s="148"/>
      <c r="L896" s="150"/>
      <c r="P896" s="148"/>
      <c r="Q896" s="146"/>
      <c r="Y896" s="148"/>
      <c r="Z896" s="147"/>
      <c r="AF896" s="139"/>
      <c r="AH896" s="148"/>
      <c r="AI896" s="146"/>
    </row>
    <row r="897">
      <c r="B897" s="143"/>
      <c r="H897" s="143"/>
      <c r="K897" s="148"/>
      <c r="L897" s="150"/>
      <c r="P897" s="148"/>
      <c r="Q897" s="146"/>
      <c r="Y897" s="148"/>
      <c r="Z897" s="147"/>
      <c r="AF897" s="139"/>
      <c r="AH897" s="148"/>
      <c r="AI897" s="146"/>
    </row>
    <row r="898">
      <c r="B898" s="143"/>
      <c r="H898" s="143"/>
      <c r="K898" s="148"/>
      <c r="L898" s="150"/>
      <c r="P898" s="148"/>
      <c r="Q898" s="146"/>
      <c r="Y898" s="148"/>
      <c r="Z898" s="147"/>
      <c r="AF898" s="139"/>
      <c r="AH898" s="148"/>
      <c r="AI898" s="146"/>
    </row>
    <row r="899">
      <c r="B899" s="143"/>
      <c r="H899" s="143"/>
      <c r="K899" s="148"/>
      <c r="L899" s="150"/>
      <c r="P899" s="148"/>
      <c r="Q899" s="146"/>
      <c r="Y899" s="148"/>
      <c r="Z899" s="147"/>
      <c r="AF899" s="139"/>
      <c r="AH899" s="148"/>
      <c r="AI899" s="146"/>
    </row>
    <row r="900">
      <c r="B900" s="143"/>
      <c r="H900" s="143"/>
      <c r="K900" s="148"/>
      <c r="L900" s="150"/>
      <c r="P900" s="148"/>
      <c r="Q900" s="146"/>
      <c r="Y900" s="148"/>
      <c r="Z900" s="147"/>
      <c r="AF900" s="139"/>
      <c r="AH900" s="148"/>
      <c r="AI900" s="146"/>
    </row>
    <row r="901">
      <c r="B901" s="143"/>
      <c r="H901" s="143"/>
      <c r="K901" s="148"/>
      <c r="L901" s="150"/>
      <c r="P901" s="148"/>
      <c r="Q901" s="146"/>
      <c r="Y901" s="148"/>
      <c r="Z901" s="147"/>
      <c r="AF901" s="139"/>
      <c r="AH901" s="148"/>
      <c r="AI901" s="146"/>
    </row>
    <row r="902">
      <c r="B902" s="143"/>
      <c r="H902" s="143"/>
      <c r="K902" s="148"/>
      <c r="L902" s="150"/>
      <c r="P902" s="148"/>
      <c r="Q902" s="146"/>
      <c r="Y902" s="148"/>
      <c r="Z902" s="147"/>
      <c r="AF902" s="139"/>
      <c r="AH902" s="148"/>
      <c r="AI902" s="146"/>
    </row>
    <row r="903">
      <c r="B903" s="143"/>
      <c r="H903" s="143"/>
      <c r="K903" s="148"/>
      <c r="L903" s="150"/>
      <c r="P903" s="148"/>
      <c r="Q903" s="146"/>
      <c r="Y903" s="148"/>
      <c r="Z903" s="147"/>
      <c r="AF903" s="139"/>
      <c r="AH903" s="148"/>
      <c r="AI903" s="146"/>
    </row>
    <row r="904">
      <c r="B904" s="143"/>
      <c r="H904" s="143"/>
      <c r="K904" s="148"/>
      <c r="L904" s="150"/>
      <c r="P904" s="148"/>
      <c r="Q904" s="146"/>
      <c r="Y904" s="148"/>
      <c r="Z904" s="147"/>
      <c r="AF904" s="139"/>
      <c r="AH904" s="148"/>
      <c r="AI904" s="146"/>
    </row>
    <row r="905">
      <c r="B905" s="143"/>
      <c r="H905" s="143"/>
      <c r="K905" s="148"/>
      <c r="L905" s="150"/>
      <c r="P905" s="148"/>
      <c r="Q905" s="146"/>
      <c r="Y905" s="148"/>
      <c r="Z905" s="147"/>
      <c r="AF905" s="139"/>
      <c r="AH905" s="148"/>
      <c r="AI905" s="146"/>
    </row>
    <row r="906">
      <c r="B906" s="143"/>
      <c r="H906" s="143"/>
      <c r="K906" s="148"/>
      <c r="L906" s="150"/>
      <c r="P906" s="148"/>
      <c r="Q906" s="146"/>
      <c r="Y906" s="148"/>
      <c r="Z906" s="147"/>
      <c r="AF906" s="139"/>
      <c r="AH906" s="148"/>
      <c r="AI906" s="146"/>
    </row>
    <row r="907">
      <c r="B907" s="143"/>
      <c r="H907" s="143"/>
      <c r="K907" s="148"/>
      <c r="L907" s="150"/>
      <c r="P907" s="148"/>
      <c r="Q907" s="146"/>
      <c r="Y907" s="148"/>
      <c r="Z907" s="147"/>
      <c r="AF907" s="139"/>
      <c r="AH907" s="148"/>
      <c r="AI907" s="146"/>
    </row>
    <row r="908">
      <c r="B908" s="143"/>
      <c r="H908" s="143"/>
      <c r="K908" s="148"/>
      <c r="L908" s="150"/>
      <c r="P908" s="148"/>
      <c r="Q908" s="146"/>
      <c r="Y908" s="148"/>
      <c r="Z908" s="147"/>
      <c r="AF908" s="139"/>
      <c r="AH908" s="148"/>
      <c r="AI908" s="146"/>
    </row>
    <row r="909">
      <c r="B909" s="143"/>
      <c r="H909" s="143"/>
      <c r="K909" s="148"/>
      <c r="L909" s="150"/>
      <c r="P909" s="148"/>
      <c r="Q909" s="146"/>
      <c r="Y909" s="148"/>
      <c r="Z909" s="147"/>
      <c r="AF909" s="139"/>
      <c r="AH909" s="148"/>
      <c r="AI909" s="146"/>
    </row>
    <row r="910">
      <c r="B910" s="143"/>
      <c r="H910" s="143"/>
      <c r="K910" s="148"/>
      <c r="L910" s="150"/>
      <c r="P910" s="148"/>
      <c r="Q910" s="146"/>
      <c r="Y910" s="148"/>
      <c r="Z910" s="147"/>
      <c r="AF910" s="139"/>
      <c r="AH910" s="148"/>
      <c r="AI910" s="146"/>
    </row>
    <row r="911">
      <c r="B911" s="143"/>
      <c r="H911" s="143"/>
      <c r="K911" s="148"/>
      <c r="L911" s="150"/>
      <c r="P911" s="148"/>
      <c r="Q911" s="146"/>
      <c r="Y911" s="148"/>
      <c r="Z911" s="147"/>
      <c r="AF911" s="139"/>
      <c r="AH911" s="148"/>
      <c r="AI911" s="146"/>
    </row>
    <row r="912">
      <c r="B912" s="143"/>
      <c r="H912" s="143"/>
      <c r="K912" s="148"/>
      <c r="L912" s="150"/>
      <c r="P912" s="148"/>
      <c r="Q912" s="146"/>
      <c r="Y912" s="148"/>
      <c r="Z912" s="147"/>
      <c r="AF912" s="139"/>
      <c r="AH912" s="148"/>
      <c r="AI912" s="146"/>
    </row>
    <row r="913">
      <c r="B913" s="143"/>
      <c r="H913" s="143"/>
      <c r="K913" s="148"/>
      <c r="L913" s="150"/>
      <c r="P913" s="148"/>
      <c r="Q913" s="146"/>
      <c r="Y913" s="148"/>
      <c r="Z913" s="147"/>
      <c r="AF913" s="139"/>
      <c r="AH913" s="148"/>
      <c r="AI913" s="146"/>
    </row>
    <row r="914">
      <c r="B914" s="143"/>
      <c r="H914" s="143"/>
      <c r="K914" s="148"/>
      <c r="L914" s="150"/>
      <c r="P914" s="148"/>
      <c r="Q914" s="146"/>
      <c r="Y914" s="148"/>
      <c r="Z914" s="147"/>
      <c r="AF914" s="139"/>
      <c r="AH914" s="148"/>
      <c r="AI914" s="146"/>
    </row>
    <row r="915">
      <c r="B915" s="143"/>
      <c r="H915" s="143"/>
      <c r="K915" s="148"/>
      <c r="L915" s="150"/>
      <c r="P915" s="148"/>
      <c r="Q915" s="146"/>
      <c r="Y915" s="148"/>
      <c r="Z915" s="147"/>
      <c r="AF915" s="139"/>
      <c r="AH915" s="148"/>
      <c r="AI915" s="146"/>
    </row>
    <row r="916">
      <c r="B916" s="143"/>
      <c r="H916" s="143"/>
      <c r="K916" s="148"/>
      <c r="L916" s="150"/>
      <c r="P916" s="148"/>
      <c r="Q916" s="146"/>
      <c r="Y916" s="148"/>
      <c r="Z916" s="147"/>
      <c r="AF916" s="139"/>
      <c r="AH916" s="148"/>
      <c r="AI916" s="146"/>
    </row>
    <row r="917">
      <c r="B917" s="143"/>
      <c r="H917" s="143"/>
      <c r="K917" s="148"/>
      <c r="L917" s="150"/>
      <c r="P917" s="148"/>
      <c r="Q917" s="146"/>
      <c r="Y917" s="148"/>
      <c r="Z917" s="147"/>
      <c r="AF917" s="139"/>
      <c r="AH917" s="148"/>
      <c r="AI917" s="146"/>
    </row>
    <row r="918">
      <c r="B918" s="143"/>
      <c r="H918" s="143"/>
      <c r="K918" s="148"/>
      <c r="L918" s="150"/>
      <c r="P918" s="148"/>
      <c r="Q918" s="146"/>
      <c r="Y918" s="148"/>
      <c r="Z918" s="147"/>
      <c r="AF918" s="139"/>
      <c r="AH918" s="148"/>
      <c r="AI918" s="146"/>
    </row>
    <row r="919">
      <c r="B919" s="143"/>
      <c r="H919" s="143"/>
      <c r="K919" s="148"/>
      <c r="L919" s="150"/>
      <c r="P919" s="148"/>
      <c r="Q919" s="146"/>
      <c r="Y919" s="148"/>
      <c r="Z919" s="147"/>
      <c r="AF919" s="139"/>
      <c r="AH919" s="148"/>
      <c r="AI919" s="146"/>
    </row>
    <row r="920">
      <c r="B920" s="143"/>
      <c r="H920" s="143"/>
      <c r="K920" s="148"/>
      <c r="L920" s="150"/>
      <c r="P920" s="148"/>
      <c r="Q920" s="146"/>
      <c r="Y920" s="148"/>
      <c r="Z920" s="147"/>
      <c r="AF920" s="139"/>
      <c r="AH920" s="148"/>
      <c r="AI920" s="146"/>
    </row>
    <row r="921">
      <c r="B921" s="143"/>
      <c r="H921" s="143"/>
      <c r="K921" s="148"/>
      <c r="L921" s="150"/>
      <c r="P921" s="148"/>
      <c r="Q921" s="146"/>
      <c r="Y921" s="148"/>
      <c r="Z921" s="147"/>
      <c r="AF921" s="139"/>
      <c r="AH921" s="148"/>
      <c r="AI921" s="146"/>
    </row>
    <row r="922">
      <c r="B922" s="143"/>
      <c r="H922" s="143"/>
      <c r="K922" s="148"/>
      <c r="L922" s="150"/>
      <c r="P922" s="148"/>
      <c r="Q922" s="146"/>
      <c r="Y922" s="148"/>
      <c r="Z922" s="147"/>
      <c r="AF922" s="139"/>
      <c r="AH922" s="148"/>
      <c r="AI922" s="146"/>
    </row>
    <row r="923">
      <c r="B923" s="143"/>
      <c r="H923" s="143"/>
      <c r="K923" s="148"/>
      <c r="L923" s="150"/>
      <c r="P923" s="148"/>
      <c r="Q923" s="146"/>
      <c r="Y923" s="148"/>
      <c r="Z923" s="147"/>
      <c r="AF923" s="139"/>
      <c r="AH923" s="148"/>
      <c r="AI923" s="146"/>
    </row>
    <row r="924">
      <c r="B924" s="143"/>
      <c r="H924" s="143"/>
      <c r="K924" s="148"/>
      <c r="L924" s="150"/>
      <c r="P924" s="148"/>
      <c r="Q924" s="146"/>
      <c r="Y924" s="148"/>
      <c r="Z924" s="147"/>
      <c r="AF924" s="139"/>
      <c r="AH924" s="148"/>
      <c r="AI924" s="146"/>
    </row>
    <row r="925">
      <c r="B925" s="143"/>
      <c r="H925" s="143"/>
      <c r="K925" s="148"/>
      <c r="L925" s="150"/>
      <c r="P925" s="148"/>
      <c r="Q925" s="146"/>
      <c r="Y925" s="148"/>
      <c r="Z925" s="147"/>
      <c r="AF925" s="139"/>
      <c r="AH925" s="148"/>
      <c r="AI925" s="146"/>
    </row>
    <row r="926">
      <c r="B926" s="143"/>
      <c r="H926" s="143"/>
      <c r="K926" s="148"/>
      <c r="L926" s="150"/>
      <c r="P926" s="148"/>
      <c r="Q926" s="146"/>
      <c r="Y926" s="148"/>
      <c r="Z926" s="147"/>
      <c r="AF926" s="139"/>
      <c r="AH926" s="148"/>
      <c r="AI926" s="146"/>
    </row>
    <row r="927">
      <c r="B927" s="143"/>
      <c r="H927" s="143"/>
      <c r="K927" s="148"/>
      <c r="L927" s="150"/>
      <c r="P927" s="148"/>
      <c r="Q927" s="146"/>
      <c r="Y927" s="148"/>
      <c r="Z927" s="147"/>
      <c r="AF927" s="139"/>
      <c r="AH927" s="148"/>
      <c r="AI927" s="146"/>
    </row>
    <row r="928">
      <c r="B928" s="143"/>
      <c r="H928" s="143"/>
      <c r="K928" s="148"/>
      <c r="L928" s="150"/>
      <c r="P928" s="148"/>
      <c r="Q928" s="146"/>
      <c r="Y928" s="148"/>
      <c r="Z928" s="147"/>
      <c r="AF928" s="139"/>
      <c r="AH928" s="148"/>
      <c r="AI928" s="146"/>
    </row>
    <row r="929">
      <c r="B929" s="143"/>
      <c r="H929" s="143"/>
      <c r="K929" s="148"/>
      <c r="L929" s="150"/>
      <c r="P929" s="148"/>
      <c r="Q929" s="146"/>
      <c r="Y929" s="148"/>
      <c r="Z929" s="147"/>
      <c r="AF929" s="139"/>
      <c r="AH929" s="148"/>
      <c r="AI929" s="146"/>
    </row>
    <row r="930">
      <c r="B930" s="143"/>
      <c r="H930" s="143"/>
      <c r="K930" s="148"/>
      <c r="L930" s="150"/>
      <c r="P930" s="148"/>
      <c r="Q930" s="146"/>
      <c r="Y930" s="148"/>
      <c r="Z930" s="147"/>
      <c r="AF930" s="139"/>
      <c r="AH930" s="148"/>
      <c r="AI930" s="146"/>
    </row>
    <row r="931">
      <c r="B931" s="143"/>
      <c r="H931" s="143"/>
      <c r="K931" s="148"/>
      <c r="L931" s="150"/>
      <c r="P931" s="148"/>
      <c r="Q931" s="146"/>
      <c r="Y931" s="148"/>
      <c r="Z931" s="147"/>
      <c r="AF931" s="139"/>
      <c r="AH931" s="148"/>
      <c r="AI931" s="146"/>
    </row>
    <row r="932">
      <c r="B932" s="143"/>
      <c r="H932" s="143"/>
      <c r="K932" s="148"/>
      <c r="L932" s="150"/>
      <c r="P932" s="148"/>
      <c r="Q932" s="146"/>
      <c r="Y932" s="148"/>
      <c r="Z932" s="147"/>
      <c r="AF932" s="139"/>
      <c r="AH932" s="148"/>
      <c r="AI932" s="146"/>
    </row>
    <row r="933">
      <c r="B933" s="143"/>
      <c r="H933" s="143"/>
      <c r="K933" s="148"/>
      <c r="L933" s="150"/>
      <c r="P933" s="148"/>
      <c r="Q933" s="146"/>
      <c r="Y933" s="148"/>
      <c r="Z933" s="147"/>
      <c r="AF933" s="139"/>
      <c r="AH933" s="148"/>
      <c r="AI933" s="146"/>
    </row>
    <row r="934">
      <c r="B934" s="143"/>
      <c r="H934" s="143"/>
      <c r="K934" s="148"/>
      <c r="L934" s="150"/>
      <c r="P934" s="148"/>
      <c r="Q934" s="146"/>
      <c r="Y934" s="148"/>
      <c r="Z934" s="147"/>
      <c r="AF934" s="139"/>
      <c r="AH934" s="148"/>
      <c r="AI934" s="146"/>
    </row>
    <row r="935">
      <c r="B935" s="143"/>
      <c r="H935" s="143"/>
      <c r="K935" s="148"/>
      <c r="L935" s="150"/>
      <c r="P935" s="148"/>
      <c r="Q935" s="146"/>
      <c r="Y935" s="148"/>
      <c r="Z935" s="147"/>
      <c r="AF935" s="139"/>
      <c r="AH935" s="148"/>
      <c r="AI935" s="146"/>
    </row>
    <row r="936">
      <c r="B936" s="143"/>
      <c r="H936" s="143"/>
      <c r="K936" s="148"/>
      <c r="L936" s="150"/>
      <c r="P936" s="148"/>
      <c r="Q936" s="146"/>
      <c r="Y936" s="148"/>
      <c r="Z936" s="147"/>
      <c r="AF936" s="139"/>
      <c r="AH936" s="148"/>
      <c r="AI936" s="146"/>
    </row>
    <row r="937">
      <c r="B937" s="143"/>
      <c r="H937" s="143"/>
      <c r="K937" s="148"/>
      <c r="L937" s="150"/>
      <c r="P937" s="148"/>
      <c r="Q937" s="146"/>
      <c r="Y937" s="148"/>
      <c r="Z937" s="147"/>
      <c r="AF937" s="139"/>
      <c r="AH937" s="148"/>
      <c r="AI937" s="146"/>
    </row>
    <row r="938">
      <c r="B938" s="143"/>
      <c r="H938" s="143"/>
      <c r="K938" s="148"/>
      <c r="L938" s="150"/>
      <c r="P938" s="148"/>
      <c r="Q938" s="146"/>
      <c r="Y938" s="148"/>
      <c r="Z938" s="147"/>
      <c r="AF938" s="139"/>
      <c r="AH938" s="148"/>
      <c r="AI938" s="146"/>
    </row>
    <row r="939">
      <c r="B939" s="143"/>
      <c r="H939" s="143"/>
      <c r="K939" s="148"/>
      <c r="L939" s="150"/>
      <c r="P939" s="148"/>
      <c r="Q939" s="146"/>
      <c r="Y939" s="148"/>
      <c r="Z939" s="147"/>
      <c r="AF939" s="139"/>
      <c r="AH939" s="148"/>
      <c r="AI939" s="146"/>
    </row>
    <row r="940">
      <c r="B940" s="143"/>
      <c r="H940" s="143"/>
      <c r="K940" s="148"/>
      <c r="L940" s="150"/>
      <c r="P940" s="148"/>
      <c r="Q940" s="146"/>
      <c r="Y940" s="148"/>
      <c r="Z940" s="147"/>
      <c r="AF940" s="139"/>
      <c r="AH940" s="148"/>
      <c r="AI940" s="146"/>
    </row>
    <row r="941">
      <c r="B941" s="143"/>
      <c r="H941" s="143"/>
      <c r="K941" s="148"/>
      <c r="L941" s="150"/>
      <c r="P941" s="148"/>
      <c r="Q941" s="146"/>
      <c r="Y941" s="148"/>
      <c r="Z941" s="147"/>
      <c r="AF941" s="139"/>
      <c r="AH941" s="148"/>
      <c r="AI941" s="146"/>
    </row>
    <row r="942">
      <c r="B942" s="143"/>
      <c r="H942" s="143"/>
      <c r="K942" s="148"/>
      <c r="L942" s="150"/>
      <c r="P942" s="148"/>
      <c r="Q942" s="146"/>
      <c r="Y942" s="148"/>
      <c r="Z942" s="147"/>
      <c r="AF942" s="139"/>
      <c r="AH942" s="148"/>
      <c r="AI942" s="146"/>
    </row>
    <row r="943">
      <c r="B943" s="143"/>
      <c r="H943" s="143"/>
      <c r="K943" s="148"/>
      <c r="L943" s="150"/>
      <c r="P943" s="148"/>
      <c r="Q943" s="146"/>
      <c r="Y943" s="148"/>
      <c r="Z943" s="147"/>
      <c r="AF943" s="139"/>
      <c r="AH943" s="148"/>
      <c r="AI943" s="146"/>
    </row>
    <row r="944">
      <c r="B944" s="143"/>
      <c r="H944" s="143"/>
      <c r="K944" s="148"/>
      <c r="L944" s="150"/>
      <c r="P944" s="148"/>
      <c r="Q944" s="146"/>
      <c r="Y944" s="148"/>
      <c r="Z944" s="147"/>
      <c r="AF944" s="139"/>
      <c r="AH944" s="148"/>
      <c r="AI944" s="146"/>
    </row>
    <row r="945">
      <c r="B945" s="143"/>
      <c r="H945" s="143"/>
      <c r="K945" s="148"/>
      <c r="L945" s="150"/>
      <c r="P945" s="148"/>
      <c r="Q945" s="146"/>
      <c r="Y945" s="148"/>
      <c r="Z945" s="147"/>
      <c r="AF945" s="139"/>
      <c r="AH945" s="148"/>
      <c r="AI945" s="146"/>
    </row>
    <row r="946">
      <c r="B946" s="143"/>
      <c r="H946" s="143"/>
      <c r="K946" s="148"/>
      <c r="L946" s="150"/>
      <c r="P946" s="148"/>
      <c r="Q946" s="146"/>
      <c r="Y946" s="148"/>
      <c r="Z946" s="147"/>
      <c r="AF946" s="139"/>
      <c r="AH946" s="148"/>
      <c r="AI946" s="146"/>
    </row>
    <row r="947">
      <c r="B947" s="143"/>
      <c r="H947" s="143"/>
      <c r="K947" s="148"/>
      <c r="L947" s="150"/>
      <c r="P947" s="148"/>
      <c r="Q947" s="146"/>
      <c r="Y947" s="148"/>
      <c r="Z947" s="147"/>
      <c r="AF947" s="139"/>
      <c r="AH947" s="148"/>
      <c r="AI947" s="146"/>
    </row>
    <row r="948">
      <c r="B948" s="143"/>
      <c r="H948" s="143"/>
      <c r="K948" s="148"/>
      <c r="L948" s="150"/>
      <c r="P948" s="148"/>
      <c r="Q948" s="146"/>
      <c r="Y948" s="148"/>
      <c r="Z948" s="147"/>
      <c r="AF948" s="139"/>
      <c r="AH948" s="148"/>
      <c r="AI948" s="146"/>
    </row>
    <row r="949">
      <c r="B949" s="143"/>
      <c r="H949" s="143"/>
      <c r="K949" s="148"/>
      <c r="L949" s="150"/>
      <c r="P949" s="148"/>
      <c r="Q949" s="146"/>
      <c r="Y949" s="148"/>
      <c r="Z949" s="147"/>
      <c r="AF949" s="139"/>
      <c r="AH949" s="148"/>
      <c r="AI949" s="146"/>
    </row>
    <row r="950">
      <c r="B950" s="143"/>
      <c r="H950" s="143"/>
      <c r="K950" s="148"/>
      <c r="L950" s="150"/>
      <c r="P950" s="148"/>
      <c r="Q950" s="146"/>
      <c r="Y950" s="148"/>
      <c r="Z950" s="147"/>
      <c r="AF950" s="139"/>
      <c r="AH950" s="148"/>
      <c r="AI950" s="146"/>
    </row>
    <row r="951">
      <c r="B951" s="143"/>
      <c r="H951" s="143"/>
      <c r="K951" s="148"/>
      <c r="L951" s="150"/>
      <c r="P951" s="148"/>
      <c r="Q951" s="146"/>
      <c r="Y951" s="148"/>
      <c r="Z951" s="147"/>
      <c r="AF951" s="139"/>
      <c r="AH951" s="148"/>
      <c r="AI951" s="146"/>
    </row>
    <row r="952">
      <c r="B952" s="143"/>
      <c r="H952" s="143"/>
      <c r="K952" s="148"/>
      <c r="L952" s="150"/>
      <c r="P952" s="148"/>
      <c r="Q952" s="146"/>
      <c r="Y952" s="148"/>
      <c r="Z952" s="147"/>
      <c r="AF952" s="139"/>
      <c r="AH952" s="148"/>
      <c r="AI952" s="146"/>
    </row>
    <row r="953">
      <c r="B953" s="143"/>
      <c r="H953" s="143"/>
      <c r="K953" s="148"/>
      <c r="L953" s="150"/>
      <c r="P953" s="148"/>
      <c r="Q953" s="146"/>
      <c r="Y953" s="148"/>
      <c r="Z953" s="147"/>
      <c r="AF953" s="139"/>
      <c r="AH953" s="148"/>
      <c r="AI953" s="146"/>
    </row>
    <row r="954">
      <c r="B954" s="143"/>
      <c r="H954" s="143"/>
      <c r="K954" s="148"/>
      <c r="L954" s="150"/>
      <c r="P954" s="148"/>
      <c r="Q954" s="146"/>
      <c r="Y954" s="148"/>
      <c r="Z954" s="147"/>
      <c r="AF954" s="139"/>
      <c r="AH954" s="148"/>
      <c r="AI954" s="146"/>
    </row>
    <row r="955">
      <c r="B955" s="143"/>
      <c r="H955" s="143"/>
      <c r="K955" s="148"/>
      <c r="L955" s="150"/>
      <c r="P955" s="148"/>
      <c r="Q955" s="146"/>
      <c r="Y955" s="148"/>
      <c r="Z955" s="147"/>
      <c r="AF955" s="139"/>
      <c r="AH955" s="148"/>
      <c r="AI955" s="146"/>
    </row>
    <row r="956">
      <c r="B956" s="143"/>
      <c r="H956" s="143"/>
      <c r="K956" s="148"/>
      <c r="L956" s="150"/>
      <c r="P956" s="148"/>
      <c r="Q956" s="146"/>
      <c r="Y956" s="148"/>
      <c r="Z956" s="147"/>
      <c r="AF956" s="139"/>
      <c r="AH956" s="148"/>
      <c r="AI956" s="146"/>
    </row>
    <row r="957">
      <c r="B957" s="143"/>
      <c r="H957" s="143"/>
      <c r="K957" s="148"/>
      <c r="L957" s="150"/>
      <c r="P957" s="148"/>
      <c r="Q957" s="146"/>
      <c r="Y957" s="148"/>
      <c r="Z957" s="147"/>
      <c r="AF957" s="139"/>
      <c r="AH957" s="148"/>
      <c r="AI957" s="146"/>
    </row>
    <row r="958">
      <c r="B958" s="143"/>
      <c r="H958" s="143"/>
      <c r="K958" s="148"/>
      <c r="L958" s="150"/>
      <c r="P958" s="148"/>
      <c r="Q958" s="146"/>
      <c r="Y958" s="148"/>
      <c r="Z958" s="147"/>
      <c r="AF958" s="139"/>
      <c r="AH958" s="148"/>
      <c r="AI958" s="146"/>
    </row>
    <row r="959">
      <c r="B959" s="143"/>
      <c r="H959" s="143"/>
      <c r="K959" s="148"/>
      <c r="L959" s="150"/>
      <c r="P959" s="148"/>
      <c r="Q959" s="146"/>
      <c r="Y959" s="148"/>
      <c r="Z959" s="147"/>
      <c r="AF959" s="139"/>
      <c r="AH959" s="148"/>
      <c r="AI959" s="146"/>
    </row>
    <row r="960">
      <c r="B960" s="143"/>
      <c r="H960" s="143"/>
      <c r="K960" s="148"/>
      <c r="L960" s="150"/>
      <c r="P960" s="148"/>
      <c r="Q960" s="146"/>
      <c r="Y960" s="148"/>
      <c r="Z960" s="147"/>
      <c r="AF960" s="139"/>
      <c r="AH960" s="148"/>
      <c r="AI960" s="146"/>
    </row>
    <row r="961">
      <c r="B961" s="143"/>
      <c r="H961" s="143"/>
      <c r="K961" s="148"/>
      <c r="L961" s="150"/>
      <c r="P961" s="148"/>
      <c r="Q961" s="146"/>
      <c r="Y961" s="148"/>
      <c r="Z961" s="147"/>
      <c r="AF961" s="139"/>
      <c r="AH961" s="148"/>
      <c r="AI961" s="146"/>
    </row>
    <row r="962">
      <c r="B962" s="143"/>
      <c r="H962" s="143"/>
      <c r="K962" s="148"/>
      <c r="L962" s="150"/>
      <c r="P962" s="148"/>
      <c r="Q962" s="146"/>
      <c r="Y962" s="148"/>
      <c r="Z962" s="147"/>
      <c r="AF962" s="139"/>
      <c r="AH962" s="148"/>
      <c r="AI962" s="146"/>
    </row>
    <row r="963">
      <c r="B963" s="143"/>
      <c r="H963" s="143"/>
      <c r="K963" s="148"/>
      <c r="L963" s="150"/>
      <c r="P963" s="148"/>
      <c r="Q963" s="146"/>
      <c r="Y963" s="148"/>
      <c r="Z963" s="147"/>
      <c r="AF963" s="139"/>
      <c r="AH963" s="148"/>
      <c r="AI963" s="146"/>
    </row>
    <row r="964">
      <c r="B964" s="143"/>
      <c r="H964" s="143"/>
      <c r="K964" s="148"/>
      <c r="L964" s="150"/>
      <c r="P964" s="148"/>
      <c r="Q964" s="146"/>
      <c r="Y964" s="148"/>
      <c r="Z964" s="147"/>
      <c r="AF964" s="139"/>
      <c r="AH964" s="148"/>
      <c r="AI964" s="146"/>
    </row>
    <row r="965">
      <c r="B965" s="143"/>
      <c r="H965" s="143"/>
      <c r="K965" s="148"/>
      <c r="L965" s="150"/>
      <c r="P965" s="148"/>
      <c r="Q965" s="146"/>
      <c r="Y965" s="148"/>
      <c r="Z965" s="147"/>
      <c r="AF965" s="139"/>
      <c r="AH965" s="148"/>
      <c r="AI965" s="146"/>
    </row>
    <row r="966">
      <c r="B966" s="143"/>
      <c r="H966" s="143"/>
      <c r="K966" s="148"/>
      <c r="L966" s="150"/>
      <c r="P966" s="148"/>
      <c r="Q966" s="146"/>
      <c r="Y966" s="148"/>
      <c r="Z966" s="147"/>
      <c r="AF966" s="139"/>
      <c r="AH966" s="148"/>
      <c r="AI966" s="146"/>
    </row>
    <row r="967">
      <c r="B967" s="143"/>
      <c r="H967" s="143"/>
      <c r="K967" s="148"/>
      <c r="L967" s="150"/>
      <c r="P967" s="148"/>
      <c r="Q967" s="146"/>
      <c r="Y967" s="148"/>
      <c r="Z967" s="147"/>
      <c r="AF967" s="139"/>
      <c r="AH967" s="148"/>
      <c r="AI967" s="146"/>
    </row>
    <row r="968">
      <c r="B968" s="143"/>
      <c r="H968" s="143"/>
      <c r="K968" s="148"/>
      <c r="L968" s="150"/>
      <c r="P968" s="148"/>
      <c r="Q968" s="146"/>
      <c r="Y968" s="148"/>
      <c r="Z968" s="147"/>
      <c r="AF968" s="139"/>
      <c r="AH968" s="148"/>
      <c r="AI968" s="146"/>
    </row>
    <row r="969">
      <c r="B969" s="143"/>
      <c r="H969" s="143"/>
      <c r="K969" s="148"/>
      <c r="L969" s="150"/>
      <c r="P969" s="148"/>
      <c r="Q969" s="146"/>
      <c r="Y969" s="148"/>
      <c r="Z969" s="147"/>
      <c r="AF969" s="139"/>
      <c r="AH969" s="148"/>
      <c r="AI969" s="146"/>
    </row>
    <row r="970">
      <c r="B970" s="143"/>
      <c r="H970" s="143"/>
      <c r="K970" s="148"/>
      <c r="L970" s="150"/>
      <c r="P970" s="148"/>
      <c r="Q970" s="146"/>
      <c r="Y970" s="148"/>
      <c r="Z970" s="147"/>
      <c r="AF970" s="139"/>
      <c r="AH970" s="148"/>
      <c r="AI970" s="146"/>
    </row>
    <row r="971">
      <c r="B971" s="143"/>
      <c r="H971" s="143"/>
      <c r="K971" s="148"/>
      <c r="L971" s="150"/>
      <c r="P971" s="148"/>
      <c r="Q971" s="146"/>
      <c r="Y971" s="148"/>
      <c r="Z971" s="147"/>
      <c r="AF971" s="139"/>
      <c r="AH971" s="148"/>
      <c r="AI971" s="146"/>
    </row>
    <row r="972">
      <c r="B972" s="143"/>
      <c r="H972" s="143"/>
      <c r="K972" s="148"/>
      <c r="L972" s="150"/>
      <c r="P972" s="148"/>
      <c r="Q972" s="146"/>
      <c r="Y972" s="148"/>
      <c r="Z972" s="147"/>
      <c r="AF972" s="139"/>
      <c r="AH972" s="148"/>
      <c r="AI972" s="146"/>
    </row>
    <row r="973">
      <c r="B973" s="143"/>
      <c r="H973" s="143"/>
      <c r="K973" s="148"/>
      <c r="L973" s="150"/>
      <c r="P973" s="148"/>
      <c r="Q973" s="146"/>
      <c r="Y973" s="148"/>
      <c r="Z973" s="147"/>
      <c r="AF973" s="139"/>
      <c r="AH973" s="148"/>
      <c r="AI973" s="146"/>
    </row>
    <row r="974">
      <c r="B974" s="143"/>
      <c r="H974" s="143"/>
      <c r="K974" s="148"/>
      <c r="L974" s="150"/>
      <c r="P974" s="148"/>
      <c r="Q974" s="146"/>
      <c r="Y974" s="148"/>
      <c r="Z974" s="147"/>
      <c r="AF974" s="139"/>
      <c r="AH974" s="148"/>
      <c r="AI974" s="146"/>
    </row>
    <row r="975">
      <c r="B975" s="143"/>
      <c r="H975" s="143"/>
      <c r="K975" s="148"/>
      <c r="L975" s="150"/>
      <c r="P975" s="148"/>
      <c r="Q975" s="146"/>
      <c r="Y975" s="148"/>
      <c r="Z975" s="147"/>
      <c r="AF975" s="139"/>
      <c r="AH975" s="148"/>
      <c r="AI975" s="146"/>
    </row>
    <row r="976">
      <c r="B976" s="143"/>
      <c r="H976" s="143"/>
      <c r="K976" s="148"/>
      <c r="L976" s="150"/>
      <c r="P976" s="148"/>
      <c r="Q976" s="146"/>
      <c r="Y976" s="148"/>
      <c r="Z976" s="147"/>
      <c r="AF976" s="139"/>
      <c r="AH976" s="148"/>
      <c r="AI976" s="146"/>
    </row>
    <row r="977">
      <c r="B977" s="143"/>
      <c r="H977" s="143"/>
      <c r="K977" s="148"/>
      <c r="L977" s="150"/>
      <c r="P977" s="148"/>
      <c r="Q977" s="146"/>
      <c r="Y977" s="148"/>
      <c r="Z977" s="147"/>
      <c r="AF977" s="139"/>
      <c r="AH977" s="148"/>
      <c r="AI977" s="146"/>
    </row>
    <row r="978">
      <c r="B978" s="143"/>
      <c r="H978" s="143"/>
      <c r="K978" s="148"/>
      <c r="L978" s="150"/>
      <c r="P978" s="148"/>
      <c r="Q978" s="146"/>
      <c r="Y978" s="148"/>
      <c r="Z978" s="147"/>
      <c r="AF978" s="139"/>
      <c r="AH978" s="148"/>
      <c r="AI978" s="146"/>
    </row>
    <row r="979">
      <c r="B979" s="143"/>
      <c r="H979" s="143"/>
      <c r="K979" s="148"/>
      <c r="L979" s="150"/>
      <c r="P979" s="148"/>
      <c r="Q979" s="146"/>
      <c r="Y979" s="148"/>
      <c r="Z979" s="147"/>
      <c r="AF979" s="139"/>
      <c r="AH979" s="148"/>
      <c r="AI979" s="146"/>
    </row>
    <row r="980">
      <c r="B980" s="143"/>
      <c r="H980" s="143"/>
      <c r="K980" s="148"/>
      <c r="L980" s="150"/>
      <c r="P980" s="148"/>
      <c r="Q980" s="146"/>
      <c r="Y980" s="148"/>
      <c r="Z980" s="147"/>
      <c r="AF980" s="139"/>
      <c r="AH980" s="148"/>
      <c r="AI980" s="146"/>
    </row>
    <row r="981">
      <c r="B981" s="143"/>
      <c r="H981" s="143"/>
      <c r="K981" s="148"/>
      <c r="L981" s="150"/>
      <c r="P981" s="148"/>
      <c r="Q981" s="146"/>
      <c r="Y981" s="148"/>
      <c r="Z981" s="147"/>
      <c r="AF981" s="139"/>
      <c r="AH981" s="148"/>
      <c r="AI981" s="146"/>
    </row>
    <row r="982">
      <c r="B982" s="143"/>
      <c r="H982" s="143"/>
      <c r="K982" s="148"/>
      <c r="L982" s="150"/>
      <c r="P982" s="148"/>
      <c r="Q982" s="146"/>
      <c r="Y982" s="148"/>
      <c r="Z982" s="147"/>
      <c r="AF982" s="139"/>
      <c r="AH982" s="148"/>
      <c r="AI982" s="146"/>
    </row>
    <row r="983">
      <c r="B983" s="143"/>
      <c r="H983" s="143"/>
      <c r="K983" s="148"/>
      <c r="L983" s="150"/>
      <c r="P983" s="148"/>
      <c r="Q983" s="146"/>
      <c r="Y983" s="148"/>
      <c r="Z983" s="147"/>
      <c r="AF983" s="139"/>
      <c r="AH983" s="148"/>
      <c r="AI983" s="146"/>
    </row>
    <row r="984">
      <c r="B984" s="143"/>
      <c r="H984" s="143"/>
      <c r="K984" s="148"/>
      <c r="L984" s="150"/>
      <c r="P984" s="148"/>
      <c r="Q984" s="146"/>
      <c r="Y984" s="148"/>
      <c r="Z984" s="147"/>
      <c r="AF984" s="139"/>
      <c r="AH984" s="148"/>
      <c r="AI984" s="146"/>
    </row>
    <row r="985">
      <c r="B985" s="143"/>
      <c r="H985" s="143"/>
      <c r="K985" s="148"/>
      <c r="L985" s="150"/>
      <c r="P985" s="148"/>
      <c r="Q985" s="146"/>
      <c r="Y985" s="148"/>
      <c r="Z985" s="147"/>
      <c r="AF985" s="139"/>
      <c r="AH985" s="148"/>
      <c r="AI985" s="146"/>
    </row>
    <row r="986">
      <c r="B986" s="143"/>
      <c r="H986" s="143"/>
      <c r="K986" s="148"/>
      <c r="L986" s="150"/>
      <c r="P986" s="148"/>
      <c r="Q986" s="146"/>
      <c r="Y986" s="148"/>
      <c r="Z986" s="147"/>
      <c r="AF986" s="139"/>
      <c r="AH986" s="148"/>
      <c r="AI986" s="146"/>
    </row>
    <row r="987">
      <c r="B987" s="143"/>
      <c r="H987" s="143"/>
      <c r="K987" s="148"/>
      <c r="L987" s="150"/>
      <c r="P987" s="148"/>
      <c r="Q987" s="146"/>
      <c r="Y987" s="148"/>
      <c r="Z987" s="147"/>
      <c r="AF987" s="139"/>
      <c r="AH987" s="148"/>
      <c r="AI987" s="146"/>
    </row>
    <row r="988">
      <c r="B988" s="143"/>
      <c r="H988" s="143"/>
      <c r="K988" s="148"/>
      <c r="L988" s="150"/>
      <c r="P988" s="148"/>
      <c r="Q988" s="146"/>
      <c r="Y988" s="148"/>
      <c r="Z988" s="147"/>
      <c r="AF988" s="139"/>
      <c r="AH988" s="148"/>
      <c r="AI988" s="146"/>
    </row>
    <row r="989">
      <c r="B989" s="143"/>
      <c r="H989" s="143"/>
      <c r="K989" s="148"/>
      <c r="L989" s="150"/>
      <c r="P989" s="148"/>
      <c r="Q989" s="146"/>
      <c r="Y989" s="148"/>
      <c r="Z989" s="147"/>
      <c r="AF989" s="139"/>
      <c r="AH989" s="148"/>
      <c r="AI989" s="146"/>
    </row>
    <row r="990">
      <c r="B990" s="143"/>
      <c r="H990" s="143"/>
      <c r="K990" s="148"/>
      <c r="L990" s="150"/>
      <c r="P990" s="148"/>
      <c r="Q990" s="146"/>
      <c r="Y990" s="148"/>
      <c r="Z990" s="147"/>
      <c r="AF990" s="139"/>
      <c r="AH990" s="148"/>
      <c r="AI990" s="146"/>
    </row>
    <row r="991">
      <c r="B991" s="143"/>
      <c r="H991" s="143"/>
      <c r="K991" s="148"/>
      <c r="L991" s="150"/>
      <c r="P991" s="148"/>
      <c r="Q991" s="146"/>
      <c r="Y991" s="148"/>
      <c r="Z991" s="147"/>
      <c r="AF991" s="139"/>
      <c r="AH991" s="148"/>
      <c r="AI991" s="146"/>
    </row>
    <row r="992">
      <c r="B992" s="143"/>
      <c r="H992" s="143"/>
      <c r="K992" s="148"/>
      <c r="L992" s="150"/>
      <c r="P992" s="148"/>
      <c r="Q992" s="146"/>
      <c r="Y992" s="148"/>
      <c r="Z992" s="147"/>
      <c r="AF992" s="139"/>
      <c r="AH992" s="148"/>
      <c r="AI992" s="146"/>
    </row>
    <row r="993">
      <c r="B993" s="143"/>
      <c r="H993" s="143"/>
      <c r="K993" s="148"/>
      <c r="L993" s="150"/>
      <c r="P993" s="148"/>
      <c r="Q993" s="146"/>
      <c r="Y993" s="148"/>
      <c r="Z993" s="147"/>
      <c r="AF993" s="139"/>
      <c r="AH993" s="148"/>
      <c r="AI993" s="146"/>
    </row>
    <row r="994">
      <c r="B994" s="143"/>
      <c r="H994" s="143"/>
      <c r="K994" s="148"/>
      <c r="L994" s="150"/>
      <c r="P994" s="148"/>
      <c r="Q994" s="146"/>
      <c r="Y994" s="148"/>
      <c r="Z994" s="147"/>
      <c r="AF994" s="139"/>
      <c r="AH994" s="148"/>
      <c r="AI994" s="146"/>
    </row>
    <row r="995">
      <c r="B995" s="143"/>
      <c r="H995" s="143"/>
      <c r="K995" s="148"/>
      <c r="L995" s="150"/>
      <c r="P995" s="148"/>
      <c r="Q995" s="146"/>
      <c r="Y995" s="148"/>
      <c r="Z995" s="147"/>
      <c r="AF995" s="139"/>
      <c r="AH995" s="148"/>
      <c r="AI995" s="146"/>
    </row>
    <row r="996">
      <c r="B996" s="143"/>
      <c r="H996" s="143"/>
      <c r="K996" s="148"/>
      <c r="L996" s="150"/>
      <c r="P996" s="148"/>
      <c r="Q996" s="146"/>
      <c r="Y996" s="148"/>
      <c r="Z996" s="147"/>
      <c r="AF996" s="139"/>
      <c r="AH996" s="148"/>
      <c r="AI996" s="146"/>
    </row>
    <row r="997">
      <c r="B997" s="143"/>
      <c r="H997" s="143"/>
      <c r="K997" s="148"/>
      <c r="L997" s="150"/>
      <c r="P997" s="148"/>
      <c r="Q997" s="146"/>
      <c r="Y997" s="148"/>
      <c r="Z997" s="147"/>
      <c r="AF997" s="139"/>
      <c r="AH997" s="148"/>
      <c r="AI997" s="146"/>
    </row>
    <row r="998">
      <c r="B998" s="143"/>
      <c r="H998" s="143"/>
      <c r="K998" s="148"/>
      <c r="L998" s="150"/>
      <c r="P998" s="148"/>
      <c r="Q998" s="146"/>
      <c r="Y998" s="148"/>
      <c r="Z998" s="147"/>
      <c r="AF998" s="139"/>
      <c r="AH998" s="148"/>
      <c r="AI998" s="146"/>
    </row>
    <row r="999">
      <c r="B999" s="143"/>
      <c r="H999" s="143"/>
      <c r="K999" s="148"/>
      <c r="L999" s="150"/>
      <c r="P999" s="148"/>
      <c r="Q999" s="146"/>
      <c r="Y999" s="148"/>
      <c r="Z999" s="147"/>
      <c r="AF999" s="139"/>
      <c r="AH999" s="148"/>
      <c r="AI999" s="146"/>
    </row>
    <row r="1000">
      <c r="B1000" s="143"/>
      <c r="H1000" s="143"/>
      <c r="K1000" s="148"/>
      <c r="L1000" s="150"/>
      <c r="P1000" s="148"/>
      <c r="Q1000" s="146"/>
      <c r="Y1000" s="148"/>
      <c r="Z1000" s="147"/>
      <c r="AF1000" s="139"/>
      <c r="AH1000" s="148"/>
      <c r="AI1000" s="146"/>
    </row>
    <row r="1001">
      <c r="B1001" s="143"/>
      <c r="H1001" s="143"/>
      <c r="K1001" s="148"/>
      <c r="L1001" s="150"/>
      <c r="P1001" s="148"/>
      <c r="Q1001" s="146"/>
      <c r="Y1001" s="148"/>
      <c r="Z1001" s="147"/>
      <c r="AF1001" s="139"/>
      <c r="AH1001" s="148"/>
      <c r="AI1001" s="146"/>
    </row>
    <row r="1002">
      <c r="B1002" s="143"/>
      <c r="H1002" s="143"/>
      <c r="K1002" s="148"/>
      <c r="L1002" s="150"/>
      <c r="P1002" s="148"/>
      <c r="Q1002" s="146"/>
      <c r="Y1002" s="148"/>
      <c r="Z1002" s="147"/>
      <c r="AF1002" s="139"/>
      <c r="AH1002" s="148"/>
      <c r="AI1002" s="146"/>
    </row>
    <row r="1003">
      <c r="B1003" s="143"/>
      <c r="H1003" s="143"/>
      <c r="K1003" s="148"/>
      <c r="L1003" s="150"/>
      <c r="P1003" s="148"/>
      <c r="Q1003" s="146"/>
      <c r="Y1003" s="148"/>
      <c r="Z1003" s="147"/>
      <c r="AF1003" s="139"/>
      <c r="AH1003" s="148"/>
      <c r="AI1003" s="146"/>
    </row>
    <row r="1004">
      <c r="B1004" s="143"/>
      <c r="H1004" s="143"/>
      <c r="K1004" s="148"/>
      <c r="L1004" s="150"/>
      <c r="P1004" s="148"/>
      <c r="Q1004" s="146"/>
      <c r="Y1004" s="148"/>
      <c r="Z1004" s="147"/>
      <c r="AF1004" s="139"/>
      <c r="AH1004" s="148"/>
      <c r="AI1004" s="146"/>
    </row>
    <row r="1005">
      <c r="B1005" s="143"/>
      <c r="H1005" s="143"/>
      <c r="K1005" s="148"/>
      <c r="L1005" s="150"/>
      <c r="P1005" s="148"/>
      <c r="Q1005" s="146"/>
      <c r="Y1005" s="148"/>
      <c r="Z1005" s="147"/>
      <c r="AF1005" s="139"/>
      <c r="AH1005" s="148"/>
      <c r="AI1005" s="146"/>
    </row>
    <row r="1006">
      <c r="B1006" s="143"/>
      <c r="H1006" s="143"/>
      <c r="K1006" s="148"/>
      <c r="L1006" s="150"/>
      <c r="P1006" s="148"/>
      <c r="Q1006" s="146"/>
      <c r="Y1006" s="148"/>
      <c r="Z1006" s="147"/>
      <c r="AF1006" s="139"/>
      <c r="AH1006" s="148"/>
      <c r="AI1006" s="146"/>
    </row>
    <row r="1007">
      <c r="B1007" s="143"/>
      <c r="H1007" s="143"/>
      <c r="K1007" s="148"/>
      <c r="L1007" s="150"/>
      <c r="P1007" s="148"/>
      <c r="Q1007" s="146"/>
      <c r="Y1007" s="148"/>
      <c r="Z1007" s="147"/>
      <c r="AF1007" s="139"/>
      <c r="AH1007" s="148"/>
      <c r="AI1007" s="146"/>
    </row>
    <row r="1008">
      <c r="B1008" s="143"/>
      <c r="H1008" s="143"/>
      <c r="K1008" s="148"/>
      <c r="L1008" s="150"/>
      <c r="P1008" s="148"/>
      <c r="Q1008" s="146"/>
      <c r="Y1008" s="148"/>
      <c r="Z1008" s="147"/>
      <c r="AF1008" s="139"/>
      <c r="AH1008" s="148"/>
      <c r="AI1008" s="146"/>
    </row>
    <row r="1009">
      <c r="B1009" s="143"/>
      <c r="H1009" s="143"/>
      <c r="K1009" s="148"/>
      <c r="L1009" s="150"/>
      <c r="P1009" s="148"/>
      <c r="Q1009" s="146"/>
      <c r="Y1009" s="148"/>
      <c r="Z1009" s="147"/>
      <c r="AF1009" s="139"/>
      <c r="AH1009" s="148"/>
      <c r="AI1009" s="146"/>
    </row>
    <row r="1010">
      <c r="B1010" s="143"/>
      <c r="H1010" s="143"/>
      <c r="K1010" s="148"/>
      <c r="L1010" s="150"/>
      <c r="P1010" s="148"/>
      <c r="Q1010" s="146"/>
      <c r="Y1010" s="148"/>
      <c r="Z1010" s="147"/>
      <c r="AF1010" s="139"/>
      <c r="AH1010" s="148"/>
      <c r="AI1010" s="146"/>
    </row>
    <row r="1011">
      <c r="B1011" s="143"/>
      <c r="H1011" s="143"/>
      <c r="K1011" s="148"/>
      <c r="L1011" s="150"/>
      <c r="P1011" s="148"/>
      <c r="Q1011" s="146"/>
      <c r="Y1011" s="148"/>
      <c r="Z1011" s="147"/>
      <c r="AF1011" s="139"/>
      <c r="AH1011" s="148"/>
      <c r="AI1011" s="146"/>
    </row>
    <row r="1012">
      <c r="B1012" s="143"/>
      <c r="H1012" s="143"/>
      <c r="K1012" s="148"/>
      <c r="L1012" s="150"/>
      <c r="P1012" s="148"/>
      <c r="Q1012" s="146"/>
      <c r="Y1012" s="148"/>
      <c r="Z1012" s="147"/>
      <c r="AF1012" s="139"/>
      <c r="AH1012" s="148"/>
      <c r="AI1012" s="146"/>
    </row>
    <row r="1013">
      <c r="B1013" s="143"/>
      <c r="H1013" s="143"/>
      <c r="K1013" s="148"/>
      <c r="L1013" s="150"/>
      <c r="P1013" s="148"/>
      <c r="Q1013" s="146"/>
      <c r="Y1013" s="148"/>
      <c r="Z1013" s="147"/>
      <c r="AF1013" s="139"/>
      <c r="AH1013" s="148"/>
      <c r="AI1013" s="146"/>
    </row>
    <row r="1014">
      <c r="B1014" s="143"/>
      <c r="H1014" s="143"/>
      <c r="K1014" s="148"/>
      <c r="L1014" s="150"/>
      <c r="P1014" s="148"/>
      <c r="Q1014" s="146"/>
      <c r="Y1014" s="148"/>
      <c r="Z1014" s="147"/>
      <c r="AF1014" s="139"/>
      <c r="AH1014" s="148"/>
      <c r="AI1014" s="146"/>
    </row>
    <row r="1015">
      <c r="B1015" s="143"/>
      <c r="H1015" s="143"/>
      <c r="K1015" s="148"/>
      <c r="L1015" s="150"/>
      <c r="P1015" s="148"/>
      <c r="Q1015" s="146"/>
      <c r="Y1015" s="148"/>
      <c r="Z1015" s="147"/>
      <c r="AF1015" s="139"/>
      <c r="AH1015" s="148"/>
      <c r="AI1015" s="146"/>
    </row>
    <row r="1016">
      <c r="B1016" s="143"/>
      <c r="H1016" s="143"/>
      <c r="K1016" s="148"/>
      <c r="L1016" s="150"/>
      <c r="P1016" s="148"/>
      <c r="Q1016" s="146"/>
      <c r="Y1016" s="148"/>
      <c r="Z1016" s="147"/>
      <c r="AF1016" s="139"/>
      <c r="AH1016" s="148"/>
      <c r="AI1016" s="146"/>
    </row>
    <row r="1017">
      <c r="B1017" s="143"/>
      <c r="H1017" s="143"/>
      <c r="K1017" s="148"/>
      <c r="L1017" s="150"/>
      <c r="P1017" s="148"/>
      <c r="Q1017" s="146"/>
      <c r="Y1017" s="148"/>
      <c r="Z1017" s="147"/>
      <c r="AF1017" s="139"/>
      <c r="AH1017" s="148"/>
      <c r="AI1017" s="146"/>
    </row>
    <row r="1018">
      <c r="B1018" s="143"/>
      <c r="H1018" s="143"/>
      <c r="K1018" s="148"/>
      <c r="L1018" s="150"/>
      <c r="P1018" s="148"/>
      <c r="Q1018" s="146"/>
      <c r="Y1018" s="148"/>
      <c r="Z1018" s="147"/>
      <c r="AF1018" s="139"/>
      <c r="AH1018" s="148"/>
      <c r="AI1018" s="146"/>
    </row>
    <row r="1019">
      <c r="B1019" s="143"/>
      <c r="H1019" s="143"/>
      <c r="K1019" s="148"/>
      <c r="L1019" s="150"/>
      <c r="P1019" s="148"/>
      <c r="Q1019" s="146"/>
      <c r="Y1019" s="148"/>
      <c r="Z1019" s="147"/>
      <c r="AF1019" s="139"/>
      <c r="AH1019" s="148"/>
      <c r="AI1019" s="146"/>
    </row>
    <row r="1020">
      <c r="B1020" s="143"/>
      <c r="H1020" s="143"/>
      <c r="K1020" s="148"/>
      <c r="L1020" s="150"/>
      <c r="P1020" s="148"/>
      <c r="Q1020" s="146"/>
      <c r="Y1020" s="148"/>
      <c r="Z1020" s="147"/>
      <c r="AF1020" s="139"/>
      <c r="AH1020" s="148"/>
      <c r="AI1020" s="146"/>
    </row>
    <row r="1021">
      <c r="B1021" s="143"/>
      <c r="H1021" s="143"/>
      <c r="K1021" s="148"/>
      <c r="L1021" s="150"/>
      <c r="P1021" s="148"/>
      <c r="Q1021" s="146"/>
      <c r="Y1021" s="148"/>
      <c r="Z1021" s="147"/>
      <c r="AF1021" s="139"/>
      <c r="AH1021" s="148"/>
      <c r="AI1021" s="146"/>
    </row>
    <row r="1022">
      <c r="B1022" s="143"/>
      <c r="H1022" s="143"/>
      <c r="K1022" s="148"/>
      <c r="L1022" s="150"/>
      <c r="P1022" s="148"/>
      <c r="Q1022" s="146"/>
      <c r="Y1022" s="148"/>
      <c r="Z1022" s="147"/>
      <c r="AF1022" s="139"/>
      <c r="AH1022" s="148"/>
      <c r="AI1022" s="146"/>
    </row>
    <row r="1023">
      <c r="B1023" s="143"/>
      <c r="H1023" s="143"/>
      <c r="K1023" s="148"/>
      <c r="L1023" s="150"/>
      <c r="P1023" s="148"/>
      <c r="Q1023" s="146"/>
      <c r="Y1023" s="148"/>
      <c r="Z1023" s="147"/>
      <c r="AF1023" s="139"/>
      <c r="AH1023" s="148"/>
      <c r="AI1023" s="146"/>
    </row>
    <row r="1024">
      <c r="B1024" s="143"/>
      <c r="H1024" s="143"/>
      <c r="K1024" s="148"/>
      <c r="L1024" s="150"/>
      <c r="P1024" s="148"/>
      <c r="Q1024" s="146"/>
      <c r="Y1024" s="148"/>
      <c r="Z1024" s="147"/>
      <c r="AF1024" s="139"/>
      <c r="AH1024" s="148"/>
      <c r="AI1024" s="146"/>
    </row>
    <row r="1025">
      <c r="B1025" s="143"/>
      <c r="H1025" s="143"/>
      <c r="K1025" s="148"/>
      <c r="L1025" s="150"/>
      <c r="P1025" s="148"/>
      <c r="Q1025" s="146"/>
      <c r="Y1025" s="148"/>
      <c r="Z1025" s="147"/>
      <c r="AF1025" s="139"/>
      <c r="AH1025" s="148"/>
      <c r="AI1025" s="146"/>
    </row>
    <row r="1026">
      <c r="B1026" s="143"/>
      <c r="H1026" s="143"/>
      <c r="K1026" s="148"/>
      <c r="L1026" s="150"/>
      <c r="P1026" s="148"/>
      <c r="Q1026" s="146"/>
      <c r="Y1026" s="148"/>
      <c r="Z1026" s="147"/>
      <c r="AF1026" s="139"/>
      <c r="AH1026" s="148"/>
      <c r="AI1026" s="146"/>
    </row>
    <row r="1027">
      <c r="B1027" s="143"/>
      <c r="H1027" s="143"/>
      <c r="K1027" s="148"/>
      <c r="L1027" s="150"/>
      <c r="P1027" s="148"/>
      <c r="Q1027" s="146"/>
      <c r="Y1027" s="148"/>
      <c r="Z1027" s="147"/>
      <c r="AF1027" s="139"/>
      <c r="AH1027" s="148"/>
      <c r="AI1027" s="146"/>
    </row>
    <row r="1028">
      <c r="B1028" s="143"/>
      <c r="H1028" s="143"/>
      <c r="K1028" s="148"/>
      <c r="L1028" s="150"/>
      <c r="P1028" s="148"/>
      <c r="Q1028" s="146"/>
      <c r="Y1028" s="148"/>
      <c r="Z1028" s="147"/>
      <c r="AF1028" s="139"/>
      <c r="AH1028" s="148"/>
      <c r="AI1028" s="146"/>
    </row>
    <row r="1029">
      <c r="B1029" s="143"/>
      <c r="H1029" s="143"/>
      <c r="K1029" s="148"/>
      <c r="L1029" s="150"/>
      <c r="P1029" s="148"/>
      <c r="Q1029" s="146"/>
      <c r="Y1029" s="148"/>
      <c r="Z1029" s="147"/>
      <c r="AF1029" s="139"/>
      <c r="AH1029" s="148"/>
      <c r="AI1029" s="146"/>
    </row>
    <row r="1030">
      <c r="B1030" s="143"/>
      <c r="H1030" s="143"/>
      <c r="K1030" s="148"/>
      <c r="L1030" s="150"/>
      <c r="P1030" s="148"/>
      <c r="Q1030" s="146"/>
      <c r="Y1030" s="148"/>
      <c r="Z1030" s="147"/>
      <c r="AF1030" s="139"/>
      <c r="AH1030" s="148"/>
      <c r="AI1030" s="146"/>
    </row>
    <row r="1031">
      <c r="B1031" s="143"/>
      <c r="H1031" s="143"/>
      <c r="K1031" s="148"/>
      <c r="L1031" s="150"/>
      <c r="P1031" s="148"/>
      <c r="Q1031" s="146"/>
      <c r="Y1031" s="148"/>
      <c r="Z1031" s="147"/>
      <c r="AF1031" s="139"/>
      <c r="AH1031" s="148"/>
      <c r="AI1031" s="146"/>
    </row>
    <row r="1032">
      <c r="B1032" s="143"/>
      <c r="H1032" s="143"/>
      <c r="K1032" s="148"/>
      <c r="L1032" s="150"/>
      <c r="P1032" s="148"/>
      <c r="Q1032" s="146"/>
      <c r="Y1032" s="148"/>
      <c r="Z1032" s="147"/>
      <c r="AF1032" s="139"/>
      <c r="AH1032" s="148"/>
      <c r="AI1032" s="146"/>
    </row>
    <row r="1033">
      <c r="B1033" s="143"/>
      <c r="H1033" s="143"/>
      <c r="K1033" s="148"/>
      <c r="L1033" s="150"/>
      <c r="P1033" s="148"/>
      <c r="Q1033" s="146"/>
      <c r="Y1033" s="148"/>
      <c r="Z1033" s="147"/>
      <c r="AF1033" s="139"/>
      <c r="AH1033" s="148"/>
      <c r="AI1033" s="146"/>
    </row>
    <row r="1034">
      <c r="B1034" s="143"/>
      <c r="H1034" s="143"/>
      <c r="K1034" s="148"/>
      <c r="L1034" s="150"/>
      <c r="P1034" s="148"/>
      <c r="Q1034" s="146"/>
      <c r="Y1034" s="148"/>
      <c r="Z1034" s="147"/>
      <c r="AF1034" s="139"/>
      <c r="AH1034" s="148"/>
      <c r="AI1034" s="146"/>
    </row>
    <row r="1035">
      <c r="B1035" s="143"/>
      <c r="H1035" s="143"/>
      <c r="K1035" s="148"/>
      <c r="L1035" s="150"/>
      <c r="P1035" s="148"/>
      <c r="Q1035" s="146"/>
      <c r="Y1035" s="148"/>
      <c r="Z1035" s="147"/>
      <c r="AF1035" s="139"/>
      <c r="AH1035" s="148"/>
      <c r="AI1035" s="146"/>
    </row>
    <row r="1036">
      <c r="B1036" s="143"/>
      <c r="H1036" s="143"/>
      <c r="K1036" s="148"/>
      <c r="L1036" s="150"/>
      <c r="P1036" s="148"/>
      <c r="Q1036" s="146"/>
      <c r="Y1036" s="148"/>
      <c r="Z1036" s="147"/>
      <c r="AF1036" s="139"/>
      <c r="AH1036" s="148"/>
      <c r="AI1036" s="146"/>
    </row>
    <row r="1037">
      <c r="B1037" s="143"/>
      <c r="H1037" s="143"/>
      <c r="K1037" s="148"/>
      <c r="L1037" s="150"/>
      <c r="P1037" s="148"/>
      <c r="Q1037" s="146"/>
      <c r="Y1037" s="148"/>
      <c r="Z1037" s="147"/>
      <c r="AF1037" s="139"/>
      <c r="AH1037" s="148"/>
      <c r="AI1037" s="146"/>
    </row>
    <row r="1038">
      <c r="B1038" s="143"/>
      <c r="H1038" s="143"/>
      <c r="K1038" s="148"/>
      <c r="L1038" s="150"/>
      <c r="P1038" s="148"/>
      <c r="Q1038" s="146"/>
      <c r="Y1038" s="148"/>
      <c r="Z1038" s="147"/>
      <c r="AF1038" s="139"/>
      <c r="AH1038" s="148"/>
      <c r="AI1038" s="146"/>
    </row>
    <row r="1039">
      <c r="B1039" s="143"/>
      <c r="H1039" s="143"/>
      <c r="K1039" s="148"/>
      <c r="L1039" s="150"/>
      <c r="P1039" s="148"/>
      <c r="Q1039" s="146"/>
      <c r="Y1039" s="148"/>
      <c r="Z1039" s="147"/>
      <c r="AF1039" s="139"/>
      <c r="AH1039" s="148"/>
      <c r="AI1039" s="146"/>
    </row>
    <row r="1040">
      <c r="B1040" s="143"/>
      <c r="H1040" s="143"/>
      <c r="K1040" s="148"/>
      <c r="L1040" s="150"/>
      <c r="P1040" s="148"/>
      <c r="Q1040" s="146"/>
      <c r="Y1040" s="148"/>
      <c r="Z1040" s="147"/>
      <c r="AF1040" s="139"/>
      <c r="AH1040" s="148"/>
      <c r="AI1040" s="146"/>
    </row>
    <row r="1041">
      <c r="B1041" s="143"/>
      <c r="H1041" s="143"/>
      <c r="K1041" s="148"/>
      <c r="L1041" s="150"/>
      <c r="P1041" s="148"/>
      <c r="Q1041" s="146"/>
      <c r="Y1041" s="148"/>
      <c r="Z1041" s="147"/>
      <c r="AF1041" s="139"/>
      <c r="AH1041" s="148"/>
      <c r="AI1041" s="146"/>
    </row>
    <row r="1042">
      <c r="B1042" s="143"/>
      <c r="H1042" s="143"/>
      <c r="K1042" s="148"/>
      <c r="L1042" s="150"/>
      <c r="P1042" s="148"/>
      <c r="Q1042" s="146"/>
      <c r="Y1042" s="148"/>
      <c r="Z1042" s="147"/>
      <c r="AF1042" s="139"/>
      <c r="AH1042" s="148"/>
      <c r="AI1042" s="146"/>
    </row>
    <row r="1043">
      <c r="B1043" s="143"/>
      <c r="H1043" s="143"/>
      <c r="K1043" s="148"/>
      <c r="L1043" s="150"/>
      <c r="P1043" s="148"/>
      <c r="Q1043" s="146"/>
      <c r="Y1043" s="148"/>
      <c r="Z1043" s="147"/>
      <c r="AF1043" s="139"/>
      <c r="AH1043" s="148"/>
      <c r="AI1043" s="146"/>
    </row>
    <row r="1044">
      <c r="B1044" s="143"/>
      <c r="H1044" s="143"/>
      <c r="K1044" s="148"/>
      <c r="L1044" s="150"/>
      <c r="P1044" s="148"/>
      <c r="Q1044" s="146"/>
      <c r="Y1044" s="148"/>
      <c r="Z1044" s="147"/>
      <c r="AF1044" s="139"/>
      <c r="AH1044" s="148"/>
      <c r="AI1044" s="146"/>
    </row>
    <row r="1045">
      <c r="B1045" s="143"/>
      <c r="H1045" s="143"/>
      <c r="K1045" s="148"/>
      <c r="L1045" s="150"/>
      <c r="P1045" s="148"/>
      <c r="Q1045" s="146"/>
      <c r="Y1045" s="148"/>
      <c r="Z1045" s="147"/>
      <c r="AF1045" s="139"/>
      <c r="AH1045" s="148"/>
      <c r="AI1045" s="146"/>
    </row>
    <row r="1046">
      <c r="B1046" s="143"/>
      <c r="H1046" s="143"/>
      <c r="K1046" s="148"/>
      <c r="L1046" s="150"/>
      <c r="P1046" s="148"/>
      <c r="Q1046" s="146"/>
      <c r="Y1046" s="148"/>
      <c r="Z1046" s="147"/>
      <c r="AF1046" s="139"/>
      <c r="AH1046" s="148"/>
      <c r="AI1046" s="146"/>
    </row>
    <row r="1047">
      <c r="B1047" s="143"/>
      <c r="H1047" s="143"/>
      <c r="K1047" s="148"/>
      <c r="L1047" s="150"/>
      <c r="P1047" s="148"/>
      <c r="Q1047" s="146"/>
      <c r="Y1047" s="148"/>
      <c r="Z1047" s="147"/>
      <c r="AF1047" s="139"/>
      <c r="AH1047" s="148"/>
      <c r="AI1047" s="146"/>
    </row>
    <row r="1048">
      <c r="B1048" s="143"/>
      <c r="H1048" s="143"/>
      <c r="K1048" s="148"/>
      <c r="L1048" s="150"/>
      <c r="P1048" s="148"/>
      <c r="Q1048" s="146"/>
      <c r="Y1048" s="148"/>
      <c r="Z1048" s="147"/>
      <c r="AF1048" s="139"/>
      <c r="AH1048" s="148"/>
      <c r="AI1048" s="146"/>
    </row>
    <row r="1049">
      <c r="B1049" s="143"/>
      <c r="H1049" s="143"/>
      <c r="K1049" s="148"/>
      <c r="L1049" s="150"/>
      <c r="P1049" s="148"/>
      <c r="Q1049" s="146"/>
      <c r="Y1049" s="148"/>
      <c r="Z1049" s="147"/>
      <c r="AF1049" s="139"/>
      <c r="AH1049" s="148"/>
      <c r="AI1049" s="146"/>
    </row>
    <row r="1050">
      <c r="B1050" s="143"/>
      <c r="H1050" s="143"/>
      <c r="K1050" s="148"/>
      <c r="L1050" s="150"/>
      <c r="P1050" s="148"/>
      <c r="Q1050" s="146"/>
      <c r="Y1050" s="148"/>
      <c r="Z1050" s="147"/>
      <c r="AF1050" s="139"/>
      <c r="AH1050" s="148"/>
      <c r="AI1050" s="146"/>
    </row>
    <row r="1051">
      <c r="B1051" s="143"/>
      <c r="H1051" s="143"/>
      <c r="K1051" s="148"/>
      <c r="L1051" s="150"/>
      <c r="P1051" s="148"/>
      <c r="Q1051" s="146"/>
      <c r="Y1051" s="148"/>
      <c r="Z1051" s="147"/>
      <c r="AF1051" s="139"/>
      <c r="AH1051" s="148"/>
      <c r="AI1051" s="146"/>
    </row>
    <row r="1052">
      <c r="B1052" s="143"/>
      <c r="H1052" s="143"/>
      <c r="K1052" s="148"/>
      <c r="L1052" s="150"/>
      <c r="P1052" s="148"/>
      <c r="Q1052" s="146"/>
      <c r="Y1052" s="148"/>
      <c r="Z1052" s="147"/>
      <c r="AF1052" s="139"/>
      <c r="AH1052" s="148"/>
      <c r="AI1052" s="146"/>
    </row>
    <row r="1053">
      <c r="B1053" s="143"/>
      <c r="H1053" s="143"/>
      <c r="K1053" s="148"/>
      <c r="L1053" s="150"/>
      <c r="P1053" s="148"/>
      <c r="Q1053" s="146"/>
      <c r="Y1053" s="148"/>
      <c r="Z1053" s="147"/>
      <c r="AF1053" s="139"/>
      <c r="AH1053" s="148"/>
      <c r="AI1053" s="146"/>
    </row>
    <row r="1054">
      <c r="B1054" s="143"/>
      <c r="H1054" s="143"/>
      <c r="K1054" s="148"/>
      <c r="L1054" s="150"/>
      <c r="P1054" s="148"/>
      <c r="Q1054" s="146"/>
      <c r="Y1054" s="148"/>
      <c r="Z1054" s="147"/>
      <c r="AF1054" s="139"/>
      <c r="AH1054" s="148"/>
      <c r="AI1054" s="146"/>
    </row>
    <row r="1055">
      <c r="B1055" s="143"/>
      <c r="H1055" s="143"/>
      <c r="K1055" s="148"/>
      <c r="L1055" s="150"/>
      <c r="P1055" s="148"/>
      <c r="Q1055" s="146"/>
      <c r="Y1055" s="148"/>
      <c r="Z1055" s="147"/>
      <c r="AF1055" s="139"/>
      <c r="AH1055" s="148"/>
      <c r="AI1055" s="146"/>
    </row>
    <row r="1056">
      <c r="B1056" s="143"/>
      <c r="H1056" s="143"/>
      <c r="K1056" s="148"/>
      <c r="L1056" s="150"/>
      <c r="P1056" s="148"/>
      <c r="Q1056" s="146"/>
      <c r="Y1056" s="148"/>
      <c r="Z1056" s="147"/>
      <c r="AF1056" s="139"/>
      <c r="AH1056" s="148"/>
      <c r="AI1056" s="146"/>
    </row>
    <row r="1057">
      <c r="B1057" s="143"/>
      <c r="H1057" s="143"/>
      <c r="K1057" s="148"/>
      <c r="L1057" s="150"/>
      <c r="P1057" s="148"/>
      <c r="Q1057" s="146"/>
      <c r="Y1057" s="148"/>
      <c r="Z1057" s="147"/>
      <c r="AF1057" s="139"/>
      <c r="AH1057" s="148"/>
      <c r="AI1057" s="146"/>
    </row>
    <row r="1058">
      <c r="B1058" s="143"/>
      <c r="H1058" s="143"/>
      <c r="K1058" s="148"/>
      <c r="L1058" s="150"/>
      <c r="P1058" s="148"/>
      <c r="Q1058" s="146"/>
      <c r="Y1058" s="148"/>
      <c r="Z1058" s="147"/>
      <c r="AF1058" s="139"/>
      <c r="AH1058" s="148"/>
      <c r="AI1058" s="146"/>
    </row>
    <row r="1059">
      <c r="B1059" s="143"/>
      <c r="H1059" s="143"/>
      <c r="K1059" s="148"/>
      <c r="L1059" s="150"/>
      <c r="P1059" s="148"/>
      <c r="Q1059" s="146"/>
      <c r="Y1059" s="148"/>
      <c r="Z1059" s="147"/>
      <c r="AF1059" s="139"/>
      <c r="AH1059" s="148"/>
      <c r="AI1059" s="146"/>
    </row>
    <row r="1060">
      <c r="B1060" s="143"/>
      <c r="H1060" s="143"/>
      <c r="K1060" s="148"/>
      <c r="L1060" s="150"/>
      <c r="P1060" s="148"/>
      <c r="Q1060" s="146"/>
      <c r="Y1060" s="148"/>
      <c r="Z1060" s="147"/>
      <c r="AF1060" s="139"/>
      <c r="AH1060" s="148"/>
      <c r="AI1060" s="146"/>
    </row>
    <row r="1061">
      <c r="B1061" s="143"/>
      <c r="H1061" s="143"/>
      <c r="K1061" s="148"/>
      <c r="L1061" s="150"/>
      <c r="P1061" s="148"/>
      <c r="Q1061" s="146"/>
      <c r="Y1061" s="148"/>
      <c r="Z1061" s="147"/>
      <c r="AF1061" s="139"/>
      <c r="AH1061" s="148"/>
      <c r="AI1061" s="146"/>
    </row>
    <row r="1062">
      <c r="B1062" s="143"/>
      <c r="H1062" s="143"/>
      <c r="K1062" s="148"/>
      <c r="L1062" s="150"/>
      <c r="P1062" s="148"/>
      <c r="Q1062" s="146"/>
      <c r="Y1062" s="148"/>
      <c r="Z1062" s="147"/>
      <c r="AF1062" s="139"/>
      <c r="AH1062" s="148"/>
      <c r="AI1062" s="146"/>
    </row>
    <row r="1063">
      <c r="B1063" s="143"/>
      <c r="H1063" s="143"/>
      <c r="K1063" s="148"/>
      <c r="L1063" s="150"/>
      <c r="P1063" s="148"/>
      <c r="Q1063" s="146"/>
      <c r="Y1063" s="148"/>
      <c r="Z1063" s="147"/>
      <c r="AF1063" s="139"/>
      <c r="AH1063" s="148"/>
      <c r="AI1063" s="146"/>
    </row>
    <row r="1064">
      <c r="B1064" s="143"/>
      <c r="H1064" s="143"/>
      <c r="K1064" s="148"/>
      <c r="L1064" s="150"/>
      <c r="P1064" s="148"/>
      <c r="Q1064" s="146"/>
      <c r="Y1064" s="148"/>
      <c r="Z1064" s="147"/>
      <c r="AF1064" s="139"/>
      <c r="AH1064" s="148"/>
      <c r="AI1064" s="146"/>
    </row>
    <row r="1065">
      <c r="B1065" s="143"/>
      <c r="H1065" s="143"/>
      <c r="K1065" s="148"/>
      <c r="L1065" s="150"/>
      <c r="P1065" s="148"/>
      <c r="Q1065" s="146"/>
      <c r="Y1065" s="148"/>
      <c r="Z1065" s="147"/>
      <c r="AF1065" s="139"/>
      <c r="AH1065" s="148"/>
      <c r="AI1065" s="146"/>
    </row>
    <row r="1066">
      <c r="B1066" s="143"/>
      <c r="H1066" s="143"/>
      <c r="K1066" s="148"/>
      <c r="L1066" s="150"/>
      <c r="P1066" s="148"/>
      <c r="Q1066" s="146"/>
      <c r="Y1066" s="148"/>
      <c r="Z1066" s="147"/>
      <c r="AF1066" s="139"/>
      <c r="AH1066" s="148"/>
      <c r="AI1066" s="146"/>
    </row>
    <row r="1067">
      <c r="B1067" s="143"/>
      <c r="H1067" s="143"/>
      <c r="K1067" s="148"/>
      <c r="L1067" s="150"/>
      <c r="P1067" s="148"/>
      <c r="Q1067" s="146"/>
      <c r="Y1067" s="148"/>
      <c r="Z1067" s="147"/>
      <c r="AF1067" s="139"/>
      <c r="AH1067" s="148"/>
      <c r="AI1067" s="146"/>
    </row>
    <row r="1068">
      <c r="B1068" s="143"/>
      <c r="H1068" s="143"/>
      <c r="K1068" s="148"/>
      <c r="L1068" s="150"/>
      <c r="P1068" s="148"/>
      <c r="Q1068" s="146"/>
      <c r="Y1068" s="148"/>
      <c r="Z1068" s="147"/>
      <c r="AF1068" s="139"/>
      <c r="AH1068" s="148"/>
      <c r="AI1068" s="146"/>
    </row>
    <row r="1069">
      <c r="B1069" s="143"/>
      <c r="H1069" s="143"/>
      <c r="K1069" s="148"/>
      <c r="L1069" s="150"/>
      <c r="P1069" s="148"/>
      <c r="Q1069" s="146"/>
      <c r="Y1069" s="148"/>
      <c r="Z1069" s="147"/>
      <c r="AF1069" s="139"/>
      <c r="AH1069" s="148"/>
      <c r="AI1069" s="146"/>
    </row>
    <row r="1070">
      <c r="B1070" s="143"/>
      <c r="H1070" s="143"/>
      <c r="K1070" s="148"/>
      <c r="L1070" s="150"/>
      <c r="P1070" s="148"/>
      <c r="Q1070" s="146"/>
      <c r="Y1070" s="148"/>
      <c r="Z1070" s="147"/>
      <c r="AF1070" s="139"/>
      <c r="AH1070" s="148"/>
      <c r="AI1070" s="146"/>
    </row>
    <row r="1071">
      <c r="B1071" s="143"/>
      <c r="H1071" s="143"/>
      <c r="K1071" s="148"/>
      <c r="L1071" s="150"/>
      <c r="P1071" s="148"/>
      <c r="Q1071" s="146"/>
      <c r="Y1071" s="148"/>
      <c r="Z1071" s="147"/>
      <c r="AF1071" s="139"/>
      <c r="AH1071" s="148"/>
      <c r="AI1071" s="146"/>
    </row>
    <row r="1072">
      <c r="B1072" s="143"/>
      <c r="H1072" s="143"/>
      <c r="K1072" s="148"/>
      <c r="L1072" s="150"/>
      <c r="P1072" s="148"/>
      <c r="Q1072" s="146"/>
      <c r="Y1072" s="148"/>
      <c r="Z1072" s="147"/>
      <c r="AF1072" s="139"/>
      <c r="AH1072" s="148"/>
      <c r="AI1072" s="146"/>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51" t="s">
        <v>276</v>
      </c>
      <c r="B1" s="151" t="s">
        <v>7</v>
      </c>
      <c r="C1" s="151" t="s">
        <v>277</v>
      </c>
      <c r="D1" s="151" t="s">
        <v>278</v>
      </c>
      <c r="E1" s="151"/>
      <c r="F1" s="151"/>
      <c r="G1" s="151"/>
      <c r="H1" s="151"/>
      <c r="I1" s="43"/>
      <c r="J1" s="43"/>
      <c r="K1" s="43"/>
      <c r="L1" s="43"/>
      <c r="M1" s="43"/>
      <c r="N1" s="43"/>
      <c r="O1" s="43"/>
      <c r="P1" s="43"/>
      <c r="Q1" s="43"/>
      <c r="R1" s="43"/>
      <c r="S1" s="43"/>
      <c r="T1" s="43"/>
      <c r="U1" s="43"/>
      <c r="V1" s="43"/>
      <c r="W1" s="43"/>
      <c r="X1" s="43"/>
      <c r="Y1" s="43"/>
    </row>
    <row r="2">
      <c r="A2" s="5" t="s">
        <v>279</v>
      </c>
      <c r="B2" s="5" t="s">
        <v>280</v>
      </c>
      <c r="C2" s="5" t="s">
        <v>70</v>
      </c>
      <c r="D2" s="5" t="s">
        <v>105</v>
      </c>
      <c r="E2" s="5"/>
      <c r="F2" s="5"/>
      <c r="G2" s="5"/>
      <c r="H2" s="5"/>
      <c r="I2" s="20"/>
      <c r="J2" s="20"/>
      <c r="K2" s="20"/>
      <c r="L2" s="20"/>
      <c r="M2" s="20"/>
      <c r="N2" s="20"/>
      <c r="O2" s="20"/>
      <c r="P2" s="20"/>
      <c r="Q2" s="20"/>
      <c r="R2" s="20"/>
      <c r="S2" s="20"/>
      <c r="T2" s="20"/>
      <c r="U2" s="20"/>
      <c r="V2" s="20"/>
      <c r="W2" s="20"/>
      <c r="X2" s="20"/>
      <c r="Y2" s="20"/>
    </row>
    <row r="3">
      <c r="A3" s="5" t="s">
        <v>281</v>
      </c>
      <c r="B3" s="5" t="s">
        <v>282</v>
      </c>
      <c r="C3" s="5" t="s">
        <v>283</v>
      </c>
      <c r="D3" s="5" t="s">
        <v>284</v>
      </c>
      <c r="E3" s="5"/>
      <c r="F3" s="5"/>
      <c r="G3" s="5"/>
      <c r="H3" s="5"/>
      <c r="I3" s="20"/>
      <c r="J3" s="134"/>
      <c r="K3" s="134"/>
      <c r="L3" s="134"/>
      <c r="M3" s="134"/>
      <c r="N3" s="20"/>
      <c r="O3" s="20"/>
      <c r="P3" s="20"/>
      <c r="Q3" s="20"/>
      <c r="R3" s="20"/>
      <c r="S3" s="20"/>
      <c r="T3" s="20"/>
      <c r="U3" s="20"/>
      <c r="V3" s="20"/>
      <c r="W3" s="20"/>
      <c r="X3" s="20"/>
      <c r="Y3" s="20"/>
    </row>
    <row r="4">
      <c r="A4" s="5" t="s">
        <v>285</v>
      </c>
      <c r="B4" s="5" t="s">
        <v>286</v>
      </c>
      <c r="C4" s="5" t="s">
        <v>287</v>
      </c>
      <c r="D4" s="5" t="s">
        <v>288</v>
      </c>
      <c r="E4" s="5"/>
      <c r="F4" s="5"/>
      <c r="G4" s="5"/>
      <c r="H4" s="5"/>
      <c r="I4" s="20"/>
      <c r="J4" s="134"/>
      <c r="K4" s="134"/>
      <c r="L4" s="134"/>
      <c r="M4" s="134"/>
      <c r="N4" s="20"/>
      <c r="O4" s="20"/>
      <c r="P4" s="20"/>
      <c r="Q4" s="20"/>
      <c r="R4" s="20"/>
      <c r="S4" s="20"/>
      <c r="T4" s="20"/>
      <c r="U4" s="20"/>
      <c r="V4" s="20"/>
      <c r="W4" s="20"/>
      <c r="X4" s="20"/>
      <c r="Y4" s="20"/>
    </row>
    <row r="5">
      <c r="A5" s="5" t="s">
        <v>289</v>
      </c>
      <c r="B5" s="5" t="s">
        <v>290</v>
      </c>
      <c r="C5" s="5" t="s">
        <v>291</v>
      </c>
      <c r="D5" s="5"/>
      <c r="E5" s="5"/>
      <c r="F5" s="5"/>
      <c r="G5" s="5"/>
      <c r="H5" s="5"/>
      <c r="I5" s="20"/>
      <c r="J5" s="134"/>
      <c r="K5" s="134"/>
      <c r="L5" s="134"/>
      <c r="M5" s="134"/>
      <c r="N5" s="20"/>
      <c r="O5" s="20"/>
      <c r="P5" s="20"/>
      <c r="Q5" s="20"/>
      <c r="R5" s="20"/>
      <c r="S5" s="20"/>
      <c r="T5" s="20"/>
      <c r="U5" s="20"/>
      <c r="V5" s="20"/>
      <c r="W5" s="20"/>
      <c r="X5" s="20"/>
      <c r="Y5" s="20"/>
    </row>
    <row r="6">
      <c r="A6" s="114" t="s">
        <v>292</v>
      </c>
      <c r="B6" s="152"/>
      <c r="C6" s="109" t="s">
        <v>293</v>
      </c>
      <c r="D6" s="109" t="s">
        <v>294</v>
      </c>
      <c r="E6" s="109"/>
      <c r="F6" s="109"/>
      <c r="G6" s="109"/>
      <c r="H6" s="111"/>
      <c r="I6" s="111"/>
      <c r="J6" s="111"/>
      <c r="K6" s="111"/>
      <c r="L6" s="111"/>
      <c r="M6" s="111"/>
      <c r="N6" s="111"/>
      <c r="O6" s="111"/>
      <c r="P6" s="111"/>
      <c r="Q6" s="111"/>
      <c r="R6" s="111"/>
      <c r="S6" s="111"/>
      <c r="T6" s="153"/>
      <c r="U6" s="153"/>
      <c r="V6" s="153"/>
      <c r="W6" s="153"/>
      <c r="X6" s="153"/>
      <c r="Y6" s="111"/>
    </row>
    <row r="7">
      <c r="A7" s="11" t="s">
        <v>295</v>
      </c>
      <c r="B7" s="154"/>
      <c r="C7" s="5" t="s">
        <v>296</v>
      </c>
      <c r="D7" s="5" t="s">
        <v>297</v>
      </c>
      <c r="E7" s="5"/>
      <c r="F7" s="5"/>
      <c r="G7" s="5"/>
      <c r="H7" s="20"/>
      <c r="I7" s="20"/>
      <c r="J7" s="20"/>
      <c r="K7" s="20"/>
      <c r="L7" s="20"/>
      <c r="M7" s="20"/>
      <c r="N7" s="20"/>
      <c r="O7" s="20"/>
      <c r="P7" s="20"/>
      <c r="Q7" s="20"/>
      <c r="R7" s="20"/>
      <c r="S7" s="20"/>
      <c r="Y7" s="20"/>
    </row>
    <row r="8">
      <c r="A8" s="11" t="s">
        <v>298</v>
      </c>
      <c r="B8" s="154" t="s">
        <v>299</v>
      </c>
      <c r="C8" s="5" t="s">
        <v>300</v>
      </c>
      <c r="D8" s="5" t="s">
        <v>301</v>
      </c>
      <c r="E8" s="5"/>
      <c r="F8" s="5"/>
      <c r="G8" s="5"/>
      <c r="H8" s="5"/>
      <c r="I8" s="20"/>
      <c r="J8" s="20"/>
      <c r="K8" s="20"/>
      <c r="L8" s="20"/>
      <c r="M8" s="20"/>
      <c r="N8" s="20"/>
      <c r="O8" s="20"/>
      <c r="P8" s="20"/>
      <c r="Q8" s="20"/>
      <c r="R8" s="20"/>
      <c r="S8" s="20"/>
      <c r="T8" s="20"/>
      <c r="U8" s="20"/>
      <c r="V8" s="20"/>
      <c r="W8" s="20"/>
      <c r="X8" s="20"/>
      <c r="Y8" s="20"/>
    </row>
    <row r="9">
      <c r="A9" s="11" t="s">
        <v>302</v>
      </c>
      <c r="B9" s="154"/>
      <c r="C9" s="5" t="s">
        <v>303</v>
      </c>
      <c r="D9" s="5" t="s">
        <v>304</v>
      </c>
      <c r="E9" s="5"/>
      <c r="F9" s="5"/>
      <c r="G9" s="5"/>
      <c r="H9" s="5"/>
      <c r="I9" s="20"/>
      <c r="J9" s="20"/>
      <c r="K9" s="20"/>
      <c r="L9" s="20"/>
      <c r="M9" s="20"/>
      <c r="N9" s="20"/>
      <c r="O9" s="20"/>
      <c r="P9" s="20"/>
      <c r="Q9" s="20"/>
      <c r="R9" s="20"/>
      <c r="S9" s="20"/>
      <c r="T9" s="20"/>
      <c r="U9" s="20"/>
      <c r="V9" s="20"/>
      <c r="W9" s="20"/>
      <c r="X9" s="20"/>
      <c r="Y9" s="20"/>
    </row>
    <row r="10">
      <c r="A10" s="11" t="s">
        <v>305</v>
      </c>
      <c r="B10" s="11" t="s">
        <v>306</v>
      </c>
      <c r="C10" s="71">
        <f>1.058/10^6</f>
        <v>0.000001058</v>
      </c>
      <c r="D10" s="155">
        <f>1.058/10^6*(2.44*365)</f>
        <v>0.0009422548</v>
      </c>
      <c r="E10" s="5"/>
      <c r="F10" s="5"/>
      <c r="G10" s="5"/>
      <c r="H10" s="5"/>
      <c r="I10" s="20"/>
      <c r="J10" s="20"/>
      <c r="K10" s="20"/>
      <c r="L10" s="20"/>
      <c r="M10" s="20"/>
      <c r="N10" s="20"/>
      <c r="O10" s="20"/>
      <c r="P10" s="20"/>
      <c r="Q10" s="20"/>
      <c r="R10" s="20"/>
      <c r="S10" s="20"/>
      <c r="T10" s="20"/>
      <c r="U10" s="20"/>
      <c r="V10" s="20"/>
      <c r="W10" s="20"/>
      <c r="X10" s="20"/>
      <c r="Y10" s="20"/>
    </row>
    <row r="11">
      <c r="A11" s="107" t="s">
        <v>307</v>
      </c>
      <c r="B11" s="107" t="s">
        <v>308</v>
      </c>
      <c r="C11" s="102" t="s">
        <v>309</v>
      </c>
      <c r="D11" s="102" t="s">
        <v>310</v>
      </c>
      <c r="E11" s="102"/>
      <c r="F11" s="102"/>
      <c r="G11" s="102"/>
      <c r="H11" s="102"/>
      <c r="I11" s="104"/>
      <c r="J11" s="104"/>
      <c r="K11" s="104"/>
      <c r="L11" s="104"/>
      <c r="M11" s="104"/>
      <c r="N11" s="104"/>
      <c r="O11" s="104"/>
      <c r="P11" s="104"/>
      <c r="Q11" s="104"/>
      <c r="R11" s="104"/>
      <c r="S11" s="104"/>
      <c r="T11" s="104"/>
      <c r="U11" s="104"/>
      <c r="V11" s="104"/>
      <c r="W11" s="104"/>
      <c r="X11" s="104"/>
      <c r="Y11" s="104"/>
    </row>
    <row r="12">
      <c r="A12" s="154" t="s">
        <v>311</v>
      </c>
      <c r="B12" s="154" t="s">
        <v>312</v>
      </c>
      <c r="C12" s="5" t="s">
        <v>300</v>
      </c>
      <c r="D12" s="5" t="s">
        <v>313</v>
      </c>
      <c r="E12" s="5"/>
      <c r="F12" s="5"/>
      <c r="G12" s="5"/>
      <c r="H12" s="5"/>
      <c r="I12" s="20"/>
      <c r="J12" s="20"/>
      <c r="K12" s="20"/>
      <c r="L12" s="20"/>
      <c r="M12" s="20"/>
      <c r="N12" s="20"/>
      <c r="O12" s="20"/>
      <c r="P12" s="20"/>
      <c r="Q12" s="20"/>
      <c r="R12" s="20"/>
      <c r="S12" s="20"/>
      <c r="T12" s="20"/>
      <c r="U12" s="20"/>
      <c r="V12" s="20"/>
      <c r="W12" s="20"/>
      <c r="X12" s="20"/>
      <c r="Y12" s="20"/>
    </row>
    <row r="13">
      <c r="A13" s="154" t="s">
        <v>314</v>
      </c>
      <c r="B13" s="154" t="s">
        <v>315</v>
      </c>
      <c r="C13" s="5" t="s">
        <v>303</v>
      </c>
      <c r="D13" s="5" t="s">
        <v>316</v>
      </c>
      <c r="E13" s="5"/>
      <c r="F13" s="5"/>
      <c r="G13" s="5"/>
      <c r="H13" s="5"/>
      <c r="I13" s="20"/>
      <c r="J13" s="20"/>
      <c r="K13" s="20"/>
      <c r="L13" s="20"/>
      <c r="M13" s="20"/>
      <c r="N13" s="20"/>
      <c r="O13" s="20"/>
      <c r="P13" s="20"/>
      <c r="Q13" s="20"/>
      <c r="R13" s="20"/>
      <c r="S13" s="20"/>
      <c r="T13" s="20"/>
      <c r="U13" s="20"/>
      <c r="V13" s="20"/>
      <c r="W13" s="20"/>
      <c r="X13" s="20"/>
      <c r="Y13" s="20"/>
    </row>
    <row r="14">
      <c r="A14" s="154" t="s">
        <v>317</v>
      </c>
      <c r="B14" s="154" t="s">
        <v>318</v>
      </c>
      <c r="C14" s="5" t="s">
        <v>319</v>
      </c>
      <c r="D14" s="5" t="s">
        <v>313</v>
      </c>
      <c r="E14" s="5"/>
      <c r="F14" s="5"/>
      <c r="G14" s="5"/>
      <c r="H14" s="5"/>
      <c r="I14" s="20"/>
      <c r="J14" s="20"/>
      <c r="K14" s="20"/>
      <c r="L14" s="20"/>
      <c r="M14" s="20"/>
      <c r="N14" s="20"/>
      <c r="O14" s="20"/>
      <c r="P14" s="20"/>
      <c r="Q14" s="20"/>
      <c r="R14" s="20"/>
      <c r="S14" s="20"/>
      <c r="T14" s="20"/>
      <c r="U14" s="20"/>
      <c r="V14" s="20"/>
      <c r="W14" s="20"/>
      <c r="X14" s="20"/>
      <c r="Y14" s="20"/>
    </row>
    <row r="15">
      <c r="A15" s="156" t="s">
        <v>320</v>
      </c>
      <c r="B15" s="156" t="s">
        <v>321</v>
      </c>
      <c r="C15" s="5" t="s">
        <v>322</v>
      </c>
      <c r="D15" s="5" t="s">
        <v>316</v>
      </c>
      <c r="E15" s="5"/>
      <c r="F15" s="5"/>
      <c r="G15" s="5"/>
      <c r="H15" s="102"/>
      <c r="I15" s="104"/>
      <c r="J15" s="104"/>
      <c r="K15" s="104"/>
      <c r="L15" s="104"/>
      <c r="M15" s="104"/>
      <c r="N15" s="104"/>
      <c r="O15" s="104"/>
      <c r="P15" s="104"/>
      <c r="Q15" s="104"/>
      <c r="R15" s="104"/>
      <c r="S15" s="104"/>
      <c r="T15" s="104"/>
      <c r="U15" s="20"/>
      <c r="V15" s="20"/>
      <c r="W15" s="20"/>
      <c r="X15" s="20"/>
      <c r="Y15" s="20"/>
    </row>
    <row r="16">
      <c r="A16" s="109" t="s">
        <v>323</v>
      </c>
      <c r="B16" s="109"/>
      <c r="C16" s="109" t="s">
        <v>324</v>
      </c>
      <c r="D16" s="109" t="s">
        <v>319</v>
      </c>
      <c r="E16" s="109"/>
      <c r="F16" s="109"/>
      <c r="G16" s="109"/>
      <c r="H16" s="109"/>
      <c r="I16" s="111"/>
      <c r="J16" s="111"/>
      <c r="K16" s="111"/>
      <c r="L16" s="111"/>
      <c r="M16" s="111"/>
      <c r="N16" s="111"/>
      <c r="O16" s="111"/>
      <c r="P16" s="111"/>
      <c r="Q16" s="111"/>
      <c r="R16" s="111"/>
      <c r="S16" s="111"/>
      <c r="T16" s="111"/>
      <c r="U16" s="20"/>
      <c r="V16" s="20"/>
      <c r="W16" s="20"/>
      <c r="X16" s="20"/>
      <c r="Y16" s="20"/>
    </row>
    <row r="17">
      <c r="A17" s="11" t="s">
        <v>325</v>
      </c>
      <c r="B17" s="11" t="s">
        <v>326</v>
      </c>
      <c r="C17" s="5" t="s">
        <v>327</v>
      </c>
      <c r="D17" s="5" t="s">
        <v>322</v>
      </c>
      <c r="E17" s="5"/>
      <c r="F17" s="5"/>
      <c r="G17" s="5"/>
      <c r="H17" s="5"/>
      <c r="I17" s="20"/>
      <c r="J17" s="20"/>
      <c r="K17" s="20"/>
      <c r="L17" s="20"/>
      <c r="M17" s="20"/>
      <c r="N17" s="20"/>
      <c r="O17" s="20"/>
      <c r="P17" s="20"/>
      <c r="Q17" s="20"/>
      <c r="R17" s="20"/>
      <c r="S17" s="20"/>
      <c r="T17" s="20"/>
      <c r="U17" s="20"/>
      <c r="V17" s="20"/>
      <c r="W17" s="20"/>
      <c r="X17" s="20"/>
      <c r="Y17" s="20"/>
    </row>
    <row r="18">
      <c r="A18" s="5" t="s">
        <v>328</v>
      </c>
      <c r="B18" s="5" t="s">
        <v>329</v>
      </c>
      <c r="C18" s="71">
        <v>1.0</v>
      </c>
      <c r="D18" s="71"/>
      <c r="E18" s="157"/>
      <c r="F18" s="158"/>
      <c r="G18" s="5"/>
      <c r="H18" s="158"/>
      <c r="I18" s="20"/>
      <c r="J18" s="134"/>
      <c r="K18" s="134"/>
      <c r="L18" s="20"/>
      <c r="M18" s="20"/>
      <c r="N18" s="20"/>
      <c r="O18" s="20"/>
      <c r="P18" s="20"/>
      <c r="Q18" s="20"/>
      <c r="R18" s="20"/>
      <c r="S18" s="20"/>
      <c r="T18" s="20"/>
      <c r="U18" s="20"/>
      <c r="V18" s="20"/>
      <c r="W18" s="20"/>
      <c r="X18" s="20"/>
      <c r="Y18" s="20"/>
    </row>
    <row r="19">
      <c r="A19" s="5" t="s">
        <v>330</v>
      </c>
      <c r="B19" s="5" t="s">
        <v>331</v>
      </c>
      <c r="C19" s="5" t="s">
        <v>332</v>
      </c>
      <c r="D19" s="5" t="s">
        <v>333</v>
      </c>
      <c r="E19" s="5"/>
      <c r="F19" s="5"/>
      <c r="G19" s="5"/>
      <c r="H19" s="5"/>
      <c r="I19" s="20"/>
      <c r="J19" s="20"/>
      <c r="K19" s="20"/>
      <c r="L19" s="20"/>
      <c r="M19" s="20"/>
      <c r="N19" s="20"/>
      <c r="O19" s="20"/>
      <c r="P19" s="20"/>
      <c r="Q19" s="20"/>
      <c r="R19" s="20"/>
      <c r="S19" s="20"/>
      <c r="T19" s="20"/>
      <c r="U19" s="20"/>
      <c r="V19" s="20"/>
      <c r="W19" s="20"/>
      <c r="X19" s="20"/>
      <c r="Y19" s="20"/>
    </row>
    <row r="20">
      <c r="A20" s="5" t="s">
        <v>334</v>
      </c>
      <c r="B20" s="5" t="s">
        <v>335</v>
      </c>
      <c r="C20" s="71"/>
      <c r="D20" s="71"/>
      <c r="E20" s="5"/>
      <c r="F20" s="5"/>
      <c r="G20" s="5"/>
      <c r="H20" s="5"/>
      <c r="I20" s="20"/>
      <c r="J20" s="20"/>
      <c r="K20" s="20"/>
      <c r="L20" s="20"/>
      <c r="M20" s="20"/>
      <c r="N20" s="20"/>
      <c r="O20" s="20"/>
      <c r="P20" s="20"/>
      <c r="Q20" s="20"/>
      <c r="R20" s="20"/>
      <c r="S20" s="20"/>
      <c r="T20" s="20"/>
      <c r="U20" s="20"/>
      <c r="V20" s="20"/>
      <c r="W20" s="20"/>
      <c r="X20" s="20"/>
      <c r="Y20" s="20"/>
    </row>
    <row r="21">
      <c r="A21" s="5" t="s">
        <v>336</v>
      </c>
      <c r="B21" s="5" t="s">
        <v>337</v>
      </c>
      <c r="C21" s="5" t="s">
        <v>338</v>
      </c>
      <c r="D21" s="5" t="s">
        <v>338</v>
      </c>
      <c r="E21" s="5"/>
      <c r="I21" s="20"/>
      <c r="J21" s="20"/>
      <c r="K21" s="20"/>
      <c r="L21" s="20"/>
      <c r="M21" s="20"/>
      <c r="N21" s="20"/>
      <c r="O21" s="20"/>
      <c r="P21" s="20"/>
      <c r="Q21" s="20"/>
      <c r="R21" s="20"/>
      <c r="S21" s="20"/>
      <c r="T21" s="20"/>
      <c r="U21" s="20"/>
      <c r="V21" s="20"/>
      <c r="W21" s="20"/>
      <c r="X21" s="20"/>
      <c r="Y21" s="20"/>
    </row>
    <row r="22">
      <c r="A22" s="5" t="s">
        <v>339</v>
      </c>
      <c r="B22" s="5" t="s">
        <v>340</v>
      </c>
      <c r="C22" s="5">
        <f t="shared" ref="C22:D22" si="1">1.058/10^6</f>
        <v>0.000001058</v>
      </c>
      <c r="D22" s="5">
        <f t="shared" si="1"/>
        <v>0.000001058</v>
      </c>
      <c r="E22" s="5"/>
      <c r="F22" s="5"/>
      <c r="G22" s="5"/>
      <c r="H22" s="5"/>
      <c r="I22" s="20"/>
      <c r="J22" s="20"/>
      <c r="K22" s="20"/>
      <c r="L22" s="20"/>
      <c r="M22" s="20"/>
      <c r="N22" s="20"/>
      <c r="O22" s="20"/>
      <c r="P22" s="20"/>
      <c r="Q22" s="20"/>
      <c r="R22" s="20"/>
      <c r="S22" s="20"/>
      <c r="T22" s="20"/>
      <c r="U22" s="20"/>
      <c r="V22" s="20"/>
      <c r="W22" s="20"/>
      <c r="X22" s="20"/>
      <c r="Y22" s="20"/>
    </row>
    <row r="23">
      <c r="A23" s="5" t="s">
        <v>341</v>
      </c>
      <c r="B23" s="5" t="s">
        <v>342</v>
      </c>
      <c r="C23" s="5" t="s">
        <v>309</v>
      </c>
      <c r="D23" s="5" t="s">
        <v>310</v>
      </c>
      <c r="E23" s="5"/>
      <c r="F23" s="5"/>
      <c r="G23" s="5"/>
      <c r="H23" s="5"/>
      <c r="I23" s="20"/>
      <c r="J23" s="20"/>
      <c r="K23" s="20"/>
      <c r="L23" s="20"/>
      <c r="M23" s="20"/>
      <c r="N23" s="20"/>
      <c r="O23" s="20"/>
      <c r="P23" s="20"/>
      <c r="Q23" s="20"/>
      <c r="R23" s="20"/>
      <c r="S23" s="20"/>
      <c r="T23" s="20"/>
      <c r="U23" s="20"/>
      <c r="V23" s="20"/>
      <c r="W23" s="20"/>
      <c r="X23" s="20"/>
      <c r="Y23" s="20"/>
    </row>
    <row r="24">
      <c r="A24" s="102" t="s">
        <v>343</v>
      </c>
      <c r="B24" s="102" t="s">
        <v>344</v>
      </c>
      <c r="C24" s="102" t="b">
        <v>0</v>
      </c>
      <c r="D24" s="102" t="b">
        <v>1</v>
      </c>
      <c r="E24" s="102"/>
      <c r="F24" s="102"/>
      <c r="G24" s="102"/>
      <c r="H24" s="102"/>
      <c r="I24" s="104"/>
      <c r="J24" s="104"/>
      <c r="K24" s="104"/>
      <c r="L24" s="104"/>
      <c r="M24" s="104"/>
      <c r="N24" s="104"/>
      <c r="O24" s="104"/>
      <c r="P24" s="104"/>
      <c r="Q24" s="104"/>
      <c r="R24" s="104"/>
      <c r="S24" s="104"/>
      <c r="T24" s="104"/>
      <c r="U24" s="20"/>
      <c r="V24" s="20"/>
      <c r="W24" s="20"/>
      <c r="X24" s="20"/>
      <c r="Y24" s="20"/>
    </row>
    <row r="25">
      <c r="A25" s="109" t="s">
        <v>345</v>
      </c>
      <c r="B25" s="109" t="s">
        <v>346</v>
      </c>
      <c r="C25" s="109"/>
      <c r="D25" s="109"/>
      <c r="E25" s="109"/>
      <c r="F25" s="109"/>
      <c r="G25" s="109"/>
      <c r="H25" s="109"/>
      <c r="I25" s="111"/>
      <c r="J25" s="111"/>
      <c r="K25" s="111"/>
      <c r="L25" s="111"/>
      <c r="M25" s="111"/>
      <c r="N25" s="111"/>
      <c r="O25" s="111"/>
      <c r="P25" s="111"/>
      <c r="Q25" s="111"/>
      <c r="R25" s="111"/>
      <c r="S25" s="111"/>
      <c r="T25" s="111"/>
      <c r="U25" s="20"/>
      <c r="V25" s="20"/>
      <c r="W25" s="20"/>
      <c r="X25" s="20"/>
      <c r="Y25" s="20"/>
    </row>
    <row r="26">
      <c r="A26" s="5" t="s">
        <v>347</v>
      </c>
      <c r="B26" s="5" t="s">
        <v>348</v>
      </c>
      <c r="C26" s="5"/>
      <c r="D26" s="5"/>
      <c r="E26" s="5"/>
      <c r="G26" s="5"/>
      <c r="H26" s="20"/>
      <c r="I26" s="20"/>
      <c r="J26" s="20"/>
      <c r="K26" s="20"/>
      <c r="L26" s="20"/>
      <c r="M26" s="20"/>
      <c r="N26" s="20"/>
      <c r="O26" s="20"/>
      <c r="P26" s="20"/>
      <c r="Q26" s="20"/>
      <c r="R26" s="20"/>
      <c r="S26" s="20"/>
      <c r="T26" s="20"/>
      <c r="U26" s="20"/>
      <c r="V26" s="20"/>
      <c r="W26" s="20"/>
      <c r="X26" s="20"/>
      <c r="Y26" s="20"/>
    </row>
    <row r="27">
      <c r="A27" s="5" t="s">
        <v>349</v>
      </c>
      <c r="B27" s="20"/>
      <c r="C27" s="5"/>
      <c r="D27" s="5"/>
      <c r="E27" s="5"/>
      <c r="G27" s="5"/>
      <c r="H27" s="20"/>
      <c r="I27" s="20"/>
      <c r="J27" s="20"/>
      <c r="K27" s="20"/>
      <c r="L27" s="20"/>
      <c r="M27" s="20"/>
      <c r="N27" s="20"/>
      <c r="O27" s="20"/>
      <c r="P27" s="20"/>
      <c r="Q27" s="20"/>
      <c r="R27" s="20"/>
      <c r="S27" s="20"/>
      <c r="T27" s="20"/>
      <c r="U27" s="20"/>
      <c r="V27" s="20"/>
      <c r="W27" s="20"/>
      <c r="X27" s="20"/>
      <c r="Y27" s="20"/>
    </row>
    <row r="28">
      <c r="A28" s="5" t="s">
        <v>350</v>
      </c>
      <c r="B28" s="5" t="s">
        <v>351</v>
      </c>
      <c r="C28" s="158"/>
      <c r="D28" s="5"/>
      <c r="E28" s="5"/>
      <c r="G28" s="5"/>
      <c r="H28" s="20"/>
      <c r="I28" s="20"/>
      <c r="J28" s="20"/>
      <c r="K28" s="20"/>
      <c r="L28" s="20"/>
      <c r="M28" s="20"/>
      <c r="N28" s="20"/>
      <c r="O28" s="20"/>
      <c r="P28" s="20"/>
      <c r="Q28" s="20"/>
      <c r="R28" s="20"/>
      <c r="S28" s="20"/>
      <c r="T28" s="20"/>
      <c r="U28" s="20"/>
      <c r="V28" s="20"/>
      <c r="W28" s="20"/>
      <c r="X28" s="20"/>
      <c r="Y28" s="20"/>
    </row>
    <row r="29">
      <c r="A29" s="5" t="s">
        <v>352</v>
      </c>
      <c r="B29" s="5" t="s">
        <v>353</v>
      </c>
      <c r="C29" s="5"/>
      <c r="D29" s="5"/>
      <c r="E29" s="5"/>
      <c r="G29" s="5"/>
      <c r="H29" s="20"/>
      <c r="I29" s="20"/>
      <c r="J29" s="20"/>
      <c r="K29" s="20"/>
      <c r="L29" s="20"/>
      <c r="M29" s="20"/>
      <c r="N29" s="20"/>
      <c r="O29" s="20"/>
      <c r="P29" s="20"/>
      <c r="Q29" s="20"/>
      <c r="R29" s="20"/>
      <c r="S29" s="20"/>
      <c r="T29" s="20"/>
      <c r="U29" s="20"/>
      <c r="V29" s="20"/>
      <c r="W29" s="20"/>
      <c r="X29" s="20"/>
      <c r="Y29" s="20"/>
    </row>
    <row r="30">
      <c r="A30" s="5" t="s">
        <v>354</v>
      </c>
      <c r="B30" s="20"/>
      <c r="C30" s="5"/>
      <c r="D30" s="5"/>
      <c r="E30" s="5"/>
      <c r="G30" s="5"/>
      <c r="H30" s="20"/>
      <c r="I30" s="20"/>
      <c r="J30" s="20"/>
      <c r="K30" s="20"/>
      <c r="L30" s="20"/>
      <c r="M30" s="20"/>
      <c r="N30" s="20"/>
      <c r="O30" s="20"/>
      <c r="P30" s="20"/>
      <c r="Q30" s="20"/>
      <c r="R30" s="20"/>
      <c r="S30" s="20"/>
      <c r="T30" s="20"/>
      <c r="U30" s="20"/>
      <c r="V30" s="20"/>
      <c r="W30" s="20"/>
      <c r="X30" s="20"/>
      <c r="Y30" s="20"/>
    </row>
    <row r="31">
      <c r="A31" s="5" t="s">
        <v>355</v>
      </c>
      <c r="B31" s="5" t="s">
        <v>346</v>
      </c>
      <c r="C31" s="6"/>
      <c r="D31" s="5"/>
      <c r="E31" s="20"/>
      <c r="F31" s="20"/>
      <c r="H31" s="20"/>
      <c r="I31" s="20"/>
      <c r="J31" s="20"/>
      <c r="K31" s="20"/>
      <c r="L31" s="20"/>
      <c r="M31" s="20"/>
      <c r="N31" s="20"/>
      <c r="O31" s="20"/>
      <c r="P31" s="20"/>
      <c r="Q31" s="20"/>
      <c r="R31" s="20"/>
      <c r="S31" s="20"/>
      <c r="T31" s="20"/>
      <c r="U31" s="20"/>
      <c r="V31" s="20"/>
      <c r="W31" s="20"/>
      <c r="X31" s="20"/>
      <c r="Y31" s="20"/>
    </row>
    <row r="32">
      <c r="A32" s="5" t="s">
        <v>356</v>
      </c>
      <c r="B32" s="5" t="s">
        <v>348</v>
      </c>
      <c r="C32" s="6"/>
      <c r="D32" s="5"/>
      <c r="E32" s="20"/>
      <c r="F32" s="20"/>
      <c r="H32" s="20"/>
      <c r="I32" s="20"/>
      <c r="J32" s="20"/>
      <c r="K32" s="20"/>
      <c r="L32" s="20"/>
      <c r="M32" s="20"/>
      <c r="N32" s="20"/>
      <c r="O32" s="20"/>
      <c r="P32" s="20"/>
      <c r="Q32" s="20"/>
      <c r="R32" s="20"/>
      <c r="S32" s="20"/>
      <c r="T32" s="20"/>
      <c r="U32" s="20"/>
      <c r="V32" s="20"/>
      <c r="W32" s="20"/>
      <c r="X32" s="20"/>
      <c r="Y32" s="20"/>
    </row>
    <row r="33">
      <c r="A33" s="5" t="s">
        <v>357</v>
      </c>
      <c r="B33" s="20"/>
      <c r="C33" s="5"/>
      <c r="D33" s="5"/>
      <c r="E33" s="20"/>
      <c r="F33" s="20"/>
      <c r="H33" s="20"/>
      <c r="I33" s="20"/>
      <c r="J33" s="20"/>
      <c r="K33" s="20"/>
      <c r="L33" s="20"/>
      <c r="M33" s="20"/>
      <c r="N33" s="20"/>
      <c r="O33" s="20"/>
      <c r="P33" s="20"/>
      <c r="Q33" s="20"/>
      <c r="R33" s="20"/>
      <c r="S33" s="20"/>
      <c r="T33" s="20"/>
      <c r="U33" s="20"/>
      <c r="V33" s="20"/>
      <c r="W33" s="20"/>
      <c r="X33" s="20"/>
      <c r="Y33" s="20"/>
    </row>
    <row r="34">
      <c r="A34" s="5" t="s">
        <v>358</v>
      </c>
      <c r="B34" s="5" t="s">
        <v>351</v>
      </c>
      <c r="C34" s="20"/>
      <c r="D34" s="5"/>
      <c r="E34" s="20"/>
      <c r="F34" s="20"/>
      <c r="H34" s="20"/>
      <c r="I34" s="20"/>
      <c r="J34" s="20"/>
      <c r="K34" s="20"/>
      <c r="L34" s="20"/>
      <c r="M34" s="20"/>
      <c r="N34" s="20"/>
      <c r="O34" s="20"/>
      <c r="P34" s="20"/>
      <c r="Q34" s="20"/>
      <c r="R34" s="20"/>
      <c r="S34" s="20"/>
      <c r="T34" s="20"/>
      <c r="U34" s="20"/>
      <c r="V34" s="20"/>
      <c r="W34" s="20"/>
      <c r="X34" s="20"/>
      <c r="Y34" s="20"/>
    </row>
    <row r="35">
      <c r="A35" s="5" t="s">
        <v>359</v>
      </c>
      <c r="B35" s="5" t="s">
        <v>353</v>
      </c>
      <c r="C35" s="20"/>
      <c r="D35" s="5"/>
      <c r="E35" s="20"/>
      <c r="F35" s="20"/>
      <c r="G35" s="20"/>
      <c r="H35" s="20"/>
      <c r="I35" s="20"/>
      <c r="J35" s="20"/>
      <c r="K35" s="20"/>
      <c r="L35" s="20"/>
      <c r="M35" s="20"/>
      <c r="N35" s="20"/>
      <c r="O35" s="20"/>
      <c r="P35" s="20"/>
      <c r="Q35" s="20"/>
      <c r="R35" s="20"/>
      <c r="S35" s="20"/>
      <c r="T35" s="20"/>
      <c r="U35" s="20"/>
      <c r="V35" s="20"/>
      <c r="W35" s="20"/>
      <c r="X35" s="20"/>
      <c r="Y35" s="20"/>
    </row>
    <row r="36">
      <c r="A36" s="5" t="s">
        <v>360</v>
      </c>
      <c r="B36" s="20"/>
      <c r="C36" s="20"/>
      <c r="D36" s="5"/>
      <c r="E36" s="20"/>
      <c r="F36" s="20"/>
      <c r="G36" s="20"/>
      <c r="H36" s="20"/>
      <c r="I36" s="20"/>
      <c r="J36" s="20"/>
      <c r="K36" s="20"/>
      <c r="L36" s="20"/>
      <c r="M36" s="20"/>
      <c r="N36" s="20"/>
      <c r="O36" s="20"/>
      <c r="P36" s="20"/>
      <c r="Q36" s="20"/>
      <c r="R36" s="20"/>
      <c r="S36" s="20"/>
      <c r="T36" s="20"/>
      <c r="U36" s="20"/>
      <c r="V36" s="20"/>
      <c r="W36" s="20"/>
      <c r="X36" s="20"/>
      <c r="Y36" s="20"/>
    </row>
    <row r="37">
      <c r="A37" s="5" t="s">
        <v>361</v>
      </c>
      <c r="B37" s="5" t="s">
        <v>346</v>
      </c>
      <c r="C37" s="20"/>
      <c r="D37" s="20"/>
      <c r="I37" s="20"/>
      <c r="J37" s="20"/>
      <c r="K37" s="20"/>
      <c r="L37" s="20"/>
      <c r="M37" s="20"/>
      <c r="N37" s="20"/>
      <c r="O37" s="20"/>
      <c r="P37" s="20"/>
      <c r="Q37" s="20"/>
      <c r="R37" s="20"/>
      <c r="S37" s="20"/>
      <c r="T37" s="20"/>
      <c r="U37" s="20"/>
      <c r="V37" s="20"/>
      <c r="W37" s="20"/>
      <c r="X37" s="20"/>
      <c r="Y37" s="20"/>
    </row>
    <row r="38">
      <c r="A38" s="5" t="s">
        <v>362</v>
      </c>
      <c r="B38" s="5" t="s">
        <v>348</v>
      </c>
      <c r="C38" s="20"/>
      <c r="D38" s="20"/>
      <c r="I38" s="20"/>
      <c r="J38" s="20"/>
      <c r="K38" s="20"/>
      <c r="L38" s="20"/>
      <c r="M38" s="20"/>
      <c r="N38" s="20"/>
      <c r="O38" s="20"/>
      <c r="P38" s="20"/>
      <c r="Q38" s="20"/>
      <c r="R38" s="20"/>
      <c r="S38" s="20"/>
      <c r="T38" s="20"/>
      <c r="U38" s="20"/>
      <c r="V38" s="20"/>
      <c r="W38" s="20"/>
      <c r="X38" s="20"/>
      <c r="Y38" s="20"/>
    </row>
    <row r="39">
      <c r="A39" s="5" t="s">
        <v>363</v>
      </c>
      <c r="B39" s="20"/>
      <c r="C39" s="20"/>
      <c r="D39" s="20"/>
      <c r="I39" s="20"/>
      <c r="J39" s="20"/>
      <c r="K39" s="20"/>
      <c r="L39" s="20"/>
      <c r="M39" s="20"/>
      <c r="N39" s="20"/>
      <c r="O39" s="20"/>
      <c r="P39" s="20"/>
      <c r="Q39" s="20"/>
      <c r="R39" s="20"/>
      <c r="S39" s="20"/>
      <c r="T39" s="20"/>
      <c r="U39" s="20"/>
      <c r="V39" s="20"/>
      <c r="W39" s="20"/>
      <c r="X39" s="20"/>
      <c r="Y39" s="20"/>
    </row>
    <row r="40">
      <c r="A40" s="5" t="s">
        <v>364</v>
      </c>
      <c r="B40" s="5" t="s">
        <v>351</v>
      </c>
      <c r="C40" s="20"/>
      <c r="D40" s="20"/>
      <c r="I40" s="20"/>
      <c r="J40" s="20"/>
      <c r="K40" s="20"/>
      <c r="L40" s="20"/>
      <c r="M40" s="20"/>
      <c r="N40" s="20"/>
      <c r="O40" s="20"/>
      <c r="P40" s="20"/>
      <c r="Q40" s="20"/>
      <c r="R40" s="20"/>
      <c r="S40" s="20"/>
      <c r="T40" s="20"/>
      <c r="U40" s="20"/>
      <c r="V40" s="20"/>
      <c r="W40" s="20"/>
      <c r="X40" s="20"/>
      <c r="Y40" s="20"/>
    </row>
    <row r="41">
      <c r="A41" s="5" t="s">
        <v>365</v>
      </c>
      <c r="B41" s="5" t="s">
        <v>353</v>
      </c>
      <c r="C41" s="20"/>
      <c r="D41" s="20"/>
      <c r="I41" s="20"/>
      <c r="J41" s="20"/>
      <c r="K41" s="20"/>
      <c r="L41" s="20"/>
      <c r="M41" s="20"/>
      <c r="N41" s="20"/>
      <c r="O41" s="20"/>
      <c r="P41" s="20"/>
      <c r="Q41" s="20"/>
      <c r="R41" s="20"/>
      <c r="S41" s="20"/>
      <c r="T41" s="20"/>
      <c r="U41" s="20"/>
      <c r="V41" s="20"/>
      <c r="W41" s="20"/>
      <c r="X41" s="20"/>
      <c r="Y41" s="20"/>
    </row>
    <row r="42">
      <c r="A42" s="102" t="s">
        <v>366</v>
      </c>
      <c r="B42" s="102"/>
      <c r="C42" s="102"/>
      <c r="D42" s="102"/>
      <c r="E42" s="102"/>
      <c r="F42" s="102"/>
      <c r="G42" s="102"/>
      <c r="H42" s="102"/>
      <c r="I42" s="104"/>
      <c r="J42" s="104"/>
      <c r="K42" s="104"/>
      <c r="L42" s="104"/>
      <c r="M42" s="104"/>
      <c r="N42" s="104"/>
      <c r="O42" s="104"/>
      <c r="P42" s="104"/>
      <c r="Q42" s="104"/>
      <c r="R42" s="104"/>
      <c r="S42" s="104"/>
      <c r="T42" s="104"/>
      <c r="U42" s="20"/>
      <c r="V42" s="20"/>
      <c r="W42" s="20"/>
      <c r="X42" s="20"/>
      <c r="Y42" s="20"/>
    </row>
    <row r="43">
      <c r="A43" s="109" t="s">
        <v>367</v>
      </c>
      <c r="B43" s="109" t="s">
        <v>368</v>
      </c>
      <c r="C43" s="109" t="s">
        <v>319</v>
      </c>
      <c r="D43" s="109" t="s">
        <v>369</v>
      </c>
      <c r="E43" s="109"/>
      <c r="F43" s="109"/>
      <c r="G43" s="109"/>
      <c r="H43" s="109"/>
      <c r="I43" s="111"/>
      <c r="J43" s="111"/>
      <c r="K43" s="111"/>
      <c r="L43" s="111"/>
      <c r="M43" s="111"/>
      <c r="N43" s="111"/>
      <c r="O43" s="111"/>
      <c r="P43" s="111"/>
      <c r="Q43" s="111"/>
      <c r="R43" s="111"/>
      <c r="S43" s="111"/>
      <c r="T43" s="111"/>
      <c r="U43" s="20"/>
      <c r="V43" s="20"/>
      <c r="W43" s="20"/>
      <c r="X43" s="20"/>
      <c r="Y43" s="20"/>
    </row>
    <row r="44">
      <c r="A44" s="5" t="s">
        <v>370</v>
      </c>
      <c r="B44" s="5" t="s">
        <v>371</v>
      </c>
      <c r="C44" s="5" t="s">
        <v>105</v>
      </c>
      <c r="D44" s="5" t="s">
        <v>372</v>
      </c>
      <c r="E44" s="5"/>
      <c r="F44" s="5"/>
      <c r="G44" s="5"/>
      <c r="H44" s="5"/>
      <c r="I44" s="20"/>
      <c r="J44" s="20"/>
      <c r="K44" s="20"/>
      <c r="L44" s="20"/>
      <c r="M44" s="20"/>
      <c r="N44" s="20"/>
      <c r="O44" s="20"/>
      <c r="P44" s="20"/>
      <c r="Q44" s="20"/>
      <c r="R44" s="20"/>
      <c r="S44" s="20"/>
      <c r="T44" s="20"/>
      <c r="U44" s="20"/>
      <c r="V44" s="20"/>
      <c r="W44" s="20"/>
      <c r="X44" s="20"/>
      <c r="Y44" s="20"/>
    </row>
    <row r="45">
      <c r="A45" s="5" t="s">
        <v>373</v>
      </c>
      <c r="B45" s="11" t="s">
        <v>374</v>
      </c>
      <c r="C45" s="71">
        <v>1.0</v>
      </c>
      <c r="D45" s="159"/>
      <c r="E45" s="5"/>
      <c r="F45" s="5"/>
      <c r="G45" s="5"/>
      <c r="H45" s="5"/>
      <c r="I45" s="5"/>
      <c r="J45" s="20"/>
      <c r="K45" s="20"/>
      <c r="L45" s="20"/>
      <c r="M45" s="20"/>
      <c r="N45" s="20"/>
      <c r="O45" s="20"/>
      <c r="P45" s="20"/>
      <c r="Q45" s="20"/>
      <c r="R45" s="20"/>
      <c r="S45" s="20"/>
      <c r="T45" s="20"/>
    </row>
    <row r="46">
      <c r="A46" s="5" t="s">
        <v>375</v>
      </c>
      <c r="B46" s="11" t="s">
        <v>376</v>
      </c>
      <c r="C46" s="71">
        <v>1.0</v>
      </c>
      <c r="D46" s="159"/>
      <c r="E46" s="5"/>
      <c r="F46" s="5"/>
      <c r="G46" s="5"/>
      <c r="H46" s="5"/>
      <c r="I46" s="5"/>
      <c r="J46" s="20"/>
      <c r="K46" s="20"/>
      <c r="L46" s="20"/>
      <c r="M46" s="20"/>
      <c r="N46" s="20"/>
      <c r="O46" s="20"/>
      <c r="P46" s="20"/>
      <c r="Q46" s="20"/>
      <c r="R46" s="20"/>
      <c r="S46" s="20"/>
      <c r="T46" s="20"/>
    </row>
    <row r="47">
      <c r="A47" s="5" t="s">
        <v>377</v>
      </c>
      <c r="B47" s="5" t="s">
        <v>378</v>
      </c>
      <c r="C47" s="5" t="s">
        <v>322</v>
      </c>
      <c r="D47" s="5" t="s">
        <v>379</v>
      </c>
      <c r="E47" s="5"/>
      <c r="F47" s="5"/>
      <c r="G47" s="5"/>
      <c r="H47" s="5"/>
      <c r="I47" s="5"/>
      <c r="J47" s="20"/>
      <c r="K47" s="20"/>
      <c r="L47" s="20"/>
      <c r="M47" s="20"/>
      <c r="N47" s="20"/>
      <c r="O47" s="20"/>
      <c r="P47" s="20"/>
      <c r="Q47" s="20"/>
      <c r="R47" s="20"/>
      <c r="S47" s="20"/>
      <c r="T47" s="20"/>
      <c r="U47" s="20"/>
      <c r="V47" s="20"/>
      <c r="W47" s="20"/>
      <c r="X47" s="20"/>
      <c r="Y47" s="20"/>
    </row>
    <row r="48">
      <c r="A48" s="5" t="s">
        <v>380</v>
      </c>
      <c r="B48" s="20"/>
      <c r="C48" s="5" t="s">
        <v>332</v>
      </c>
      <c r="D48" s="5" t="s">
        <v>381</v>
      </c>
      <c r="E48" s="5"/>
      <c r="F48" s="5"/>
      <c r="G48" s="5"/>
      <c r="H48" s="5"/>
      <c r="I48" s="5"/>
      <c r="J48" s="20"/>
      <c r="K48" s="20"/>
      <c r="L48" s="20"/>
      <c r="M48" s="20"/>
      <c r="N48" s="20"/>
      <c r="O48" s="20"/>
      <c r="P48" s="20"/>
      <c r="Q48" s="20"/>
      <c r="R48" s="20"/>
      <c r="S48" s="20"/>
      <c r="T48" s="20"/>
      <c r="U48" s="20"/>
      <c r="V48" s="20"/>
      <c r="W48" s="20"/>
      <c r="X48" s="20"/>
      <c r="Y48" s="20"/>
    </row>
    <row r="49">
      <c r="A49" s="5" t="s">
        <v>382</v>
      </c>
      <c r="B49" s="20"/>
      <c r="C49" s="5"/>
      <c r="D49" s="20"/>
      <c r="E49" s="5"/>
      <c r="F49" s="5"/>
      <c r="G49" s="5"/>
      <c r="H49" s="5"/>
      <c r="I49" s="5"/>
      <c r="J49" s="20"/>
      <c r="K49" s="20"/>
      <c r="L49" s="20"/>
      <c r="M49" s="20"/>
      <c r="N49" s="20"/>
      <c r="O49" s="20"/>
      <c r="P49" s="20"/>
      <c r="Q49" s="20"/>
      <c r="R49" s="20"/>
      <c r="S49" s="20"/>
      <c r="T49" s="20"/>
      <c r="U49" s="20"/>
      <c r="V49" s="20"/>
      <c r="W49" s="20"/>
      <c r="X49" s="20"/>
      <c r="Y49" s="20"/>
    </row>
    <row r="50">
      <c r="A50" s="5" t="s">
        <v>383</v>
      </c>
      <c r="B50" s="10"/>
      <c r="C50" s="5" t="s">
        <v>384</v>
      </c>
      <c r="D50" s="5" t="s">
        <v>384</v>
      </c>
      <c r="E50" s="5"/>
      <c r="F50" s="5"/>
      <c r="G50" s="5"/>
      <c r="H50" s="5"/>
      <c r="I50" s="5"/>
      <c r="J50" s="20"/>
      <c r="K50" s="20"/>
      <c r="L50" s="20"/>
      <c r="M50" s="20"/>
      <c r="N50" s="20"/>
      <c r="O50" s="20"/>
      <c r="P50" s="20"/>
      <c r="Q50" s="20"/>
      <c r="R50" s="20"/>
      <c r="S50" s="20"/>
      <c r="T50" s="20"/>
      <c r="U50" s="20"/>
      <c r="V50" s="20"/>
      <c r="W50" s="20"/>
      <c r="X50" s="20"/>
      <c r="Y50" s="20"/>
    </row>
    <row r="51">
      <c r="A51" s="5" t="s">
        <v>385</v>
      </c>
      <c r="B51" s="5" t="s">
        <v>340</v>
      </c>
      <c r="C51" s="71">
        <f>1.058/10^6</f>
        <v>0.000001058</v>
      </c>
      <c r="D51" s="71">
        <v>1.25E-6</v>
      </c>
      <c r="E51" s="5"/>
      <c r="F51" s="5"/>
      <c r="G51" s="5"/>
      <c r="H51" s="5"/>
      <c r="I51" s="20"/>
      <c r="J51" s="20"/>
      <c r="K51" s="20"/>
      <c r="L51" s="20"/>
      <c r="M51" s="20"/>
      <c r="N51" s="20"/>
      <c r="O51" s="20"/>
      <c r="P51" s="20"/>
      <c r="Q51" s="20"/>
      <c r="R51" s="20"/>
      <c r="S51" s="20"/>
      <c r="T51" s="20"/>
      <c r="U51" s="20"/>
      <c r="V51" s="20"/>
      <c r="W51" s="20"/>
      <c r="X51" s="20"/>
      <c r="Y51" s="20"/>
    </row>
    <row r="52">
      <c r="A52" s="5" t="s">
        <v>386</v>
      </c>
      <c r="B52" s="5" t="s">
        <v>342</v>
      </c>
      <c r="C52" s="5" t="s">
        <v>309</v>
      </c>
      <c r="D52" s="5" t="s">
        <v>310</v>
      </c>
      <c r="E52" s="5"/>
      <c r="F52" s="5"/>
      <c r="G52" s="5"/>
      <c r="H52" s="5"/>
      <c r="I52" s="20"/>
      <c r="J52" s="20"/>
      <c r="K52" s="20"/>
      <c r="L52" s="20"/>
      <c r="M52" s="20"/>
      <c r="N52" s="20"/>
      <c r="O52" s="20"/>
      <c r="P52" s="20"/>
      <c r="Q52" s="20"/>
      <c r="R52" s="20"/>
      <c r="S52" s="20"/>
      <c r="T52" s="20"/>
      <c r="U52" s="20"/>
      <c r="V52" s="20"/>
      <c r="W52" s="20"/>
      <c r="X52" s="20"/>
      <c r="Y52" s="20"/>
    </row>
    <row r="53">
      <c r="A53" s="102" t="s">
        <v>387</v>
      </c>
      <c r="B53" s="102" t="s">
        <v>388</v>
      </c>
      <c r="C53" s="102" t="b">
        <v>1</v>
      </c>
      <c r="D53" s="102" t="b">
        <v>0</v>
      </c>
      <c r="E53" s="102"/>
      <c r="F53" s="102"/>
      <c r="G53" s="102"/>
      <c r="H53" s="102"/>
      <c r="I53" s="104"/>
      <c r="J53" s="104"/>
      <c r="K53" s="104"/>
      <c r="L53" s="104"/>
      <c r="M53" s="104"/>
      <c r="N53" s="104"/>
      <c r="O53" s="104"/>
      <c r="P53" s="104"/>
      <c r="Q53" s="104"/>
      <c r="R53" s="104"/>
      <c r="S53" s="104"/>
      <c r="T53" s="104"/>
      <c r="U53" s="20"/>
      <c r="V53" s="20"/>
      <c r="W53" s="20"/>
      <c r="X53" s="20"/>
      <c r="Y53" s="20"/>
    </row>
    <row r="54">
      <c r="A54" s="109" t="s">
        <v>389</v>
      </c>
      <c r="B54" s="109"/>
      <c r="C54" s="109"/>
      <c r="D54" s="5"/>
      <c r="E54" s="109"/>
      <c r="F54" s="109"/>
      <c r="G54" s="109"/>
      <c r="H54" s="109"/>
      <c r="I54" s="111"/>
      <c r="J54" s="111"/>
      <c r="K54" s="111"/>
      <c r="L54" s="111"/>
      <c r="M54" s="111"/>
      <c r="N54" s="111"/>
      <c r="O54" s="111"/>
      <c r="P54" s="111"/>
      <c r="Q54" s="111"/>
      <c r="R54" s="111"/>
      <c r="S54" s="111"/>
      <c r="T54" s="111"/>
      <c r="U54" s="20"/>
      <c r="V54" s="20"/>
      <c r="W54" s="20"/>
      <c r="X54" s="20"/>
      <c r="Y54" s="20"/>
    </row>
    <row r="55">
      <c r="A55" s="5" t="s">
        <v>390</v>
      </c>
      <c r="B55" s="20"/>
      <c r="C55" s="5"/>
      <c r="D55" s="5" t="s">
        <v>391</v>
      </c>
      <c r="E55" s="5"/>
      <c r="G55" s="5"/>
      <c r="H55" s="5"/>
      <c r="I55" s="5"/>
      <c r="J55" s="20"/>
      <c r="K55" s="20"/>
      <c r="L55" s="20"/>
      <c r="M55" s="20"/>
      <c r="N55" s="20"/>
      <c r="O55" s="20"/>
      <c r="P55" s="20"/>
      <c r="Q55" s="20"/>
      <c r="R55" s="20"/>
      <c r="S55" s="20"/>
      <c r="T55" s="20"/>
      <c r="U55" s="20"/>
      <c r="V55" s="20"/>
      <c r="W55" s="20"/>
      <c r="X55" s="20"/>
      <c r="Y55" s="20"/>
    </row>
    <row r="56">
      <c r="A56" s="5" t="s">
        <v>392</v>
      </c>
      <c r="B56" s="20"/>
      <c r="C56" s="5"/>
      <c r="D56" s="20"/>
      <c r="E56" s="5"/>
      <c r="G56" s="5"/>
      <c r="H56" s="5"/>
      <c r="I56" s="5"/>
      <c r="J56" s="20"/>
      <c r="K56" s="20"/>
      <c r="L56" s="20"/>
      <c r="M56" s="20"/>
      <c r="N56" s="20"/>
      <c r="O56" s="20"/>
      <c r="P56" s="20"/>
      <c r="Q56" s="20"/>
      <c r="R56" s="20"/>
      <c r="S56" s="20"/>
      <c r="T56" s="20"/>
      <c r="U56" s="20"/>
      <c r="V56" s="20"/>
      <c r="W56" s="20"/>
      <c r="X56" s="20"/>
      <c r="Y56" s="20"/>
    </row>
    <row r="57">
      <c r="A57" s="5" t="s">
        <v>393</v>
      </c>
      <c r="B57" s="20"/>
      <c r="C57" s="5"/>
      <c r="D57" s="5"/>
      <c r="E57" s="5"/>
      <c r="G57" s="5"/>
      <c r="H57" s="5"/>
      <c r="I57" s="5"/>
      <c r="J57" s="20"/>
      <c r="K57" s="20"/>
      <c r="L57" s="20"/>
      <c r="M57" s="20"/>
      <c r="N57" s="20"/>
      <c r="O57" s="20"/>
      <c r="P57" s="20"/>
      <c r="Q57" s="20"/>
      <c r="R57" s="20"/>
      <c r="S57" s="20"/>
      <c r="T57" s="20"/>
      <c r="U57" s="20"/>
      <c r="V57" s="20"/>
      <c r="W57" s="20"/>
      <c r="X57" s="20"/>
      <c r="Y57" s="20"/>
    </row>
    <row r="58">
      <c r="A58" s="5" t="s">
        <v>394</v>
      </c>
      <c r="B58" s="20"/>
      <c r="C58" s="5"/>
      <c r="D58" s="5"/>
      <c r="E58" s="5"/>
      <c r="G58" s="5"/>
      <c r="H58" s="5"/>
      <c r="I58" s="5"/>
      <c r="J58" s="20"/>
      <c r="K58" s="20"/>
      <c r="L58" s="20"/>
      <c r="M58" s="20"/>
      <c r="N58" s="20"/>
      <c r="O58" s="20"/>
      <c r="P58" s="20"/>
      <c r="Q58" s="20"/>
      <c r="R58" s="20"/>
      <c r="S58" s="20"/>
      <c r="T58" s="20"/>
      <c r="U58" s="20"/>
      <c r="V58" s="20"/>
      <c r="W58" s="20"/>
      <c r="X58" s="20"/>
      <c r="Y58" s="20"/>
    </row>
    <row r="59">
      <c r="A59" s="5" t="s">
        <v>395</v>
      </c>
      <c r="B59" s="20"/>
      <c r="C59" s="5"/>
      <c r="D59" s="5"/>
      <c r="E59" s="5"/>
      <c r="G59" s="5"/>
      <c r="H59" s="5"/>
      <c r="I59" s="20"/>
      <c r="J59" s="20"/>
      <c r="K59" s="20"/>
      <c r="L59" s="20"/>
      <c r="M59" s="20"/>
      <c r="N59" s="20"/>
      <c r="O59" s="20"/>
      <c r="P59" s="20"/>
      <c r="Q59" s="20"/>
      <c r="R59" s="20"/>
      <c r="S59" s="20"/>
      <c r="T59" s="20"/>
      <c r="U59" s="20"/>
      <c r="V59" s="20"/>
      <c r="W59" s="20"/>
      <c r="X59" s="20"/>
      <c r="Y59" s="20"/>
    </row>
    <row r="60">
      <c r="A60" s="5" t="s">
        <v>396</v>
      </c>
      <c r="B60" s="20"/>
      <c r="C60" s="5"/>
      <c r="D60" s="5"/>
      <c r="E60" s="20"/>
      <c r="F60" s="20"/>
      <c r="G60" s="20"/>
      <c r="H60" s="20"/>
      <c r="I60" s="20"/>
      <c r="J60" s="20"/>
      <c r="K60" s="20"/>
      <c r="L60" s="20"/>
      <c r="M60" s="20"/>
      <c r="N60" s="20"/>
      <c r="O60" s="20"/>
      <c r="P60" s="20"/>
      <c r="Q60" s="20"/>
      <c r="R60" s="20"/>
      <c r="S60" s="20"/>
      <c r="T60" s="20"/>
      <c r="U60" s="20"/>
      <c r="V60" s="20"/>
      <c r="W60" s="20"/>
      <c r="X60" s="20"/>
      <c r="Y60" s="20"/>
    </row>
    <row r="61">
      <c r="A61" s="5" t="s">
        <v>397</v>
      </c>
      <c r="B61" s="20"/>
      <c r="C61" s="5"/>
      <c r="D61" s="20"/>
      <c r="E61" s="20"/>
      <c r="F61" s="20"/>
      <c r="G61" s="20"/>
      <c r="H61" s="20"/>
      <c r="I61" s="20"/>
      <c r="J61" s="20"/>
      <c r="K61" s="20"/>
      <c r="L61" s="20"/>
      <c r="M61" s="20"/>
      <c r="N61" s="20"/>
      <c r="O61" s="20"/>
      <c r="P61" s="20"/>
      <c r="Q61" s="20"/>
      <c r="R61" s="20"/>
      <c r="S61" s="20"/>
      <c r="T61" s="20"/>
      <c r="U61" s="20"/>
      <c r="V61" s="20"/>
      <c r="W61" s="20"/>
      <c r="X61" s="20"/>
      <c r="Y61" s="20"/>
    </row>
    <row r="62">
      <c r="A62" s="5" t="s">
        <v>398</v>
      </c>
      <c r="B62" s="20"/>
      <c r="C62" s="5"/>
      <c r="D62" s="20"/>
      <c r="E62" s="20"/>
      <c r="F62" s="20"/>
      <c r="G62" s="20"/>
      <c r="H62" s="20"/>
      <c r="I62" s="20"/>
      <c r="J62" s="20"/>
      <c r="K62" s="20"/>
      <c r="L62" s="20"/>
      <c r="M62" s="20"/>
      <c r="N62" s="20"/>
      <c r="O62" s="20"/>
      <c r="P62" s="20"/>
      <c r="Q62" s="20"/>
      <c r="R62" s="20"/>
      <c r="S62" s="20"/>
      <c r="T62" s="20"/>
      <c r="U62" s="20"/>
      <c r="V62" s="20"/>
      <c r="W62" s="20"/>
      <c r="X62" s="20"/>
      <c r="Y62" s="20"/>
    </row>
    <row r="63">
      <c r="A63" s="5" t="s">
        <v>399</v>
      </c>
      <c r="B63" s="20"/>
      <c r="C63" s="5"/>
      <c r="D63" s="20"/>
      <c r="E63" s="20"/>
      <c r="F63" s="20"/>
      <c r="G63" s="20"/>
      <c r="H63" s="20"/>
      <c r="I63" s="20"/>
      <c r="J63" s="20"/>
      <c r="K63" s="20"/>
      <c r="L63" s="20"/>
      <c r="M63" s="20"/>
      <c r="N63" s="20"/>
      <c r="O63" s="20"/>
      <c r="P63" s="20"/>
      <c r="Q63" s="20"/>
      <c r="R63" s="20"/>
      <c r="S63" s="20"/>
      <c r="T63" s="20"/>
      <c r="U63" s="20"/>
      <c r="V63" s="20"/>
      <c r="W63" s="20"/>
      <c r="X63" s="20"/>
      <c r="Y63" s="20"/>
    </row>
    <row r="64">
      <c r="A64" s="5" t="s">
        <v>400</v>
      </c>
      <c r="B64" s="20"/>
      <c r="C64" s="5"/>
      <c r="D64" s="20"/>
      <c r="E64" s="20"/>
      <c r="F64" s="20"/>
      <c r="G64" s="20"/>
      <c r="H64" s="20"/>
      <c r="I64" s="20"/>
      <c r="J64" s="20"/>
      <c r="K64" s="20"/>
      <c r="L64" s="20"/>
      <c r="M64" s="20"/>
      <c r="N64" s="20"/>
      <c r="O64" s="20"/>
      <c r="P64" s="20"/>
      <c r="Q64" s="20"/>
      <c r="R64" s="20"/>
      <c r="S64" s="20"/>
      <c r="T64" s="20"/>
      <c r="U64" s="20"/>
      <c r="V64" s="20"/>
      <c r="W64" s="20"/>
      <c r="X64" s="20"/>
      <c r="Y64" s="20"/>
    </row>
    <row r="65">
      <c r="A65" s="5" t="s">
        <v>401</v>
      </c>
      <c r="B65" s="20"/>
      <c r="C65" s="5"/>
      <c r="D65" s="20"/>
      <c r="E65" s="20"/>
      <c r="F65" s="20"/>
      <c r="G65" s="20"/>
      <c r="H65" s="20"/>
      <c r="I65" s="20"/>
      <c r="J65" s="20"/>
      <c r="K65" s="20"/>
      <c r="L65" s="20"/>
      <c r="M65" s="20"/>
      <c r="N65" s="20"/>
      <c r="O65" s="20"/>
      <c r="P65" s="20"/>
      <c r="Q65" s="20"/>
      <c r="R65" s="20"/>
      <c r="S65" s="20"/>
      <c r="T65" s="20"/>
      <c r="U65" s="20"/>
      <c r="V65" s="20"/>
      <c r="W65" s="20"/>
      <c r="X65" s="20"/>
      <c r="Y65" s="20"/>
    </row>
    <row r="66">
      <c r="A66" s="5" t="str">
        <f t="shared" ref="A66:A71" si="2">SUBSTITUTE(A60,"2","3")</f>
        <v>coproduct_3_name</v>
      </c>
      <c r="B66" s="20"/>
      <c r="C66" s="20"/>
      <c r="D66" s="20"/>
      <c r="E66" s="20"/>
      <c r="F66" s="20"/>
      <c r="G66" s="20"/>
      <c r="H66" s="20"/>
      <c r="I66" s="20"/>
      <c r="J66" s="20"/>
      <c r="K66" s="20"/>
      <c r="L66" s="20"/>
      <c r="M66" s="20"/>
      <c r="N66" s="20"/>
      <c r="O66" s="20"/>
      <c r="P66" s="20"/>
      <c r="Q66" s="20"/>
      <c r="R66" s="20"/>
      <c r="S66" s="20"/>
      <c r="T66" s="20"/>
      <c r="U66" s="20"/>
      <c r="V66" s="20"/>
      <c r="W66" s="20"/>
      <c r="X66" s="20"/>
      <c r="Y66" s="20"/>
    </row>
    <row r="67">
      <c r="A67" s="5" t="str">
        <f t="shared" si="2"/>
        <v>coproduct_3_sink</v>
      </c>
      <c r="B67" s="20"/>
      <c r="C67" s="20"/>
      <c r="D67" s="20"/>
      <c r="E67" s="20"/>
      <c r="F67" s="20"/>
      <c r="G67" s="20"/>
      <c r="H67" s="20"/>
      <c r="I67" s="20"/>
      <c r="J67" s="20"/>
      <c r="K67" s="20"/>
      <c r="L67" s="20"/>
      <c r="M67" s="20"/>
      <c r="N67" s="20"/>
      <c r="O67" s="20"/>
      <c r="P67" s="20"/>
      <c r="Q67" s="20"/>
      <c r="R67" s="20"/>
      <c r="S67" s="20"/>
      <c r="T67" s="20"/>
      <c r="U67" s="20"/>
      <c r="V67" s="20"/>
      <c r="W67" s="20"/>
      <c r="X67" s="20"/>
      <c r="Y67" s="20"/>
    </row>
    <row r="68">
      <c r="A68" s="5" t="str">
        <f t="shared" si="2"/>
        <v>coproduct_3_conversion_factor</v>
      </c>
      <c r="B68" s="20"/>
      <c r="C68" s="20"/>
      <c r="D68" s="20"/>
      <c r="E68" s="20"/>
      <c r="F68" s="20"/>
      <c r="G68" s="20"/>
      <c r="H68" s="20"/>
      <c r="I68" s="5"/>
      <c r="J68" s="20"/>
      <c r="K68" s="20"/>
      <c r="L68" s="20"/>
      <c r="M68" s="20"/>
      <c r="N68" s="20"/>
      <c r="O68" s="20"/>
      <c r="P68" s="20"/>
      <c r="Q68" s="20"/>
      <c r="R68" s="20"/>
      <c r="S68" s="20"/>
      <c r="T68" s="20"/>
      <c r="U68" s="20"/>
      <c r="V68" s="20"/>
      <c r="W68" s="20"/>
      <c r="X68" s="20"/>
      <c r="Y68" s="20"/>
    </row>
    <row r="69">
      <c r="A69" s="5" t="str">
        <f t="shared" si="2"/>
        <v>coproduct_3_units</v>
      </c>
      <c r="B69" s="20"/>
      <c r="C69" s="20"/>
      <c r="D69" s="20"/>
      <c r="E69" s="20"/>
      <c r="F69" s="20"/>
      <c r="G69" s="20"/>
      <c r="H69" s="20"/>
      <c r="I69" s="20"/>
      <c r="J69" s="20"/>
      <c r="K69" s="20"/>
      <c r="L69" s="20"/>
      <c r="M69" s="20"/>
      <c r="N69" s="20"/>
      <c r="O69" s="20"/>
      <c r="P69" s="20"/>
      <c r="Q69" s="20"/>
      <c r="R69" s="20"/>
      <c r="S69" s="20"/>
      <c r="T69" s="20"/>
      <c r="U69" s="20"/>
      <c r="V69" s="20"/>
      <c r="W69" s="20"/>
      <c r="X69" s="20"/>
      <c r="Y69" s="20"/>
    </row>
    <row r="70">
      <c r="A70" s="5" t="str">
        <f t="shared" si="2"/>
        <v>coproduct_3_constituents</v>
      </c>
      <c r="B70" s="20"/>
      <c r="C70" s="20"/>
      <c r="D70" s="20"/>
      <c r="E70" s="20"/>
      <c r="F70" s="20"/>
      <c r="G70" s="20"/>
      <c r="H70" s="20"/>
      <c r="I70" s="20"/>
      <c r="J70" s="20"/>
      <c r="K70" s="20"/>
      <c r="L70" s="20"/>
      <c r="M70" s="20"/>
      <c r="N70" s="20"/>
      <c r="O70" s="20"/>
      <c r="P70" s="20"/>
      <c r="Q70" s="20"/>
      <c r="R70" s="20"/>
      <c r="S70" s="20"/>
      <c r="T70" s="20"/>
      <c r="U70" s="20"/>
      <c r="V70" s="20"/>
      <c r="W70" s="20"/>
      <c r="X70" s="20"/>
      <c r="Y70" s="20"/>
    </row>
    <row r="71">
      <c r="A71" s="5" t="str">
        <f t="shared" si="2"/>
        <v>coproduct_3_constituent_fractions</v>
      </c>
      <c r="B71" s="20"/>
      <c r="C71" s="20"/>
      <c r="D71" s="20"/>
      <c r="E71" s="20"/>
      <c r="F71" s="20"/>
      <c r="G71" s="20"/>
      <c r="H71" s="20"/>
      <c r="I71" s="20"/>
      <c r="J71" s="20"/>
      <c r="K71" s="20"/>
      <c r="L71" s="20"/>
      <c r="M71" s="20"/>
      <c r="N71" s="20"/>
      <c r="O71" s="20"/>
      <c r="P71" s="20"/>
      <c r="Q71" s="20"/>
      <c r="R71" s="20"/>
      <c r="S71" s="20"/>
      <c r="T71" s="20"/>
      <c r="U71" s="20"/>
      <c r="V71" s="20"/>
      <c r="W71" s="20"/>
      <c r="X71" s="20"/>
      <c r="Y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51" t="s">
        <v>276</v>
      </c>
      <c r="B1" s="151" t="s">
        <v>7</v>
      </c>
      <c r="C1" s="151" t="s">
        <v>402</v>
      </c>
      <c r="D1" s="151" t="s">
        <v>403</v>
      </c>
      <c r="E1" s="151"/>
      <c r="F1" s="151"/>
      <c r="G1" s="151"/>
      <c r="H1" s="151"/>
      <c r="I1" s="151"/>
      <c r="J1" s="43"/>
      <c r="K1" s="43"/>
      <c r="L1" s="43"/>
      <c r="M1" s="43"/>
      <c r="N1" s="43"/>
      <c r="O1" s="43"/>
      <c r="P1" s="43"/>
      <c r="Q1" s="43"/>
      <c r="R1" s="43"/>
      <c r="S1" s="43"/>
      <c r="T1" s="43"/>
      <c r="U1" s="43"/>
    </row>
    <row r="2">
      <c r="A2" s="5" t="s">
        <v>279</v>
      </c>
      <c r="B2" s="5" t="s">
        <v>280</v>
      </c>
      <c r="C2" s="5" t="s">
        <v>404</v>
      </c>
      <c r="D2" s="5" t="s">
        <v>405</v>
      </c>
      <c r="E2" s="5"/>
      <c r="F2" s="5"/>
      <c r="G2" s="5"/>
      <c r="H2" s="5"/>
      <c r="I2" s="5"/>
      <c r="J2" s="20"/>
      <c r="K2" s="20"/>
      <c r="L2" s="20"/>
      <c r="M2" s="20"/>
      <c r="N2" s="20"/>
      <c r="O2" s="20"/>
      <c r="P2" s="20"/>
      <c r="Q2" s="20"/>
      <c r="R2" s="20"/>
      <c r="S2" s="20"/>
      <c r="T2" s="20"/>
      <c r="U2" s="20"/>
    </row>
    <row r="3">
      <c r="A3" s="5" t="s">
        <v>281</v>
      </c>
      <c r="B3" s="5" t="s">
        <v>406</v>
      </c>
      <c r="C3" s="5" t="s">
        <v>407</v>
      </c>
      <c r="D3" s="5" t="s">
        <v>408</v>
      </c>
      <c r="E3" s="5"/>
      <c r="F3" s="5"/>
      <c r="G3" s="5"/>
      <c r="H3" s="5"/>
      <c r="I3" s="5"/>
      <c r="J3" s="20"/>
      <c r="K3" s="134"/>
      <c r="L3" s="134"/>
      <c r="M3" s="134"/>
      <c r="N3" s="134"/>
      <c r="O3" s="20"/>
      <c r="P3" s="20"/>
      <c r="Q3" s="20"/>
      <c r="R3" s="20"/>
      <c r="S3" s="20"/>
      <c r="T3" s="20"/>
      <c r="U3" s="20"/>
    </row>
    <row r="4">
      <c r="A4" s="5" t="s">
        <v>285</v>
      </c>
      <c r="B4" s="5" t="s">
        <v>286</v>
      </c>
      <c r="C4" s="5" t="s">
        <v>287</v>
      </c>
      <c r="D4" s="5" t="s">
        <v>409</v>
      </c>
      <c r="E4" s="5"/>
      <c r="F4" s="5"/>
      <c r="G4" s="5"/>
      <c r="H4" s="5"/>
      <c r="I4" s="5"/>
      <c r="J4" s="20"/>
      <c r="K4" s="134"/>
      <c r="L4" s="134"/>
      <c r="M4" s="134"/>
      <c r="N4" s="134"/>
      <c r="O4" s="20"/>
      <c r="P4" s="20"/>
      <c r="Q4" s="20"/>
      <c r="R4" s="20"/>
      <c r="S4" s="20"/>
      <c r="T4" s="20"/>
      <c r="U4" s="20"/>
    </row>
    <row r="5">
      <c r="A5" s="5" t="s">
        <v>289</v>
      </c>
      <c r="B5" s="5" t="s">
        <v>290</v>
      </c>
      <c r="C5" s="5"/>
      <c r="D5" s="5" t="s">
        <v>410</v>
      </c>
      <c r="E5" s="5"/>
      <c r="F5" s="5"/>
      <c r="G5" s="5"/>
      <c r="H5" s="5"/>
      <c r="I5" s="5"/>
      <c r="J5" s="20"/>
      <c r="K5" s="134"/>
      <c r="L5" s="134"/>
      <c r="M5" s="134"/>
      <c r="N5" s="134"/>
      <c r="O5" s="20"/>
      <c r="P5" s="20"/>
      <c r="Q5" s="20"/>
      <c r="R5" s="20"/>
      <c r="S5" s="20"/>
      <c r="T5" s="20"/>
      <c r="U5" s="20"/>
    </row>
    <row r="6">
      <c r="A6" s="152" t="s">
        <v>292</v>
      </c>
      <c r="B6" s="152"/>
      <c r="C6" s="114" t="s">
        <v>411</v>
      </c>
      <c r="D6" s="114" t="s">
        <v>412</v>
      </c>
      <c r="E6" s="160"/>
      <c r="F6" s="160"/>
      <c r="G6" s="160"/>
      <c r="H6" s="160"/>
      <c r="I6" s="160"/>
      <c r="J6" s="161"/>
      <c r="K6" s="161"/>
      <c r="L6" s="161"/>
      <c r="M6" s="161"/>
      <c r="N6" s="161"/>
      <c r="O6" s="161"/>
      <c r="P6" s="161"/>
      <c r="Q6" s="161"/>
      <c r="R6" s="161"/>
      <c r="S6" s="161"/>
      <c r="T6" s="161"/>
      <c r="U6" s="161"/>
      <c r="V6" s="161"/>
      <c r="W6" s="161"/>
      <c r="X6" s="161"/>
      <c r="Y6" s="161"/>
      <c r="Z6" s="161"/>
    </row>
    <row r="7">
      <c r="A7" s="154" t="s">
        <v>295</v>
      </c>
      <c r="B7" s="154"/>
      <c r="C7" s="11" t="s">
        <v>413</v>
      </c>
      <c r="D7" s="11" t="s">
        <v>414</v>
      </c>
      <c r="E7" s="162"/>
      <c r="F7" s="162"/>
      <c r="G7" s="162"/>
      <c r="H7" s="162"/>
      <c r="I7" s="162"/>
      <c r="J7" s="163"/>
      <c r="K7" s="163"/>
      <c r="L7" s="163"/>
      <c r="M7" s="163"/>
      <c r="N7" s="163"/>
      <c r="O7" s="163"/>
      <c r="P7" s="163"/>
      <c r="Q7" s="163"/>
      <c r="R7" s="163"/>
      <c r="S7" s="163"/>
      <c r="T7" s="163"/>
      <c r="U7" s="163"/>
      <c r="V7" s="163"/>
      <c r="W7" s="163"/>
      <c r="X7" s="163"/>
      <c r="Y7" s="163"/>
      <c r="Z7" s="163"/>
    </row>
    <row r="8">
      <c r="A8" s="11" t="s">
        <v>298</v>
      </c>
      <c r="B8" s="154" t="s">
        <v>299</v>
      </c>
      <c r="C8" s="5" t="s">
        <v>415</v>
      </c>
      <c r="D8" s="5" t="s">
        <v>416</v>
      </c>
      <c r="E8" s="5"/>
      <c r="F8" s="20"/>
      <c r="G8" s="11"/>
      <c r="H8" s="11"/>
      <c r="I8" s="164"/>
      <c r="J8" s="164"/>
      <c r="K8" s="164"/>
      <c r="L8" s="164"/>
      <c r="M8" s="164"/>
      <c r="N8" s="20"/>
      <c r="O8" s="20"/>
      <c r="P8" s="20"/>
      <c r="Q8" s="20"/>
      <c r="R8" s="20"/>
      <c r="S8" s="20"/>
      <c r="T8" s="20"/>
      <c r="U8" s="20"/>
      <c r="V8" s="20"/>
      <c r="W8" s="20"/>
      <c r="X8" s="20"/>
      <c r="Y8" s="20"/>
      <c r="Z8" s="20"/>
    </row>
    <row r="9">
      <c r="A9" s="11" t="s">
        <v>302</v>
      </c>
      <c r="B9" s="154"/>
      <c r="C9" s="5" t="s">
        <v>417</v>
      </c>
      <c r="D9" s="5" t="s">
        <v>418</v>
      </c>
      <c r="E9" s="5"/>
      <c r="F9" s="5"/>
      <c r="G9" s="5"/>
      <c r="H9" s="5"/>
      <c r="I9" s="20"/>
      <c r="J9" s="20"/>
      <c r="K9" s="20"/>
      <c r="L9" s="20"/>
      <c r="M9" s="20"/>
      <c r="N9" s="20"/>
      <c r="O9" s="20"/>
      <c r="P9" s="20"/>
      <c r="Q9" s="20"/>
      <c r="R9" s="20"/>
      <c r="S9" s="20"/>
      <c r="T9" s="20"/>
    </row>
    <row r="10">
      <c r="A10" s="154" t="s">
        <v>305</v>
      </c>
      <c r="B10" s="154" t="s">
        <v>306</v>
      </c>
      <c r="C10" s="165">
        <v>0.001</v>
      </c>
      <c r="D10" s="165">
        <v>0.001</v>
      </c>
      <c r="E10" s="162"/>
      <c r="F10" s="162"/>
      <c r="G10" s="162"/>
      <c r="H10" s="162"/>
      <c r="I10" s="163"/>
      <c r="J10" s="163"/>
      <c r="K10" s="163"/>
      <c r="L10" s="163"/>
      <c r="M10" s="163"/>
      <c r="N10" s="163"/>
      <c r="O10" s="163"/>
      <c r="P10" s="163"/>
      <c r="Q10" s="163"/>
      <c r="R10" s="163"/>
      <c r="S10" s="163"/>
      <c r="T10" s="163"/>
      <c r="U10" s="163"/>
      <c r="V10" s="163"/>
      <c r="W10" s="163"/>
      <c r="X10" s="163"/>
      <c r="Y10" s="163"/>
      <c r="Z10" s="20"/>
    </row>
    <row r="11">
      <c r="A11" s="156" t="s">
        <v>307</v>
      </c>
      <c r="B11" s="156" t="s">
        <v>308</v>
      </c>
      <c r="C11" s="107" t="s">
        <v>419</v>
      </c>
      <c r="D11" s="107" t="s">
        <v>420</v>
      </c>
      <c r="E11" s="166"/>
      <c r="F11" s="166"/>
      <c r="G11" s="166"/>
      <c r="H11" s="166"/>
      <c r="I11" s="167"/>
      <c r="J11" s="167"/>
      <c r="K11" s="167"/>
      <c r="L11" s="167"/>
      <c r="M11" s="167"/>
      <c r="N11" s="167"/>
      <c r="O11" s="167"/>
      <c r="P11" s="167"/>
      <c r="Q11" s="167"/>
      <c r="R11" s="167"/>
      <c r="S11" s="167"/>
      <c r="T11" s="167"/>
      <c r="U11" s="167"/>
      <c r="V11" s="167"/>
      <c r="W11" s="167"/>
      <c r="X11" s="167"/>
      <c r="Y11" s="167"/>
      <c r="Z11" s="20"/>
    </row>
    <row r="12">
      <c r="A12" s="5" t="s">
        <v>311</v>
      </c>
      <c r="B12" s="154" t="s">
        <v>312</v>
      </c>
      <c r="C12" s="5" t="s">
        <v>415</v>
      </c>
      <c r="D12" s="5" t="s">
        <v>416</v>
      </c>
      <c r="E12" s="5"/>
      <c r="F12" s="5"/>
      <c r="G12" s="5"/>
      <c r="H12" s="5"/>
      <c r="I12" s="5"/>
      <c r="J12" s="20"/>
      <c r="K12" s="20"/>
      <c r="L12" s="20"/>
      <c r="M12" s="20"/>
      <c r="N12" s="20"/>
      <c r="O12" s="20"/>
      <c r="P12" s="20"/>
      <c r="Q12" s="20"/>
      <c r="R12" s="20"/>
      <c r="S12" s="20"/>
      <c r="T12" s="20"/>
      <c r="U12" s="20"/>
    </row>
    <row r="13">
      <c r="A13" s="5" t="s">
        <v>314</v>
      </c>
      <c r="B13" s="154" t="s">
        <v>315</v>
      </c>
      <c r="C13" s="5" t="s">
        <v>421</v>
      </c>
      <c r="D13" s="168" t="s">
        <v>422</v>
      </c>
      <c r="E13" s="5"/>
      <c r="F13" s="5"/>
      <c r="G13" s="5"/>
      <c r="H13" s="5"/>
      <c r="I13" s="5"/>
      <c r="J13" s="20"/>
      <c r="K13" s="20"/>
      <c r="L13" s="20"/>
      <c r="M13" s="20"/>
      <c r="N13" s="20"/>
      <c r="O13" s="20"/>
      <c r="P13" s="20"/>
      <c r="Q13" s="20"/>
      <c r="R13" s="20"/>
      <c r="S13" s="20"/>
      <c r="T13" s="20"/>
      <c r="U13" s="20"/>
    </row>
    <row r="14">
      <c r="A14" s="5" t="s">
        <v>317</v>
      </c>
      <c r="B14" s="154" t="s">
        <v>318</v>
      </c>
      <c r="C14" s="5" t="s">
        <v>423</v>
      </c>
      <c r="D14" s="5" t="s">
        <v>424</v>
      </c>
      <c r="E14" s="5"/>
      <c r="F14" s="5"/>
      <c r="G14" s="5"/>
      <c r="H14" s="5"/>
      <c r="I14" s="5"/>
      <c r="J14" s="20"/>
      <c r="K14" s="20"/>
      <c r="L14" s="20"/>
      <c r="M14" s="20"/>
      <c r="N14" s="20"/>
      <c r="O14" s="20"/>
      <c r="P14" s="20"/>
      <c r="Q14" s="20"/>
      <c r="R14" s="20"/>
      <c r="S14" s="20"/>
      <c r="T14" s="20"/>
      <c r="U14" s="20"/>
    </row>
    <row r="15">
      <c r="A15" s="102" t="s">
        <v>320</v>
      </c>
      <c r="B15" s="156" t="s">
        <v>321</v>
      </c>
      <c r="C15" s="5" t="s">
        <v>421</v>
      </c>
      <c r="D15" s="5" t="s">
        <v>422</v>
      </c>
      <c r="E15" s="102"/>
      <c r="F15" s="5"/>
      <c r="G15" s="5"/>
      <c r="H15" s="5"/>
      <c r="I15" s="102"/>
      <c r="J15" s="104"/>
      <c r="K15" s="104"/>
      <c r="L15" s="104"/>
      <c r="M15" s="104"/>
      <c r="N15" s="104"/>
      <c r="O15" s="104"/>
      <c r="P15" s="104"/>
      <c r="Q15" s="104"/>
      <c r="R15" s="104"/>
      <c r="S15" s="104"/>
      <c r="T15" s="104"/>
      <c r="U15" s="104"/>
    </row>
    <row r="16">
      <c r="A16" s="109" t="s">
        <v>323</v>
      </c>
      <c r="B16" s="109"/>
      <c r="C16" s="109" t="s">
        <v>425</v>
      </c>
      <c r="D16" s="109" t="s">
        <v>423</v>
      </c>
      <c r="E16" s="109"/>
      <c r="F16" s="109"/>
      <c r="G16" s="109"/>
      <c r="H16" s="109"/>
      <c r="I16" s="109"/>
      <c r="J16" s="111"/>
      <c r="K16" s="111"/>
      <c r="L16" s="111"/>
      <c r="M16" s="111"/>
      <c r="N16" s="111"/>
      <c r="O16" s="111"/>
      <c r="P16" s="111"/>
      <c r="Q16" s="111"/>
      <c r="R16" s="111"/>
      <c r="S16" s="111"/>
      <c r="T16" s="111"/>
      <c r="U16" s="111"/>
    </row>
    <row r="17">
      <c r="A17" s="11" t="s">
        <v>325</v>
      </c>
      <c r="B17" s="11" t="s">
        <v>326</v>
      </c>
      <c r="C17" s="5" t="s">
        <v>426</v>
      </c>
      <c r="D17" s="5" t="s">
        <v>421</v>
      </c>
      <c r="E17" s="5"/>
      <c r="F17" s="157"/>
      <c r="G17" s="158"/>
      <c r="H17" s="5"/>
      <c r="I17" s="158"/>
      <c r="J17" s="20"/>
      <c r="K17" s="134"/>
      <c r="L17" s="134"/>
      <c r="M17" s="20"/>
      <c r="N17" s="20"/>
      <c r="O17" s="20"/>
      <c r="P17" s="20"/>
      <c r="Q17" s="20"/>
      <c r="R17" s="20"/>
      <c r="S17" s="20"/>
      <c r="T17" s="20"/>
      <c r="U17" s="20"/>
    </row>
    <row r="18">
      <c r="A18" s="5" t="s">
        <v>328</v>
      </c>
      <c r="B18" s="5" t="s">
        <v>329</v>
      </c>
      <c r="C18" s="71">
        <v>1.0</v>
      </c>
      <c r="D18" s="71">
        <v>1.0</v>
      </c>
      <c r="E18" s="5"/>
      <c r="F18" s="157"/>
      <c r="G18" s="158"/>
      <c r="H18" s="5"/>
      <c r="I18" s="158"/>
      <c r="J18" s="20"/>
      <c r="K18" s="134"/>
      <c r="L18" s="134"/>
      <c r="M18" s="20"/>
      <c r="N18" s="20"/>
      <c r="O18" s="20"/>
      <c r="P18" s="20"/>
      <c r="Q18" s="20"/>
      <c r="R18" s="20"/>
      <c r="S18" s="20"/>
      <c r="T18" s="20"/>
      <c r="U18" s="20"/>
    </row>
    <row r="19">
      <c r="A19" s="5" t="s">
        <v>330</v>
      </c>
      <c r="B19" s="5" t="s">
        <v>331</v>
      </c>
      <c r="C19" s="5" t="s">
        <v>313</v>
      </c>
      <c r="D19" s="5" t="s">
        <v>313</v>
      </c>
      <c r="E19" s="5"/>
      <c r="F19" s="5"/>
      <c r="G19" s="5"/>
      <c r="H19" s="5"/>
      <c r="I19" s="5"/>
      <c r="J19" s="20"/>
      <c r="K19" s="20"/>
      <c r="L19" s="20"/>
      <c r="M19" s="20"/>
      <c r="N19" s="20"/>
      <c r="O19" s="20"/>
      <c r="P19" s="20"/>
      <c r="Q19" s="20"/>
      <c r="R19" s="20"/>
      <c r="S19" s="20"/>
      <c r="T19" s="20"/>
      <c r="U19" s="20"/>
    </row>
    <row r="20">
      <c r="A20" s="5" t="s">
        <v>334</v>
      </c>
      <c r="B20" s="5" t="s">
        <v>335</v>
      </c>
      <c r="C20" s="5"/>
      <c r="D20" s="5"/>
      <c r="E20" s="5"/>
      <c r="F20" s="5"/>
      <c r="G20" s="5"/>
      <c r="H20" s="5"/>
      <c r="I20" s="5"/>
      <c r="J20" s="20"/>
      <c r="K20" s="20"/>
      <c r="L20" s="20"/>
      <c r="M20" s="20"/>
      <c r="N20" s="20"/>
      <c r="O20" s="20"/>
      <c r="P20" s="20"/>
      <c r="Q20" s="20"/>
      <c r="R20" s="20"/>
      <c r="S20" s="20"/>
      <c r="T20" s="20"/>
      <c r="U20" s="20"/>
    </row>
    <row r="21">
      <c r="A21" s="5" t="s">
        <v>336</v>
      </c>
      <c r="B21" s="5" t="s">
        <v>337</v>
      </c>
      <c r="C21" s="5" t="s">
        <v>427</v>
      </c>
      <c r="D21" s="5" t="s">
        <v>427</v>
      </c>
      <c r="E21" s="5"/>
      <c r="F21" s="5"/>
      <c r="J21" s="20"/>
      <c r="K21" s="20"/>
      <c r="L21" s="20"/>
      <c r="M21" s="20"/>
      <c r="N21" s="20"/>
      <c r="O21" s="20"/>
      <c r="P21" s="20"/>
      <c r="Q21" s="20"/>
      <c r="R21" s="20"/>
      <c r="S21" s="20"/>
      <c r="T21" s="20"/>
      <c r="U21" s="20"/>
    </row>
    <row r="22">
      <c r="A22" s="5" t="s">
        <v>339</v>
      </c>
      <c r="B22" s="5" t="s">
        <v>340</v>
      </c>
      <c r="C22" s="5">
        <f t="shared" ref="C22:D22" si="1">1/1000</f>
        <v>0.001</v>
      </c>
      <c r="D22" s="5">
        <f t="shared" si="1"/>
        <v>0.001</v>
      </c>
      <c r="E22" s="5"/>
      <c r="F22" s="5"/>
      <c r="G22" s="5"/>
      <c r="H22" s="5"/>
      <c r="I22" s="20"/>
      <c r="J22" s="20"/>
      <c r="K22" s="20"/>
      <c r="L22" s="20"/>
      <c r="M22" s="20"/>
      <c r="N22" s="20"/>
      <c r="O22" s="20"/>
      <c r="P22" s="20"/>
      <c r="Q22" s="20"/>
      <c r="R22" s="20"/>
      <c r="S22" s="20"/>
      <c r="T22" s="20"/>
      <c r="U22" s="20"/>
      <c r="V22" s="20"/>
      <c r="W22" s="20"/>
      <c r="X22" s="20"/>
      <c r="Y22" s="20"/>
    </row>
    <row r="23">
      <c r="A23" s="5" t="s">
        <v>341</v>
      </c>
      <c r="B23" s="5" t="s">
        <v>342</v>
      </c>
      <c r="C23" s="5" t="s">
        <v>419</v>
      </c>
      <c r="D23" s="5" t="s">
        <v>419</v>
      </c>
      <c r="E23" s="5"/>
      <c r="F23" s="5"/>
      <c r="G23" s="5"/>
      <c r="H23" s="5"/>
      <c r="I23" s="20"/>
      <c r="J23" s="20"/>
      <c r="K23" s="20"/>
      <c r="L23" s="20"/>
      <c r="M23" s="20"/>
      <c r="N23" s="20"/>
      <c r="O23" s="20"/>
      <c r="P23" s="20"/>
      <c r="Q23" s="20"/>
      <c r="R23" s="20"/>
      <c r="S23" s="20"/>
      <c r="T23" s="20"/>
      <c r="U23" s="20"/>
      <c r="V23" s="20"/>
      <c r="W23" s="20"/>
      <c r="X23" s="20"/>
      <c r="Y23" s="20"/>
    </row>
    <row r="24">
      <c r="A24" s="102" t="s">
        <v>343</v>
      </c>
      <c r="B24" s="102" t="s">
        <v>344</v>
      </c>
      <c r="C24" s="102" t="b">
        <v>0</v>
      </c>
      <c r="D24" s="102" t="b">
        <v>1</v>
      </c>
      <c r="E24" s="102"/>
      <c r="F24" s="102"/>
      <c r="G24" s="102"/>
      <c r="H24" s="102"/>
      <c r="I24" s="102"/>
      <c r="J24" s="104"/>
      <c r="K24" s="104"/>
      <c r="L24" s="104"/>
      <c r="M24" s="104"/>
      <c r="N24" s="104"/>
      <c r="O24" s="104"/>
      <c r="P24" s="104"/>
      <c r="Q24" s="104"/>
      <c r="R24" s="104"/>
      <c r="S24" s="104"/>
      <c r="T24" s="104"/>
      <c r="U24" s="104"/>
    </row>
    <row r="25">
      <c r="A25" s="109" t="s">
        <v>345</v>
      </c>
      <c r="B25" s="109" t="s">
        <v>346</v>
      </c>
      <c r="C25" s="109" t="s">
        <v>428</v>
      </c>
      <c r="D25" s="109"/>
      <c r="E25" s="109"/>
      <c r="F25" s="109"/>
      <c r="G25" s="109"/>
      <c r="H25" s="109"/>
      <c r="I25" s="109"/>
      <c r="J25" s="111"/>
      <c r="K25" s="111"/>
      <c r="L25" s="111"/>
      <c r="M25" s="111"/>
      <c r="N25" s="111"/>
      <c r="O25" s="111"/>
      <c r="P25" s="111"/>
      <c r="Q25" s="111"/>
      <c r="R25" s="111"/>
      <c r="S25" s="111"/>
      <c r="T25" s="111"/>
      <c r="U25" s="111"/>
    </row>
    <row r="26">
      <c r="A26" s="5" t="s">
        <v>347</v>
      </c>
      <c r="B26" s="5" t="s">
        <v>348</v>
      </c>
      <c r="C26" s="5" t="s">
        <v>429</v>
      </c>
      <c r="D26" s="5"/>
      <c r="E26" s="5"/>
      <c r="F26" s="5"/>
      <c r="H26" s="5"/>
      <c r="I26" s="20"/>
      <c r="J26" s="20"/>
      <c r="K26" s="20"/>
      <c r="L26" s="20"/>
      <c r="M26" s="20"/>
      <c r="N26" s="20"/>
      <c r="O26" s="20"/>
      <c r="P26" s="20"/>
      <c r="Q26" s="20"/>
      <c r="R26" s="20"/>
      <c r="S26" s="20"/>
      <c r="T26" s="20"/>
      <c r="U26" s="20"/>
    </row>
    <row r="27">
      <c r="A27" s="5" t="s">
        <v>349</v>
      </c>
      <c r="B27" s="20"/>
      <c r="C27" s="5" t="s">
        <v>415</v>
      </c>
      <c r="D27" s="5"/>
      <c r="E27" s="5"/>
      <c r="F27" s="5"/>
      <c r="H27" s="5"/>
      <c r="I27" s="20"/>
      <c r="J27" s="20"/>
      <c r="K27" s="20"/>
      <c r="L27" s="20"/>
      <c r="M27" s="20"/>
      <c r="N27" s="20"/>
      <c r="O27" s="20"/>
      <c r="P27" s="20"/>
      <c r="Q27" s="20"/>
      <c r="R27" s="20"/>
      <c r="S27" s="20"/>
      <c r="T27" s="20"/>
      <c r="U27" s="20"/>
    </row>
    <row r="28">
      <c r="A28" s="5" t="s">
        <v>350</v>
      </c>
      <c r="B28" s="5" t="s">
        <v>351</v>
      </c>
      <c r="C28" s="169"/>
      <c r="D28" s="5"/>
      <c r="E28" s="5"/>
      <c r="F28" s="5"/>
      <c r="H28" s="5"/>
      <c r="I28" s="20"/>
      <c r="J28" s="20"/>
      <c r="K28" s="20"/>
      <c r="L28" s="20"/>
      <c r="M28" s="20"/>
      <c r="N28" s="20"/>
      <c r="O28" s="20"/>
      <c r="P28" s="20"/>
      <c r="Q28" s="20"/>
      <c r="R28" s="20"/>
      <c r="S28" s="20"/>
      <c r="T28" s="20"/>
      <c r="U28" s="20"/>
    </row>
    <row r="29">
      <c r="A29" s="5" t="s">
        <v>352</v>
      </c>
      <c r="B29" s="5" t="s">
        <v>353</v>
      </c>
      <c r="C29" s="5">
        <v>0.0</v>
      </c>
      <c r="D29" s="5"/>
      <c r="E29" s="5"/>
      <c r="F29" s="5"/>
      <c r="H29" s="5"/>
      <c r="I29" s="20"/>
      <c r="J29" s="20"/>
      <c r="K29" s="20"/>
      <c r="L29" s="20"/>
      <c r="M29" s="20"/>
      <c r="N29" s="20"/>
      <c r="O29" s="20"/>
      <c r="P29" s="20"/>
      <c r="Q29" s="20"/>
      <c r="R29" s="20"/>
      <c r="S29" s="20"/>
      <c r="T29" s="20"/>
      <c r="U29" s="20"/>
    </row>
    <row r="30">
      <c r="A30" s="5" t="s">
        <v>354</v>
      </c>
      <c r="B30" s="20"/>
      <c r="C30" s="5" t="s">
        <v>430</v>
      </c>
      <c r="D30" s="5"/>
      <c r="E30" s="5"/>
      <c r="F30" s="5"/>
      <c r="H30" s="5"/>
      <c r="I30" s="20"/>
      <c r="J30" s="20"/>
      <c r="K30" s="20"/>
      <c r="L30" s="20"/>
      <c r="M30" s="20"/>
      <c r="N30" s="20"/>
      <c r="O30" s="20"/>
      <c r="P30" s="20"/>
      <c r="Q30" s="20"/>
      <c r="R30" s="20"/>
      <c r="S30" s="20"/>
      <c r="T30" s="20"/>
      <c r="U30" s="20"/>
    </row>
    <row r="31">
      <c r="A31" s="5" t="s">
        <v>355</v>
      </c>
      <c r="B31" s="5" t="s">
        <v>346</v>
      </c>
      <c r="C31" s="6"/>
      <c r="D31" s="5"/>
      <c r="E31" s="5"/>
      <c r="F31" s="20"/>
      <c r="G31" s="20"/>
      <c r="I31" s="20"/>
      <c r="J31" s="20"/>
      <c r="K31" s="20"/>
      <c r="L31" s="20"/>
      <c r="M31" s="20"/>
      <c r="N31" s="20"/>
      <c r="O31" s="20"/>
      <c r="P31" s="20"/>
      <c r="Q31" s="20"/>
      <c r="R31" s="20"/>
      <c r="S31" s="20"/>
      <c r="T31" s="20"/>
      <c r="U31" s="20"/>
    </row>
    <row r="32">
      <c r="A32" s="5" t="s">
        <v>356</v>
      </c>
      <c r="B32" s="5" t="s">
        <v>348</v>
      </c>
      <c r="C32" s="6"/>
      <c r="D32" s="5"/>
      <c r="E32" s="5"/>
      <c r="F32" s="20"/>
      <c r="G32" s="20"/>
      <c r="I32" s="20"/>
      <c r="J32" s="20"/>
      <c r="K32" s="20"/>
      <c r="L32" s="20"/>
      <c r="M32" s="20"/>
      <c r="N32" s="20"/>
      <c r="O32" s="20"/>
      <c r="P32" s="20"/>
      <c r="Q32" s="20"/>
      <c r="R32" s="20"/>
      <c r="S32" s="20"/>
      <c r="T32" s="20"/>
      <c r="U32" s="20"/>
    </row>
    <row r="33">
      <c r="A33" s="5" t="s">
        <v>357</v>
      </c>
      <c r="B33" s="20"/>
      <c r="C33" s="5"/>
      <c r="D33" s="5"/>
      <c r="E33" s="5"/>
      <c r="F33" s="20"/>
      <c r="G33" s="20"/>
      <c r="I33" s="20"/>
      <c r="J33" s="20"/>
      <c r="K33" s="20"/>
      <c r="L33" s="20"/>
      <c r="M33" s="20"/>
      <c r="N33" s="20"/>
      <c r="O33" s="20"/>
      <c r="P33" s="20"/>
      <c r="Q33" s="20"/>
      <c r="R33" s="20"/>
      <c r="S33" s="20"/>
      <c r="T33" s="20"/>
      <c r="U33" s="20"/>
    </row>
    <row r="34">
      <c r="A34" s="5" t="s">
        <v>358</v>
      </c>
      <c r="B34" s="5" t="s">
        <v>351</v>
      </c>
      <c r="C34" s="20"/>
      <c r="D34" s="5"/>
      <c r="F34" s="20"/>
      <c r="G34" s="20"/>
      <c r="I34" s="20"/>
      <c r="J34" s="20"/>
      <c r="K34" s="20"/>
      <c r="L34" s="20"/>
      <c r="M34" s="20"/>
      <c r="N34" s="20"/>
      <c r="O34" s="20"/>
      <c r="P34" s="20"/>
      <c r="Q34" s="20"/>
      <c r="R34" s="20"/>
      <c r="S34" s="20"/>
      <c r="T34" s="20"/>
      <c r="U34" s="20"/>
    </row>
    <row r="35">
      <c r="A35" s="5" t="s">
        <v>359</v>
      </c>
      <c r="B35" s="5" t="s">
        <v>353</v>
      </c>
      <c r="C35" s="20"/>
      <c r="D35" s="5"/>
      <c r="E35" s="5"/>
      <c r="F35" s="20"/>
      <c r="G35" s="20"/>
      <c r="H35" s="20"/>
      <c r="I35" s="20"/>
      <c r="J35" s="20"/>
      <c r="K35" s="20"/>
      <c r="L35" s="20"/>
      <c r="M35" s="20"/>
      <c r="N35" s="20"/>
      <c r="O35" s="20"/>
      <c r="P35" s="20"/>
      <c r="Q35" s="20"/>
      <c r="R35" s="20"/>
      <c r="S35" s="20"/>
      <c r="T35" s="20"/>
      <c r="U35" s="20"/>
    </row>
    <row r="36">
      <c r="A36" s="5" t="s">
        <v>360</v>
      </c>
      <c r="B36" s="20"/>
      <c r="C36" s="20"/>
      <c r="D36" s="5"/>
      <c r="E36" s="5"/>
      <c r="F36" s="20"/>
      <c r="G36" s="20"/>
      <c r="H36" s="20"/>
      <c r="I36" s="20"/>
      <c r="J36" s="20"/>
      <c r="K36" s="20"/>
      <c r="L36" s="20"/>
      <c r="M36" s="20"/>
      <c r="N36" s="20"/>
      <c r="O36" s="20"/>
      <c r="P36" s="20"/>
      <c r="Q36" s="20"/>
      <c r="R36" s="20"/>
      <c r="S36" s="20"/>
      <c r="T36" s="20"/>
      <c r="U36" s="20"/>
    </row>
    <row r="37">
      <c r="A37" s="5" t="s">
        <v>361</v>
      </c>
      <c r="B37" s="5" t="s">
        <v>346</v>
      </c>
      <c r="C37" s="20"/>
      <c r="D37" s="20"/>
      <c r="J37" s="20"/>
      <c r="K37" s="20"/>
      <c r="L37" s="20"/>
      <c r="M37" s="20"/>
      <c r="N37" s="20"/>
      <c r="O37" s="20"/>
      <c r="P37" s="20"/>
      <c r="Q37" s="20"/>
      <c r="R37" s="20"/>
      <c r="S37" s="20"/>
      <c r="T37" s="20"/>
      <c r="U37" s="20"/>
    </row>
    <row r="38">
      <c r="A38" s="5" t="s">
        <v>362</v>
      </c>
      <c r="B38" s="5" t="s">
        <v>348</v>
      </c>
      <c r="C38" s="20"/>
      <c r="D38" s="20"/>
      <c r="J38" s="20"/>
      <c r="K38" s="20"/>
      <c r="L38" s="20"/>
      <c r="M38" s="20"/>
      <c r="N38" s="20"/>
      <c r="O38" s="20"/>
      <c r="P38" s="20"/>
      <c r="Q38" s="20"/>
      <c r="R38" s="20"/>
      <c r="S38" s="20"/>
      <c r="T38" s="20"/>
      <c r="U38" s="20"/>
    </row>
    <row r="39">
      <c r="A39" s="5" t="s">
        <v>363</v>
      </c>
      <c r="B39" s="20"/>
      <c r="C39" s="20"/>
      <c r="D39" s="20"/>
      <c r="J39" s="20"/>
      <c r="K39" s="20"/>
      <c r="L39" s="20"/>
      <c r="M39" s="20"/>
      <c r="N39" s="20"/>
      <c r="O39" s="20"/>
      <c r="P39" s="20"/>
      <c r="Q39" s="20"/>
      <c r="R39" s="20"/>
      <c r="S39" s="20"/>
      <c r="T39" s="20"/>
      <c r="U39" s="20"/>
    </row>
    <row r="40">
      <c r="A40" s="5" t="s">
        <v>364</v>
      </c>
      <c r="B40" s="5" t="s">
        <v>351</v>
      </c>
      <c r="C40" s="20"/>
      <c r="D40" s="20"/>
      <c r="J40" s="20"/>
      <c r="K40" s="20"/>
      <c r="L40" s="20"/>
      <c r="M40" s="20"/>
      <c r="N40" s="20"/>
      <c r="O40" s="20"/>
      <c r="P40" s="20"/>
      <c r="Q40" s="20"/>
      <c r="R40" s="20"/>
      <c r="S40" s="20"/>
      <c r="T40" s="20"/>
      <c r="U40" s="20"/>
    </row>
    <row r="41">
      <c r="A41" s="5" t="s">
        <v>365</v>
      </c>
      <c r="B41" s="5" t="s">
        <v>353</v>
      </c>
      <c r="C41" s="20"/>
      <c r="D41" s="20"/>
      <c r="J41" s="20"/>
      <c r="K41" s="20"/>
      <c r="L41" s="20"/>
      <c r="M41" s="20"/>
      <c r="N41" s="20"/>
      <c r="O41" s="20"/>
      <c r="P41" s="20"/>
      <c r="Q41" s="20"/>
      <c r="R41" s="20"/>
      <c r="S41" s="20"/>
      <c r="T41" s="20"/>
      <c r="U41" s="20"/>
    </row>
    <row r="42">
      <c r="A42" s="102" t="s">
        <v>366</v>
      </c>
      <c r="B42" s="102"/>
      <c r="C42" s="102"/>
      <c r="D42" s="102"/>
      <c r="E42" s="102"/>
      <c r="F42" s="102"/>
      <c r="G42" s="102"/>
      <c r="H42" s="102"/>
      <c r="I42" s="102"/>
      <c r="J42" s="104"/>
      <c r="K42" s="104"/>
      <c r="L42" s="104"/>
      <c r="M42" s="104"/>
      <c r="N42" s="104"/>
      <c r="O42" s="104"/>
      <c r="P42" s="104"/>
      <c r="Q42" s="104"/>
      <c r="R42" s="104"/>
      <c r="S42" s="104"/>
      <c r="T42" s="104"/>
      <c r="U42" s="104"/>
    </row>
    <row r="43">
      <c r="A43" s="109" t="s">
        <v>367</v>
      </c>
      <c r="B43" s="109" t="s">
        <v>368</v>
      </c>
      <c r="C43" s="109" t="s">
        <v>423</v>
      </c>
      <c r="D43" s="109" t="s">
        <v>424</v>
      </c>
      <c r="E43" s="109"/>
      <c r="F43" s="109"/>
      <c r="G43" s="109"/>
      <c r="H43" s="109"/>
      <c r="I43" s="109"/>
      <c r="J43" s="111"/>
      <c r="K43" s="111"/>
      <c r="L43" s="111"/>
      <c r="M43" s="111"/>
      <c r="N43" s="111"/>
      <c r="O43" s="111"/>
      <c r="P43" s="111"/>
      <c r="Q43" s="111"/>
      <c r="R43" s="111"/>
      <c r="S43" s="111"/>
      <c r="T43" s="111"/>
      <c r="U43" s="111"/>
    </row>
    <row r="44">
      <c r="A44" s="5" t="s">
        <v>370</v>
      </c>
      <c r="B44" s="5" t="s">
        <v>371</v>
      </c>
      <c r="C44" s="5" t="s">
        <v>405</v>
      </c>
      <c r="D44" s="5" t="s">
        <v>372</v>
      </c>
      <c r="E44" s="5"/>
      <c r="F44" s="5"/>
      <c r="G44" s="5"/>
      <c r="H44" s="5"/>
      <c r="I44" s="5"/>
      <c r="J44" s="20"/>
      <c r="K44" s="20"/>
      <c r="L44" s="20"/>
      <c r="M44" s="20"/>
      <c r="N44" s="20"/>
      <c r="O44" s="20"/>
      <c r="P44" s="20"/>
      <c r="Q44" s="20"/>
      <c r="R44" s="20"/>
      <c r="S44" s="20"/>
      <c r="T44" s="20"/>
      <c r="U44" s="20"/>
    </row>
    <row r="45">
      <c r="A45" s="5" t="s">
        <v>373</v>
      </c>
      <c r="B45" s="5" t="s">
        <v>431</v>
      </c>
      <c r="C45" s="5">
        <v>1.0</v>
      </c>
      <c r="D45" s="168">
        <v>1.0</v>
      </c>
      <c r="E45" s="5"/>
      <c r="F45" s="5"/>
      <c r="G45" s="5"/>
      <c r="H45" s="5"/>
      <c r="J45" s="5"/>
      <c r="K45" s="134"/>
      <c r="L45" s="134"/>
      <c r="M45" s="20"/>
      <c r="N45" s="20"/>
      <c r="O45" s="20"/>
      <c r="P45" s="20"/>
      <c r="Q45" s="20"/>
      <c r="R45" s="20"/>
      <c r="S45" s="20"/>
      <c r="T45" s="20"/>
      <c r="U45" s="20"/>
    </row>
    <row r="46">
      <c r="A46" s="5" t="s">
        <v>375</v>
      </c>
      <c r="B46" s="11" t="s">
        <v>376</v>
      </c>
      <c r="C46" s="71">
        <v>1.0</v>
      </c>
      <c r="D46" s="170"/>
      <c r="E46" s="5"/>
      <c r="F46" s="5"/>
      <c r="G46" s="5"/>
      <c r="H46" s="5"/>
      <c r="I46" s="5"/>
      <c r="J46" s="5"/>
      <c r="K46" s="20"/>
      <c r="L46" s="20"/>
      <c r="M46" s="20"/>
      <c r="N46" s="20"/>
      <c r="O46" s="20"/>
      <c r="P46" s="20"/>
      <c r="Q46" s="20"/>
      <c r="R46" s="20"/>
      <c r="S46" s="20"/>
      <c r="T46" s="20"/>
      <c r="U46" s="20"/>
    </row>
    <row r="47">
      <c r="A47" s="5" t="s">
        <v>377</v>
      </c>
      <c r="B47" s="5" t="s">
        <v>378</v>
      </c>
      <c r="C47" s="5" t="s">
        <v>421</v>
      </c>
      <c r="D47" s="5" t="s">
        <v>422</v>
      </c>
      <c r="E47" s="5"/>
      <c r="F47" s="5"/>
      <c r="G47" s="5"/>
      <c r="H47" s="5"/>
      <c r="I47" s="5"/>
      <c r="J47" s="5"/>
      <c r="K47" s="20"/>
      <c r="L47" s="20"/>
      <c r="M47" s="20"/>
      <c r="N47" s="20"/>
      <c r="O47" s="20"/>
      <c r="P47" s="20"/>
      <c r="Q47" s="20"/>
      <c r="R47" s="20"/>
      <c r="S47" s="20"/>
      <c r="T47" s="20"/>
      <c r="U47" s="20"/>
    </row>
    <row r="48">
      <c r="A48" s="5" t="s">
        <v>380</v>
      </c>
      <c r="B48" s="20"/>
      <c r="C48" s="5" t="s">
        <v>332</v>
      </c>
      <c r="D48" s="5" t="s">
        <v>381</v>
      </c>
      <c r="E48" s="5"/>
      <c r="F48" s="5"/>
      <c r="G48" s="5"/>
      <c r="H48" s="5"/>
      <c r="I48" s="5"/>
      <c r="J48" s="5"/>
      <c r="K48" s="20"/>
      <c r="L48" s="20"/>
      <c r="M48" s="20"/>
      <c r="N48" s="20"/>
      <c r="O48" s="20"/>
      <c r="P48" s="20"/>
      <c r="Q48" s="20"/>
      <c r="R48" s="20"/>
      <c r="S48" s="20"/>
      <c r="T48" s="20"/>
      <c r="U48" s="20"/>
    </row>
    <row r="49">
      <c r="A49" s="5" t="s">
        <v>382</v>
      </c>
      <c r="B49" s="20"/>
      <c r="C49" s="5"/>
      <c r="D49" s="5"/>
      <c r="E49" s="5"/>
      <c r="F49" s="5"/>
      <c r="G49" s="5"/>
      <c r="H49" s="5"/>
      <c r="I49" s="5"/>
      <c r="J49" s="5"/>
      <c r="K49" s="20"/>
      <c r="L49" s="20"/>
      <c r="M49" s="20"/>
      <c r="N49" s="20"/>
      <c r="O49" s="20"/>
      <c r="P49" s="20"/>
      <c r="Q49" s="20"/>
      <c r="R49" s="20"/>
      <c r="S49" s="20"/>
      <c r="T49" s="20"/>
      <c r="U49" s="20"/>
    </row>
    <row r="50">
      <c r="A50" s="5" t="s">
        <v>383</v>
      </c>
      <c r="B50" s="10"/>
      <c r="C50" s="5" t="s">
        <v>427</v>
      </c>
      <c r="D50" s="5" t="s">
        <v>432</v>
      </c>
      <c r="E50" s="5"/>
      <c r="F50" s="5"/>
      <c r="G50" s="5"/>
      <c r="H50" s="5"/>
      <c r="I50" s="5"/>
      <c r="J50" s="5"/>
      <c r="K50" s="20"/>
      <c r="L50" s="20"/>
      <c r="M50" s="20"/>
      <c r="N50" s="20"/>
      <c r="O50" s="20"/>
      <c r="P50" s="20"/>
      <c r="Q50" s="20"/>
      <c r="R50" s="20"/>
      <c r="S50" s="20"/>
      <c r="T50" s="20"/>
      <c r="U50" s="20"/>
    </row>
    <row r="51">
      <c r="A51" s="5" t="s">
        <v>385</v>
      </c>
      <c r="B51" s="5" t="s">
        <v>340</v>
      </c>
      <c r="C51" s="71">
        <f t="shared" ref="C51:D51" si="2">1/1000</f>
        <v>0.001</v>
      </c>
      <c r="D51" s="71">
        <f t="shared" si="2"/>
        <v>0.001</v>
      </c>
      <c r="E51" s="5"/>
      <c r="F51" s="5"/>
      <c r="G51" s="5"/>
      <c r="H51" s="5"/>
      <c r="I51" s="20"/>
      <c r="J51" s="20"/>
      <c r="K51" s="20"/>
      <c r="L51" s="20"/>
      <c r="M51" s="20"/>
      <c r="N51" s="20"/>
      <c r="O51" s="20"/>
      <c r="P51" s="20"/>
      <c r="Q51" s="20"/>
      <c r="R51" s="20"/>
      <c r="S51" s="20"/>
      <c r="T51" s="20"/>
      <c r="U51" s="20"/>
      <c r="V51" s="20"/>
      <c r="W51" s="20"/>
      <c r="X51" s="20"/>
      <c r="Y51" s="20"/>
    </row>
    <row r="52">
      <c r="A52" s="5" t="s">
        <v>386</v>
      </c>
      <c r="B52" s="5" t="s">
        <v>342</v>
      </c>
      <c r="C52" s="5" t="s">
        <v>419</v>
      </c>
      <c r="D52" s="5" t="s">
        <v>419</v>
      </c>
      <c r="E52" s="5"/>
      <c r="F52" s="5"/>
      <c r="G52" s="5"/>
      <c r="H52" s="5"/>
      <c r="I52" s="20"/>
      <c r="J52" s="20"/>
      <c r="K52" s="20"/>
      <c r="L52" s="20"/>
      <c r="M52" s="20"/>
      <c r="N52" s="20"/>
      <c r="O52" s="20"/>
      <c r="P52" s="20"/>
      <c r="Q52" s="20"/>
      <c r="R52" s="20"/>
      <c r="S52" s="20"/>
      <c r="T52" s="20"/>
      <c r="U52" s="20"/>
      <c r="V52" s="20"/>
      <c r="W52" s="20"/>
      <c r="X52" s="20"/>
      <c r="Y52" s="20"/>
    </row>
    <row r="53">
      <c r="A53" s="102" t="s">
        <v>387</v>
      </c>
      <c r="B53" s="102" t="s">
        <v>388</v>
      </c>
      <c r="C53" s="102" t="b">
        <v>1</v>
      </c>
      <c r="D53" s="102" t="b">
        <v>0</v>
      </c>
      <c r="E53" s="102"/>
      <c r="F53" s="102"/>
      <c r="G53" s="102"/>
      <c r="H53" s="102"/>
      <c r="I53" s="102"/>
      <c r="J53" s="104"/>
      <c r="K53" s="104"/>
      <c r="L53" s="104"/>
      <c r="M53" s="104"/>
      <c r="N53" s="104"/>
      <c r="O53" s="104"/>
      <c r="P53" s="104"/>
      <c r="Q53" s="104"/>
      <c r="R53" s="104"/>
      <c r="S53" s="104"/>
      <c r="T53" s="104"/>
      <c r="U53" s="104"/>
    </row>
    <row r="54">
      <c r="A54" s="109" t="s">
        <v>389</v>
      </c>
      <c r="B54" s="109"/>
      <c r="C54" s="109"/>
      <c r="D54" s="109" t="s">
        <v>433</v>
      </c>
      <c r="E54" s="109"/>
      <c r="F54" s="109"/>
      <c r="G54" s="109"/>
      <c r="H54" s="109"/>
      <c r="I54" s="109"/>
      <c r="J54" s="111"/>
      <c r="K54" s="111"/>
      <c r="L54" s="111"/>
      <c r="M54" s="111"/>
      <c r="N54" s="111"/>
      <c r="O54" s="111"/>
      <c r="P54" s="111"/>
      <c r="Q54" s="111"/>
      <c r="R54" s="111"/>
      <c r="S54" s="111"/>
      <c r="T54" s="111"/>
      <c r="U54" s="111"/>
    </row>
    <row r="55">
      <c r="A55" s="5" t="s">
        <v>390</v>
      </c>
      <c r="B55" s="20"/>
      <c r="C55" s="5"/>
      <c r="D55" s="5" t="s">
        <v>434</v>
      </c>
      <c r="E55" s="5"/>
      <c r="F55" s="5"/>
      <c r="H55" s="5"/>
      <c r="I55" s="5"/>
      <c r="J55" s="5"/>
      <c r="K55" s="20"/>
      <c r="L55" s="20"/>
      <c r="M55" s="20"/>
      <c r="N55" s="20"/>
      <c r="O55" s="20"/>
      <c r="P55" s="20"/>
      <c r="Q55" s="20"/>
      <c r="R55" s="20"/>
      <c r="S55" s="20"/>
      <c r="T55" s="20"/>
      <c r="U55" s="20"/>
    </row>
    <row r="56">
      <c r="A56" s="5" t="s">
        <v>392</v>
      </c>
      <c r="B56" s="20"/>
      <c r="C56" s="5"/>
      <c r="D56" s="5">
        <v>0.0</v>
      </c>
      <c r="E56" s="5"/>
      <c r="F56" s="5"/>
      <c r="H56" s="5"/>
      <c r="I56" s="5"/>
      <c r="J56" s="5"/>
      <c r="K56" s="20"/>
      <c r="L56" s="20"/>
      <c r="M56" s="20"/>
      <c r="N56" s="20"/>
      <c r="O56" s="20"/>
      <c r="P56" s="20"/>
      <c r="Q56" s="20"/>
      <c r="R56" s="20"/>
      <c r="S56" s="20"/>
      <c r="T56" s="20"/>
      <c r="U56" s="20"/>
    </row>
    <row r="57">
      <c r="A57" s="5" t="s">
        <v>393</v>
      </c>
      <c r="B57" s="20"/>
      <c r="C57" s="5"/>
      <c r="D57" s="5"/>
      <c r="E57" s="5"/>
      <c r="F57" s="5"/>
      <c r="H57" s="5"/>
      <c r="I57" s="5"/>
      <c r="J57" s="5"/>
      <c r="K57" s="20"/>
      <c r="L57" s="20"/>
      <c r="M57" s="20"/>
      <c r="N57" s="20"/>
      <c r="O57" s="20"/>
      <c r="P57" s="20"/>
      <c r="Q57" s="20"/>
      <c r="R57" s="20"/>
      <c r="S57" s="20"/>
      <c r="T57" s="20"/>
      <c r="U57" s="20"/>
    </row>
    <row r="58">
      <c r="A58" s="5" t="s">
        <v>394</v>
      </c>
      <c r="B58" s="20"/>
      <c r="C58" s="5"/>
      <c r="D58" s="5"/>
      <c r="E58" s="5"/>
      <c r="F58" s="5"/>
      <c r="H58" s="5"/>
      <c r="I58" s="5"/>
      <c r="J58" s="5"/>
      <c r="K58" s="20"/>
      <c r="L58" s="20"/>
      <c r="M58" s="20"/>
      <c r="N58" s="20"/>
      <c r="O58" s="20"/>
      <c r="P58" s="20"/>
      <c r="Q58" s="20"/>
      <c r="R58" s="20"/>
      <c r="S58" s="20"/>
      <c r="T58" s="20"/>
      <c r="U58" s="20"/>
    </row>
    <row r="59">
      <c r="A59" s="5" t="s">
        <v>395</v>
      </c>
      <c r="B59" s="20"/>
      <c r="C59" s="5"/>
      <c r="D59" s="5"/>
      <c r="E59" s="5"/>
      <c r="F59" s="5"/>
      <c r="H59" s="5"/>
      <c r="I59" s="5"/>
      <c r="J59" s="20"/>
      <c r="K59" s="20"/>
      <c r="L59" s="20"/>
      <c r="M59" s="20"/>
      <c r="N59" s="20"/>
      <c r="O59" s="20"/>
      <c r="P59" s="20"/>
      <c r="Q59" s="20"/>
      <c r="R59" s="20"/>
      <c r="S59" s="20"/>
      <c r="T59" s="20"/>
      <c r="U59" s="20"/>
    </row>
    <row r="60">
      <c r="A60" s="5" t="s">
        <v>396</v>
      </c>
      <c r="B60" s="20"/>
      <c r="C60" s="5"/>
      <c r="D60" s="5"/>
      <c r="E60" s="5"/>
      <c r="F60" s="20"/>
      <c r="G60" s="20"/>
      <c r="H60" s="20"/>
      <c r="I60" s="20"/>
      <c r="J60" s="20"/>
      <c r="K60" s="20"/>
      <c r="L60" s="20"/>
      <c r="M60" s="20"/>
      <c r="N60" s="20"/>
      <c r="O60" s="20"/>
      <c r="P60" s="20"/>
      <c r="Q60" s="20"/>
      <c r="R60" s="20"/>
      <c r="S60" s="20"/>
      <c r="T60" s="20"/>
      <c r="U60" s="20"/>
    </row>
    <row r="61">
      <c r="A61" s="5" t="s">
        <v>397</v>
      </c>
      <c r="B61" s="20"/>
      <c r="C61" s="5"/>
      <c r="D61" s="5"/>
      <c r="E61" s="5"/>
      <c r="F61" s="20"/>
      <c r="G61" s="20"/>
      <c r="H61" s="20"/>
      <c r="I61" s="20"/>
      <c r="J61" s="20"/>
      <c r="K61" s="20"/>
      <c r="L61" s="20"/>
      <c r="M61" s="20"/>
      <c r="N61" s="20"/>
      <c r="O61" s="20"/>
      <c r="P61" s="20"/>
      <c r="Q61" s="20"/>
      <c r="R61" s="20"/>
      <c r="S61" s="20"/>
      <c r="T61" s="20"/>
      <c r="U61" s="20"/>
    </row>
    <row r="62">
      <c r="A62" s="5" t="s">
        <v>398</v>
      </c>
      <c r="B62" s="20"/>
      <c r="C62" s="5"/>
      <c r="D62" s="5"/>
      <c r="E62" s="5"/>
      <c r="F62" s="20"/>
      <c r="G62" s="20"/>
      <c r="H62" s="20"/>
      <c r="I62" s="20"/>
      <c r="J62" s="20"/>
      <c r="K62" s="20"/>
      <c r="L62" s="20"/>
      <c r="M62" s="20"/>
      <c r="N62" s="20"/>
      <c r="O62" s="20"/>
      <c r="P62" s="20"/>
      <c r="Q62" s="20"/>
      <c r="R62" s="20"/>
      <c r="S62" s="20"/>
      <c r="T62" s="20"/>
      <c r="U62" s="20"/>
    </row>
    <row r="63">
      <c r="A63" s="5" t="s">
        <v>399</v>
      </c>
      <c r="B63" s="20"/>
      <c r="C63" s="5"/>
      <c r="D63" s="5"/>
      <c r="E63" s="5"/>
      <c r="F63" s="20"/>
      <c r="G63" s="20"/>
      <c r="H63" s="20"/>
      <c r="I63" s="20"/>
      <c r="J63" s="20"/>
      <c r="K63" s="20"/>
      <c r="L63" s="20"/>
      <c r="M63" s="20"/>
      <c r="N63" s="20"/>
      <c r="O63" s="20"/>
      <c r="P63" s="20"/>
      <c r="Q63" s="20"/>
      <c r="R63" s="20"/>
      <c r="S63" s="20"/>
      <c r="T63" s="20"/>
      <c r="U63" s="20"/>
    </row>
    <row r="64">
      <c r="A64" s="5" t="s">
        <v>400</v>
      </c>
      <c r="B64" s="20"/>
      <c r="C64" s="5"/>
      <c r="D64" s="5"/>
      <c r="E64" s="5"/>
      <c r="F64" s="20"/>
      <c r="G64" s="20"/>
      <c r="H64" s="20"/>
      <c r="I64" s="20"/>
      <c r="J64" s="20"/>
      <c r="K64" s="20"/>
      <c r="L64" s="20"/>
      <c r="M64" s="20"/>
      <c r="N64" s="20"/>
      <c r="O64" s="20"/>
      <c r="P64" s="20"/>
      <c r="Q64" s="20"/>
      <c r="R64" s="20"/>
      <c r="S64" s="20"/>
      <c r="T64" s="20"/>
      <c r="U64" s="20"/>
    </row>
    <row r="65">
      <c r="A65" s="5" t="s">
        <v>401</v>
      </c>
      <c r="B65" s="20"/>
      <c r="C65" s="5"/>
      <c r="D65" s="5"/>
      <c r="E65" s="5"/>
      <c r="F65" s="20"/>
      <c r="G65" s="20"/>
      <c r="H65" s="20"/>
      <c r="I65" s="20"/>
      <c r="J65" s="20"/>
      <c r="K65" s="20"/>
      <c r="L65" s="20"/>
      <c r="M65" s="20"/>
      <c r="N65" s="20"/>
      <c r="O65" s="20"/>
      <c r="P65" s="20"/>
      <c r="Q65" s="20"/>
      <c r="R65" s="20"/>
      <c r="S65" s="20"/>
      <c r="T65" s="20"/>
      <c r="U65" s="20"/>
    </row>
    <row r="66">
      <c r="A66" s="5" t="str">
        <f t="shared" ref="A66:A71" si="3">SUBSTITUTE(A60,"2","3")</f>
        <v>coproduct_3_name</v>
      </c>
      <c r="B66" s="20"/>
      <c r="C66" s="20"/>
      <c r="D66" s="5"/>
      <c r="E66" s="20"/>
      <c r="F66" s="20"/>
      <c r="G66" s="20"/>
      <c r="H66" s="20"/>
      <c r="I66" s="20"/>
      <c r="J66" s="20"/>
      <c r="K66" s="20"/>
      <c r="L66" s="20"/>
      <c r="M66" s="20"/>
      <c r="N66" s="20"/>
      <c r="O66" s="20"/>
      <c r="P66" s="20"/>
      <c r="Q66" s="20"/>
      <c r="R66" s="20"/>
      <c r="S66" s="20"/>
      <c r="T66" s="20"/>
      <c r="U66" s="20"/>
    </row>
    <row r="67">
      <c r="A67" s="5" t="str">
        <f t="shared" si="3"/>
        <v>coproduct_3_sink</v>
      </c>
      <c r="B67" s="20"/>
      <c r="C67" s="20"/>
      <c r="D67" s="5"/>
      <c r="E67" s="20"/>
      <c r="F67" s="20"/>
      <c r="G67" s="20"/>
      <c r="H67" s="20"/>
      <c r="I67" s="20"/>
      <c r="J67" s="20"/>
      <c r="K67" s="20"/>
      <c r="L67" s="20"/>
      <c r="M67" s="20"/>
      <c r="N67" s="20"/>
      <c r="O67" s="20"/>
      <c r="P67" s="20"/>
      <c r="Q67" s="20"/>
      <c r="R67" s="20"/>
      <c r="S67" s="20"/>
      <c r="T67" s="20"/>
      <c r="U67" s="20"/>
    </row>
    <row r="68">
      <c r="A68" s="5" t="str">
        <f t="shared" si="3"/>
        <v>coproduct_3_conversion_factor</v>
      </c>
      <c r="B68" s="20"/>
      <c r="C68" s="20"/>
      <c r="D68" s="5"/>
      <c r="E68" s="20"/>
      <c r="F68" s="20"/>
      <c r="G68" s="20"/>
      <c r="H68" s="20"/>
      <c r="I68" s="20"/>
      <c r="J68" s="5"/>
      <c r="K68" s="20"/>
      <c r="L68" s="20"/>
      <c r="M68" s="20"/>
      <c r="N68" s="20"/>
      <c r="O68" s="20"/>
      <c r="P68" s="20"/>
      <c r="Q68" s="20"/>
      <c r="R68" s="20"/>
      <c r="S68" s="20"/>
      <c r="T68" s="20"/>
      <c r="U68" s="20"/>
    </row>
    <row r="69">
      <c r="A69" s="5" t="str">
        <f t="shared" si="3"/>
        <v>coproduct_3_units</v>
      </c>
      <c r="B69" s="20"/>
      <c r="C69" s="20"/>
      <c r="D69" s="5"/>
      <c r="E69" s="20"/>
      <c r="F69" s="20"/>
      <c r="G69" s="20"/>
      <c r="H69" s="20"/>
      <c r="I69" s="20"/>
      <c r="J69" s="20"/>
      <c r="K69" s="20"/>
      <c r="L69" s="20"/>
      <c r="M69" s="20"/>
      <c r="N69" s="20"/>
      <c r="O69" s="20"/>
      <c r="P69" s="20"/>
      <c r="Q69" s="20"/>
      <c r="R69" s="20"/>
      <c r="S69" s="20"/>
      <c r="T69" s="20"/>
      <c r="U69" s="20"/>
    </row>
    <row r="70">
      <c r="A70" s="5" t="str">
        <f t="shared" si="3"/>
        <v>coproduct_3_constituents</v>
      </c>
      <c r="B70" s="20"/>
      <c r="C70" s="20"/>
      <c r="D70" s="5"/>
      <c r="E70" s="20"/>
      <c r="F70" s="20"/>
      <c r="G70" s="20"/>
      <c r="H70" s="20"/>
      <c r="I70" s="20"/>
      <c r="J70" s="20"/>
      <c r="K70" s="20"/>
      <c r="L70" s="20"/>
      <c r="M70" s="20"/>
      <c r="N70" s="20"/>
      <c r="O70" s="20"/>
      <c r="P70" s="20"/>
      <c r="Q70" s="20"/>
      <c r="R70" s="20"/>
      <c r="S70" s="20"/>
      <c r="T70" s="20"/>
      <c r="U70" s="20"/>
    </row>
    <row r="71">
      <c r="A71" s="5" t="str">
        <f t="shared" si="3"/>
        <v>coproduct_3_constituent_fractions</v>
      </c>
      <c r="B71" s="20"/>
      <c r="C71" s="20"/>
      <c r="D71" s="5"/>
      <c r="E71" s="20"/>
      <c r="F71" s="20"/>
      <c r="G71" s="20"/>
      <c r="H71" s="20"/>
      <c r="I71" s="20"/>
      <c r="J71" s="20"/>
      <c r="K71" s="20"/>
      <c r="L71" s="20"/>
      <c r="M71" s="20"/>
      <c r="N71" s="20"/>
      <c r="O71" s="20"/>
      <c r="P71" s="20"/>
      <c r="Q71" s="20"/>
      <c r="R71" s="20"/>
      <c r="S71" s="20"/>
      <c r="T71" s="20"/>
      <c r="U71" s="20"/>
    </row>
    <row r="72">
      <c r="A72" s="20"/>
      <c r="B72" s="20"/>
      <c r="C72" s="20"/>
      <c r="D72" s="20"/>
      <c r="E72" s="20"/>
      <c r="F72" s="20"/>
      <c r="G72" s="20"/>
      <c r="H72" s="20"/>
      <c r="I72" s="20"/>
      <c r="J72" s="20"/>
      <c r="K72" s="20"/>
      <c r="L72" s="20"/>
      <c r="M72" s="20"/>
      <c r="N72" s="20"/>
      <c r="O72" s="20"/>
      <c r="P72" s="20"/>
      <c r="Q72" s="20"/>
      <c r="R72" s="20"/>
      <c r="S72" s="20"/>
      <c r="T72" s="20"/>
      <c r="U72" s="20"/>
    </row>
    <row r="73">
      <c r="A73" s="20"/>
      <c r="B73" s="20"/>
      <c r="C73" s="20"/>
      <c r="D73" s="20"/>
      <c r="E73" s="20"/>
      <c r="F73" s="20"/>
      <c r="G73" s="20"/>
      <c r="H73" s="20"/>
      <c r="I73" s="20"/>
      <c r="J73" s="20"/>
      <c r="K73" s="20"/>
      <c r="L73" s="20"/>
      <c r="M73" s="20"/>
      <c r="N73" s="20"/>
      <c r="O73" s="20"/>
      <c r="P73" s="20"/>
      <c r="Q73" s="20"/>
      <c r="R73" s="20"/>
      <c r="S73" s="20"/>
      <c r="T73" s="20"/>
      <c r="U73" s="20"/>
    </row>
    <row r="74">
      <c r="A74" s="20"/>
      <c r="B74" s="20"/>
      <c r="C74" s="20"/>
      <c r="D74" s="20"/>
      <c r="E74" s="20"/>
      <c r="F74" s="20"/>
      <c r="G74" s="20"/>
      <c r="H74" s="20"/>
      <c r="I74" s="20"/>
      <c r="J74" s="20"/>
      <c r="K74" s="20"/>
      <c r="L74" s="20"/>
      <c r="M74" s="20"/>
      <c r="N74" s="20"/>
      <c r="O74" s="20"/>
      <c r="P74" s="20"/>
      <c r="Q74" s="20"/>
      <c r="R74" s="20"/>
      <c r="S74" s="20"/>
      <c r="T74" s="20"/>
      <c r="U74" s="20"/>
    </row>
    <row r="75">
      <c r="A75" s="20"/>
      <c r="B75" s="20"/>
      <c r="C75" s="20"/>
      <c r="D75" s="20"/>
      <c r="E75" s="20"/>
      <c r="F75" s="20"/>
      <c r="G75" s="20"/>
      <c r="H75" s="20"/>
      <c r="I75" s="20"/>
      <c r="J75" s="20"/>
      <c r="K75" s="20"/>
      <c r="L75" s="20"/>
      <c r="M75" s="20"/>
      <c r="N75" s="20"/>
      <c r="O75" s="20"/>
      <c r="P75" s="20"/>
      <c r="Q75" s="20"/>
      <c r="R75" s="20"/>
      <c r="S75" s="20"/>
      <c r="T75" s="20"/>
      <c r="U75" s="20"/>
    </row>
    <row r="76">
      <c r="A76" s="20"/>
      <c r="B76" s="20"/>
      <c r="C76" s="20"/>
      <c r="D76" s="20"/>
      <c r="E76" s="20"/>
      <c r="F76" s="20"/>
      <c r="G76" s="20"/>
      <c r="H76" s="20"/>
      <c r="I76" s="20"/>
      <c r="J76" s="20"/>
      <c r="K76" s="20"/>
      <c r="L76" s="20"/>
      <c r="M76" s="20"/>
      <c r="N76" s="20"/>
      <c r="O76" s="20"/>
      <c r="P76" s="20"/>
      <c r="Q76" s="20"/>
      <c r="R76" s="20"/>
      <c r="S76" s="20"/>
      <c r="T76" s="20"/>
      <c r="U76" s="20"/>
    </row>
    <row r="77">
      <c r="A77" s="20"/>
      <c r="B77" s="20"/>
      <c r="C77" s="20"/>
      <c r="D77" s="20"/>
      <c r="E77" s="20"/>
      <c r="F77" s="20"/>
      <c r="G77" s="20"/>
      <c r="H77" s="20"/>
      <c r="I77" s="20"/>
      <c r="J77" s="20"/>
      <c r="K77" s="20"/>
      <c r="L77" s="20"/>
      <c r="M77" s="20"/>
      <c r="N77" s="20"/>
      <c r="O77" s="20"/>
      <c r="P77" s="20"/>
      <c r="Q77" s="20"/>
      <c r="R77" s="20"/>
      <c r="S77" s="20"/>
      <c r="T77" s="20"/>
      <c r="U77" s="20"/>
    </row>
    <row r="78">
      <c r="A78" s="20"/>
      <c r="B78" s="20"/>
      <c r="C78" s="20"/>
      <c r="D78" s="20"/>
      <c r="E78" s="20"/>
      <c r="F78" s="20"/>
      <c r="G78" s="20"/>
      <c r="H78" s="20"/>
      <c r="I78" s="20"/>
      <c r="J78" s="20"/>
      <c r="K78" s="20"/>
      <c r="L78" s="20"/>
      <c r="M78" s="20"/>
      <c r="N78" s="20"/>
      <c r="O78" s="20"/>
      <c r="P78" s="20"/>
      <c r="Q78" s="20"/>
      <c r="R78" s="20"/>
      <c r="S78" s="20"/>
      <c r="T78" s="20"/>
      <c r="U78" s="20"/>
    </row>
    <row r="79">
      <c r="A79" s="20"/>
      <c r="B79" s="20"/>
      <c r="C79" s="20"/>
      <c r="D79" s="20"/>
      <c r="E79" s="20"/>
      <c r="F79" s="20"/>
      <c r="G79" s="20"/>
      <c r="H79" s="20"/>
      <c r="I79" s="20"/>
      <c r="J79" s="20"/>
      <c r="K79" s="20"/>
      <c r="L79" s="20"/>
      <c r="M79" s="20"/>
      <c r="N79" s="20"/>
      <c r="O79" s="20"/>
      <c r="P79" s="20"/>
      <c r="Q79" s="20"/>
      <c r="R79" s="20"/>
      <c r="S79" s="20"/>
      <c r="T79" s="20"/>
      <c r="U79" s="20"/>
    </row>
    <row r="80">
      <c r="A80" s="20"/>
      <c r="B80" s="20"/>
      <c r="C80" s="20"/>
      <c r="D80" s="20"/>
      <c r="E80" s="20"/>
      <c r="F80" s="20"/>
      <c r="G80" s="20"/>
      <c r="H80" s="20"/>
      <c r="I80" s="20"/>
      <c r="J80" s="20"/>
      <c r="K80" s="20"/>
      <c r="L80" s="20"/>
      <c r="M80" s="20"/>
      <c r="N80" s="20"/>
      <c r="O80" s="20"/>
      <c r="P80" s="20"/>
      <c r="Q80" s="20"/>
      <c r="R80" s="20"/>
      <c r="S80" s="20"/>
      <c r="T80" s="20"/>
      <c r="U80" s="20"/>
    </row>
    <row r="81">
      <c r="A81" s="20"/>
      <c r="B81" s="20"/>
      <c r="C81" s="20"/>
      <c r="D81" s="20"/>
      <c r="E81" s="20"/>
      <c r="F81" s="20"/>
      <c r="G81" s="20"/>
      <c r="H81" s="20"/>
      <c r="I81" s="20"/>
      <c r="J81" s="20"/>
      <c r="K81" s="20"/>
      <c r="L81" s="20"/>
      <c r="M81" s="20"/>
      <c r="N81" s="20"/>
      <c r="O81" s="20"/>
      <c r="P81" s="20"/>
      <c r="Q81" s="20"/>
      <c r="R81" s="20"/>
      <c r="S81" s="20"/>
      <c r="T81" s="20"/>
      <c r="U81" s="20"/>
    </row>
    <row r="82">
      <c r="A82" s="20"/>
      <c r="B82" s="20"/>
      <c r="C82" s="20"/>
      <c r="D82" s="20"/>
      <c r="E82" s="20"/>
      <c r="F82" s="20"/>
      <c r="G82" s="20"/>
      <c r="H82" s="20"/>
      <c r="I82" s="20"/>
      <c r="J82" s="20"/>
      <c r="K82" s="20"/>
      <c r="L82" s="20"/>
      <c r="M82" s="20"/>
      <c r="N82" s="20"/>
      <c r="O82" s="20"/>
      <c r="P82" s="20"/>
      <c r="Q82" s="20"/>
      <c r="R82" s="20"/>
      <c r="S82" s="20"/>
      <c r="T82" s="20"/>
      <c r="U82" s="20"/>
    </row>
    <row r="83">
      <c r="A83" s="20"/>
      <c r="B83" s="20"/>
      <c r="C83" s="20"/>
      <c r="D83" s="20"/>
      <c r="E83" s="20"/>
      <c r="F83" s="20"/>
      <c r="G83" s="20"/>
      <c r="H83" s="20"/>
      <c r="I83" s="20"/>
      <c r="J83" s="20"/>
      <c r="K83" s="20"/>
      <c r="L83" s="20"/>
      <c r="M83" s="20"/>
      <c r="N83" s="20"/>
      <c r="O83" s="20"/>
      <c r="P83" s="20"/>
      <c r="Q83" s="20"/>
      <c r="R83" s="20"/>
      <c r="S83" s="20"/>
      <c r="T83" s="20"/>
      <c r="U83" s="20"/>
    </row>
    <row r="84">
      <c r="A84" s="20"/>
      <c r="B84" s="20"/>
      <c r="C84" s="20"/>
      <c r="D84" s="20"/>
      <c r="E84" s="20"/>
      <c r="F84" s="20"/>
      <c r="G84" s="20"/>
      <c r="H84" s="20"/>
      <c r="I84" s="20"/>
      <c r="J84" s="20"/>
      <c r="K84" s="20"/>
      <c r="L84" s="20"/>
      <c r="M84" s="20"/>
      <c r="N84" s="20"/>
      <c r="O84" s="20"/>
      <c r="P84" s="20"/>
      <c r="Q84" s="20"/>
      <c r="R84" s="20"/>
      <c r="S84" s="20"/>
      <c r="T84" s="20"/>
      <c r="U84" s="20"/>
    </row>
    <row r="85">
      <c r="A85" s="20"/>
      <c r="B85" s="20"/>
      <c r="C85" s="20"/>
      <c r="D85" s="20"/>
      <c r="E85" s="20"/>
      <c r="F85" s="20"/>
      <c r="G85" s="20"/>
      <c r="H85" s="20"/>
      <c r="I85" s="20"/>
      <c r="J85" s="20"/>
      <c r="K85" s="20"/>
      <c r="L85" s="20"/>
      <c r="M85" s="20"/>
      <c r="N85" s="20"/>
      <c r="O85" s="20"/>
      <c r="P85" s="20"/>
      <c r="Q85" s="20"/>
      <c r="R85" s="20"/>
      <c r="S85" s="20"/>
      <c r="T85" s="20"/>
      <c r="U85" s="20"/>
    </row>
    <row r="86">
      <c r="A86" s="20"/>
      <c r="B86" s="20"/>
      <c r="C86" s="20"/>
      <c r="D86" s="20"/>
      <c r="E86" s="20"/>
      <c r="F86" s="20"/>
      <c r="G86" s="20"/>
      <c r="H86" s="20"/>
      <c r="I86" s="20"/>
      <c r="J86" s="20"/>
      <c r="K86" s="20"/>
      <c r="L86" s="20"/>
      <c r="M86" s="20"/>
      <c r="N86" s="20"/>
      <c r="O86" s="20"/>
      <c r="P86" s="20"/>
      <c r="Q86" s="20"/>
      <c r="R86" s="20"/>
      <c r="S86" s="20"/>
      <c r="T86" s="20"/>
      <c r="U86" s="20"/>
    </row>
    <row r="87">
      <c r="A87" s="20"/>
      <c r="B87" s="20"/>
      <c r="C87" s="20"/>
      <c r="D87" s="20"/>
      <c r="E87" s="20"/>
      <c r="F87" s="20"/>
      <c r="G87" s="20"/>
      <c r="H87" s="20"/>
      <c r="I87" s="20"/>
      <c r="J87" s="20"/>
      <c r="K87" s="20"/>
      <c r="L87" s="20"/>
      <c r="M87" s="20"/>
      <c r="N87" s="20"/>
      <c r="O87" s="20"/>
      <c r="P87" s="20"/>
      <c r="Q87" s="20"/>
      <c r="R87" s="20"/>
      <c r="S87" s="20"/>
      <c r="T87" s="20"/>
      <c r="U87" s="20"/>
    </row>
    <row r="88">
      <c r="A88" s="20"/>
      <c r="B88" s="20"/>
      <c r="C88" s="20"/>
      <c r="D88" s="20"/>
      <c r="E88" s="20"/>
      <c r="F88" s="20"/>
      <c r="G88" s="20"/>
      <c r="H88" s="20"/>
      <c r="I88" s="20"/>
      <c r="J88" s="20"/>
      <c r="K88" s="20"/>
      <c r="L88" s="20"/>
      <c r="M88" s="20"/>
      <c r="N88" s="20"/>
      <c r="O88" s="20"/>
      <c r="P88" s="20"/>
      <c r="Q88" s="20"/>
      <c r="R88" s="20"/>
      <c r="S88" s="20"/>
      <c r="T88" s="20"/>
      <c r="U88" s="20"/>
    </row>
    <row r="89">
      <c r="A89" s="20"/>
      <c r="B89" s="20"/>
      <c r="C89" s="20"/>
      <c r="D89" s="20"/>
      <c r="E89" s="20"/>
      <c r="F89" s="20"/>
      <c r="G89" s="20"/>
      <c r="H89" s="20"/>
      <c r="I89" s="20"/>
      <c r="J89" s="20"/>
      <c r="K89" s="20"/>
      <c r="L89" s="20"/>
      <c r="M89" s="20"/>
      <c r="N89" s="20"/>
      <c r="O89" s="20"/>
      <c r="P89" s="20"/>
      <c r="Q89" s="20"/>
      <c r="R89" s="20"/>
      <c r="S89" s="20"/>
      <c r="T89" s="20"/>
      <c r="U89" s="20"/>
    </row>
    <row r="90">
      <c r="A90" s="20"/>
      <c r="B90" s="20"/>
      <c r="C90" s="20"/>
      <c r="D90" s="20"/>
      <c r="E90" s="20"/>
      <c r="F90" s="20"/>
      <c r="G90" s="20"/>
      <c r="H90" s="20"/>
      <c r="I90" s="20"/>
      <c r="J90" s="20"/>
      <c r="K90" s="20"/>
      <c r="L90" s="20"/>
      <c r="M90" s="20"/>
      <c r="N90" s="20"/>
      <c r="O90" s="20"/>
      <c r="P90" s="20"/>
      <c r="Q90" s="20"/>
      <c r="R90" s="20"/>
      <c r="S90" s="20"/>
      <c r="T90" s="20"/>
      <c r="U90" s="20"/>
    </row>
    <row r="91">
      <c r="A91" s="20"/>
      <c r="B91" s="20"/>
      <c r="C91" s="20"/>
      <c r="D91" s="20"/>
      <c r="E91" s="20"/>
      <c r="F91" s="20"/>
      <c r="G91" s="20"/>
      <c r="H91" s="20"/>
      <c r="I91" s="20"/>
      <c r="J91" s="20"/>
      <c r="K91" s="20"/>
      <c r="L91" s="20"/>
      <c r="M91" s="20"/>
      <c r="N91" s="20"/>
      <c r="O91" s="20"/>
      <c r="P91" s="20"/>
      <c r="Q91" s="20"/>
      <c r="R91" s="20"/>
      <c r="S91" s="20"/>
      <c r="T91" s="20"/>
      <c r="U91" s="20"/>
    </row>
    <row r="92">
      <c r="A92" s="20"/>
      <c r="B92" s="20"/>
      <c r="C92" s="20"/>
      <c r="D92" s="20"/>
      <c r="E92" s="20"/>
      <c r="F92" s="20"/>
      <c r="G92" s="20"/>
      <c r="H92" s="20"/>
      <c r="I92" s="20"/>
      <c r="J92" s="20"/>
      <c r="K92" s="20"/>
      <c r="L92" s="20"/>
      <c r="M92" s="20"/>
      <c r="N92" s="20"/>
      <c r="O92" s="20"/>
      <c r="P92" s="20"/>
      <c r="Q92" s="20"/>
      <c r="R92" s="20"/>
      <c r="S92" s="20"/>
      <c r="T92" s="20"/>
      <c r="U92" s="20"/>
    </row>
    <row r="93">
      <c r="A93" s="20"/>
      <c r="B93" s="20"/>
      <c r="C93" s="20"/>
      <c r="D93" s="20"/>
      <c r="E93" s="20"/>
      <c r="F93" s="20"/>
      <c r="G93" s="20"/>
      <c r="H93" s="20"/>
      <c r="I93" s="20"/>
      <c r="J93" s="20"/>
      <c r="K93" s="20"/>
      <c r="L93" s="20"/>
      <c r="M93" s="20"/>
      <c r="N93" s="20"/>
      <c r="O93" s="20"/>
      <c r="P93" s="20"/>
      <c r="Q93" s="20"/>
      <c r="R93" s="20"/>
      <c r="S93" s="20"/>
      <c r="T93" s="20"/>
      <c r="U93" s="20"/>
    </row>
    <row r="94">
      <c r="A94" s="20"/>
      <c r="B94" s="20"/>
      <c r="C94" s="20"/>
      <c r="D94" s="20"/>
      <c r="E94" s="20"/>
      <c r="F94" s="20"/>
      <c r="G94" s="20"/>
      <c r="H94" s="20"/>
      <c r="I94" s="20"/>
      <c r="J94" s="20"/>
      <c r="K94" s="20"/>
      <c r="L94" s="20"/>
      <c r="M94" s="20"/>
      <c r="N94" s="20"/>
      <c r="O94" s="20"/>
      <c r="P94" s="20"/>
      <c r="Q94" s="20"/>
      <c r="R94" s="20"/>
      <c r="S94" s="20"/>
      <c r="T94" s="20"/>
      <c r="U94" s="20"/>
    </row>
    <row r="95">
      <c r="A95" s="20"/>
      <c r="B95" s="20"/>
      <c r="C95" s="20"/>
      <c r="D95" s="20"/>
      <c r="E95" s="20"/>
      <c r="F95" s="20"/>
      <c r="G95" s="20"/>
      <c r="H95" s="20"/>
      <c r="I95" s="20"/>
      <c r="J95" s="20"/>
      <c r="K95" s="20"/>
      <c r="L95" s="20"/>
      <c r="M95" s="20"/>
      <c r="N95" s="20"/>
      <c r="O95" s="20"/>
      <c r="P95" s="20"/>
      <c r="Q95" s="20"/>
      <c r="R95" s="20"/>
      <c r="S95" s="20"/>
      <c r="T95" s="20"/>
      <c r="U95" s="20"/>
    </row>
    <row r="96">
      <c r="A96" s="20"/>
      <c r="B96" s="20"/>
      <c r="C96" s="20"/>
      <c r="D96" s="20"/>
      <c r="E96" s="20"/>
      <c r="F96" s="20"/>
      <c r="G96" s="20"/>
      <c r="H96" s="20"/>
      <c r="I96" s="20"/>
      <c r="J96" s="20"/>
      <c r="K96" s="20"/>
      <c r="L96" s="20"/>
      <c r="M96" s="20"/>
      <c r="N96" s="20"/>
      <c r="O96" s="20"/>
      <c r="P96" s="20"/>
      <c r="Q96" s="20"/>
      <c r="R96" s="20"/>
      <c r="S96" s="20"/>
      <c r="T96" s="20"/>
      <c r="U96" s="20"/>
    </row>
    <row r="97">
      <c r="A97" s="20"/>
      <c r="B97" s="20"/>
      <c r="C97" s="20"/>
      <c r="D97" s="20"/>
      <c r="E97" s="20"/>
      <c r="F97" s="20"/>
      <c r="G97" s="20"/>
      <c r="H97" s="20"/>
      <c r="I97" s="20"/>
      <c r="J97" s="20"/>
      <c r="K97" s="20"/>
      <c r="L97" s="20"/>
      <c r="M97" s="20"/>
      <c r="N97" s="20"/>
      <c r="O97" s="20"/>
      <c r="P97" s="20"/>
      <c r="Q97" s="20"/>
      <c r="R97" s="20"/>
      <c r="S97" s="20"/>
      <c r="T97" s="20"/>
      <c r="U97" s="20"/>
    </row>
    <row r="98">
      <c r="A98" s="20"/>
      <c r="B98" s="20"/>
      <c r="C98" s="20"/>
      <c r="D98" s="20"/>
      <c r="E98" s="20"/>
      <c r="F98" s="20"/>
      <c r="G98" s="20"/>
      <c r="H98" s="20"/>
      <c r="I98" s="20"/>
      <c r="J98" s="20"/>
      <c r="K98" s="20"/>
      <c r="L98" s="20"/>
      <c r="M98" s="20"/>
      <c r="N98" s="20"/>
      <c r="O98" s="20"/>
      <c r="P98" s="20"/>
      <c r="Q98" s="20"/>
      <c r="R98" s="20"/>
      <c r="S98" s="20"/>
      <c r="T98" s="20"/>
      <c r="U98" s="20"/>
    </row>
    <row r="99">
      <c r="A99" s="20"/>
      <c r="B99" s="20"/>
      <c r="C99" s="20"/>
      <c r="D99" s="20"/>
      <c r="E99" s="20"/>
      <c r="F99" s="20"/>
      <c r="G99" s="20"/>
      <c r="H99" s="20"/>
      <c r="I99" s="20"/>
      <c r="J99" s="20"/>
      <c r="K99" s="20"/>
      <c r="L99" s="20"/>
      <c r="M99" s="20"/>
      <c r="N99" s="20"/>
      <c r="O99" s="20"/>
      <c r="P99" s="20"/>
      <c r="Q99" s="20"/>
      <c r="R99" s="20"/>
      <c r="S99" s="20"/>
      <c r="T99" s="20"/>
      <c r="U99" s="20"/>
    </row>
    <row r="100">
      <c r="A100" s="20"/>
      <c r="B100" s="20"/>
      <c r="C100" s="20"/>
      <c r="D100" s="20"/>
      <c r="E100" s="20"/>
      <c r="F100" s="20"/>
      <c r="G100" s="20"/>
      <c r="H100" s="20"/>
      <c r="I100" s="20"/>
      <c r="J100" s="20"/>
      <c r="K100" s="20"/>
      <c r="L100" s="20"/>
      <c r="M100" s="20"/>
      <c r="N100" s="20"/>
      <c r="O100" s="20"/>
      <c r="P100" s="20"/>
      <c r="Q100" s="20"/>
      <c r="R100" s="20"/>
      <c r="S100" s="20"/>
      <c r="T100" s="20"/>
      <c r="U100" s="20"/>
    </row>
    <row r="101">
      <c r="A101" s="20"/>
      <c r="B101" s="20"/>
      <c r="C101" s="20"/>
      <c r="D101" s="20"/>
      <c r="E101" s="20"/>
      <c r="F101" s="20"/>
      <c r="G101" s="20"/>
      <c r="H101" s="20"/>
      <c r="I101" s="20"/>
      <c r="J101" s="20"/>
      <c r="K101" s="20"/>
      <c r="L101" s="20"/>
      <c r="M101" s="20"/>
      <c r="N101" s="20"/>
      <c r="O101" s="20"/>
      <c r="P101" s="20"/>
      <c r="Q101" s="20"/>
      <c r="R101" s="20"/>
      <c r="S101" s="20"/>
      <c r="T101" s="20"/>
      <c r="U101" s="20"/>
    </row>
    <row r="102">
      <c r="A102" s="20"/>
      <c r="B102" s="20"/>
      <c r="C102" s="20"/>
      <c r="D102" s="20"/>
      <c r="E102" s="20"/>
      <c r="F102" s="20"/>
      <c r="G102" s="20"/>
      <c r="H102" s="20"/>
      <c r="I102" s="20"/>
      <c r="J102" s="20"/>
      <c r="K102" s="20"/>
      <c r="L102" s="20"/>
      <c r="M102" s="20"/>
      <c r="N102" s="20"/>
      <c r="O102" s="20"/>
      <c r="P102" s="20"/>
      <c r="Q102" s="20"/>
      <c r="R102" s="20"/>
      <c r="S102" s="20"/>
      <c r="T102" s="20"/>
      <c r="U102" s="20"/>
    </row>
    <row r="103">
      <c r="A103" s="20"/>
      <c r="B103" s="20"/>
      <c r="C103" s="20"/>
      <c r="D103" s="20"/>
      <c r="E103" s="20"/>
      <c r="F103" s="20"/>
      <c r="G103" s="20"/>
      <c r="H103" s="20"/>
      <c r="I103" s="20"/>
      <c r="J103" s="20"/>
      <c r="K103" s="20"/>
      <c r="L103" s="20"/>
      <c r="M103" s="20"/>
      <c r="N103" s="20"/>
      <c r="O103" s="20"/>
      <c r="P103" s="20"/>
      <c r="Q103" s="20"/>
      <c r="R103" s="20"/>
      <c r="S103" s="20"/>
      <c r="T103" s="20"/>
      <c r="U103" s="20"/>
    </row>
    <row r="104">
      <c r="A104" s="20"/>
      <c r="B104" s="20"/>
      <c r="C104" s="20"/>
      <c r="D104" s="20"/>
      <c r="E104" s="20"/>
      <c r="F104" s="20"/>
      <c r="G104" s="20"/>
      <c r="H104" s="20"/>
      <c r="I104" s="20"/>
      <c r="J104" s="20"/>
      <c r="K104" s="20"/>
      <c r="L104" s="20"/>
      <c r="M104" s="20"/>
      <c r="N104" s="20"/>
      <c r="O104" s="20"/>
      <c r="P104" s="20"/>
      <c r="Q104" s="20"/>
      <c r="R104" s="20"/>
      <c r="S104" s="20"/>
      <c r="T104" s="20"/>
      <c r="U104" s="20"/>
    </row>
    <row r="105">
      <c r="A105" s="20"/>
      <c r="B105" s="20"/>
      <c r="C105" s="20"/>
      <c r="D105" s="20"/>
      <c r="E105" s="20"/>
      <c r="F105" s="20"/>
      <c r="G105" s="20"/>
      <c r="H105" s="20"/>
      <c r="I105" s="20"/>
      <c r="J105" s="20"/>
      <c r="K105" s="20"/>
      <c r="L105" s="20"/>
      <c r="M105" s="20"/>
      <c r="N105" s="20"/>
      <c r="O105" s="20"/>
      <c r="P105" s="20"/>
      <c r="Q105" s="20"/>
      <c r="R105" s="20"/>
      <c r="S105" s="20"/>
      <c r="T105" s="20"/>
      <c r="U105" s="20"/>
    </row>
    <row r="106">
      <c r="A106" s="20"/>
      <c r="B106" s="20"/>
      <c r="C106" s="20"/>
      <c r="D106" s="20"/>
      <c r="E106" s="20"/>
      <c r="F106" s="20"/>
      <c r="G106" s="20"/>
      <c r="H106" s="20"/>
      <c r="I106" s="20"/>
      <c r="J106" s="20"/>
      <c r="K106" s="20"/>
      <c r="L106" s="20"/>
      <c r="M106" s="20"/>
      <c r="N106" s="20"/>
      <c r="O106" s="20"/>
      <c r="P106" s="20"/>
      <c r="Q106" s="20"/>
      <c r="R106" s="20"/>
      <c r="S106" s="20"/>
      <c r="T106" s="20"/>
      <c r="U106" s="20"/>
    </row>
    <row r="107">
      <c r="A107" s="20"/>
      <c r="B107" s="20"/>
      <c r="C107" s="20"/>
      <c r="D107" s="20"/>
      <c r="E107" s="20"/>
      <c r="F107" s="20"/>
      <c r="G107" s="20"/>
      <c r="H107" s="20"/>
      <c r="I107" s="20"/>
      <c r="J107" s="20"/>
      <c r="K107" s="20"/>
      <c r="L107" s="20"/>
      <c r="M107" s="20"/>
      <c r="N107" s="20"/>
      <c r="O107" s="20"/>
      <c r="P107" s="20"/>
      <c r="Q107" s="20"/>
      <c r="R107" s="20"/>
      <c r="S107" s="20"/>
      <c r="T107" s="20"/>
      <c r="U107" s="20"/>
    </row>
    <row r="108">
      <c r="A108" s="20"/>
      <c r="B108" s="20"/>
      <c r="C108" s="20"/>
      <c r="D108" s="20"/>
      <c r="E108" s="20"/>
      <c r="F108" s="20"/>
      <c r="G108" s="20"/>
      <c r="H108" s="20"/>
      <c r="I108" s="20"/>
      <c r="J108" s="20"/>
      <c r="K108" s="20"/>
      <c r="L108" s="20"/>
      <c r="M108" s="20"/>
      <c r="N108" s="20"/>
      <c r="O108" s="20"/>
      <c r="P108" s="20"/>
      <c r="Q108" s="20"/>
      <c r="R108" s="20"/>
      <c r="S108" s="20"/>
      <c r="T108" s="20"/>
      <c r="U108" s="20"/>
    </row>
    <row r="109">
      <c r="A109" s="20"/>
      <c r="B109" s="20"/>
      <c r="C109" s="20"/>
      <c r="D109" s="20"/>
      <c r="E109" s="20"/>
      <c r="F109" s="20"/>
      <c r="G109" s="20"/>
      <c r="H109" s="20"/>
      <c r="I109" s="20"/>
      <c r="J109" s="20"/>
      <c r="K109" s="20"/>
      <c r="L109" s="20"/>
      <c r="M109" s="20"/>
      <c r="N109" s="20"/>
      <c r="O109" s="20"/>
      <c r="P109" s="20"/>
      <c r="Q109" s="20"/>
      <c r="R109" s="20"/>
      <c r="S109" s="20"/>
      <c r="T109" s="20"/>
      <c r="U109" s="20"/>
    </row>
    <row r="110">
      <c r="A110" s="20"/>
      <c r="B110" s="20"/>
      <c r="C110" s="20"/>
      <c r="D110" s="20"/>
      <c r="E110" s="20"/>
      <c r="F110" s="20"/>
      <c r="G110" s="20"/>
      <c r="H110" s="20"/>
      <c r="I110" s="20"/>
      <c r="J110" s="20"/>
      <c r="K110" s="20"/>
      <c r="L110" s="20"/>
      <c r="M110" s="20"/>
      <c r="N110" s="20"/>
      <c r="O110" s="20"/>
      <c r="P110" s="20"/>
      <c r="Q110" s="20"/>
      <c r="R110" s="20"/>
      <c r="S110" s="20"/>
      <c r="T110" s="20"/>
      <c r="U110" s="20"/>
    </row>
    <row r="111">
      <c r="A111" s="20"/>
      <c r="B111" s="20"/>
      <c r="C111" s="20"/>
      <c r="D111" s="20"/>
      <c r="E111" s="20"/>
      <c r="F111" s="20"/>
      <c r="G111" s="20"/>
      <c r="H111" s="20"/>
      <c r="I111" s="20"/>
      <c r="J111" s="20"/>
      <c r="K111" s="20"/>
      <c r="L111" s="20"/>
      <c r="M111" s="20"/>
      <c r="N111" s="20"/>
      <c r="O111" s="20"/>
      <c r="P111" s="20"/>
      <c r="Q111" s="20"/>
      <c r="R111" s="20"/>
      <c r="S111" s="20"/>
      <c r="T111" s="20"/>
      <c r="U111" s="20"/>
    </row>
    <row r="112">
      <c r="A112" s="20"/>
      <c r="B112" s="20"/>
      <c r="C112" s="20"/>
      <c r="D112" s="20"/>
      <c r="E112" s="20"/>
      <c r="F112" s="20"/>
      <c r="G112" s="20"/>
      <c r="H112" s="20"/>
      <c r="I112" s="20"/>
      <c r="J112" s="20"/>
      <c r="K112" s="20"/>
      <c r="L112" s="20"/>
      <c r="M112" s="20"/>
      <c r="N112" s="20"/>
      <c r="O112" s="20"/>
      <c r="P112" s="20"/>
      <c r="Q112" s="20"/>
      <c r="R112" s="20"/>
      <c r="S112" s="20"/>
      <c r="T112" s="20"/>
      <c r="U112" s="20"/>
    </row>
    <row r="113">
      <c r="A113" s="20"/>
      <c r="B113" s="20"/>
      <c r="C113" s="20"/>
      <c r="D113" s="20"/>
      <c r="E113" s="20"/>
      <c r="F113" s="20"/>
      <c r="G113" s="20"/>
      <c r="H113" s="20"/>
      <c r="I113" s="20"/>
      <c r="J113" s="20"/>
      <c r="K113" s="20"/>
      <c r="L113" s="20"/>
      <c r="M113" s="20"/>
      <c r="N113" s="20"/>
      <c r="O113" s="20"/>
      <c r="P113" s="20"/>
      <c r="Q113" s="20"/>
      <c r="R113" s="20"/>
      <c r="S113" s="20"/>
      <c r="T113" s="20"/>
      <c r="U113" s="20"/>
    </row>
    <row r="114">
      <c r="A114" s="20"/>
      <c r="B114" s="20"/>
      <c r="C114" s="20"/>
      <c r="D114" s="20"/>
      <c r="E114" s="20"/>
      <c r="F114" s="20"/>
      <c r="G114" s="20"/>
      <c r="H114" s="20"/>
      <c r="I114" s="20"/>
      <c r="J114" s="20"/>
      <c r="K114" s="20"/>
      <c r="L114" s="20"/>
      <c r="M114" s="20"/>
      <c r="N114" s="20"/>
      <c r="O114" s="20"/>
      <c r="P114" s="20"/>
      <c r="Q114" s="20"/>
      <c r="R114" s="20"/>
      <c r="S114" s="20"/>
      <c r="T114" s="20"/>
      <c r="U114" s="20"/>
    </row>
    <row r="115">
      <c r="A115" s="20"/>
      <c r="B115" s="20"/>
      <c r="C115" s="20"/>
      <c r="D115" s="20"/>
      <c r="E115" s="20"/>
      <c r="F115" s="20"/>
      <c r="G115" s="20"/>
      <c r="H115" s="20"/>
      <c r="I115" s="20"/>
      <c r="J115" s="20"/>
      <c r="K115" s="20"/>
      <c r="L115" s="20"/>
      <c r="M115" s="20"/>
      <c r="N115" s="20"/>
      <c r="O115" s="20"/>
      <c r="P115" s="20"/>
      <c r="Q115" s="20"/>
      <c r="R115" s="20"/>
      <c r="S115" s="20"/>
      <c r="T115" s="20"/>
      <c r="U115" s="20"/>
    </row>
    <row r="116">
      <c r="A116" s="20"/>
      <c r="B116" s="20"/>
      <c r="C116" s="20"/>
      <c r="D116" s="20"/>
      <c r="E116" s="20"/>
      <c r="F116" s="20"/>
      <c r="G116" s="20"/>
      <c r="H116" s="20"/>
      <c r="I116" s="20"/>
      <c r="J116" s="20"/>
      <c r="K116" s="20"/>
      <c r="L116" s="20"/>
      <c r="M116" s="20"/>
      <c r="N116" s="20"/>
      <c r="O116" s="20"/>
      <c r="P116" s="20"/>
      <c r="Q116" s="20"/>
      <c r="R116" s="20"/>
      <c r="S116" s="20"/>
      <c r="T116" s="20"/>
      <c r="U116" s="20"/>
    </row>
    <row r="117">
      <c r="A117" s="20"/>
      <c r="B117" s="20"/>
      <c r="C117" s="20"/>
      <c r="D117" s="20"/>
      <c r="E117" s="20"/>
      <c r="F117" s="20"/>
      <c r="G117" s="20"/>
      <c r="H117" s="20"/>
      <c r="I117" s="20"/>
      <c r="J117" s="20"/>
      <c r="K117" s="20"/>
      <c r="L117" s="20"/>
      <c r="M117" s="20"/>
      <c r="N117" s="20"/>
      <c r="O117" s="20"/>
      <c r="P117" s="20"/>
      <c r="Q117" s="20"/>
      <c r="R117" s="20"/>
      <c r="S117" s="20"/>
      <c r="T117" s="20"/>
      <c r="U117" s="20"/>
    </row>
    <row r="118">
      <c r="A118" s="20"/>
      <c r="B118" s="20"/>
      <c r="C118" s="20"/>
      <c r="D118" s="20"/>
      <c r="E118" s="20"/>
      <c r="F118" s="20"/>
      <c r="G118" s="20"/>
      <c r="H118" s="20"/>
      <c r="I118" s="20"/>
      <c r="J118" s="20"/>
      <c r="K118" s="20"/>
      <c r="L118" s="20"/>
      <c r="M118" s="20"/>
      <c r="N118" s="20"/>
      <c r="O118" s="20"/>
      <c r="P118" s="20"/>
      <c r="Q118" s="20"/>
      <c r="R118" s="20"/>
      <c r="S118" s="20"/>
      <c r="T118" s="20"/>
      <c r="U118" s="20"/>
    </row>
    <row r="119">
      <c r="A119" s="20"/>
      <c r="B119" s="20"/>
      <c r="C119" s="20"/>
      <c r="D119" s="20"/>
      <c r="E119" s="20"/>
      <c r="F119" s="20"/>
      <c r="G119" s="20"/>
      <c r="H119" s="20"/>
      <c r="I119" s="20"/>
      <c r="J119" s="20"/>
      <c r="K119" s="20"/>
      <c r="L119" s="20"/>
      <c r="M119" s="20"/>
      <c r="N119" s="20"/>
      <c r="O119" s="20"/>
      <c r="P119" s="20"/>
      <c r="Q119" s="20"/>
      <c r="R119" s="20"/>
      <c r="S119" s="20"/>
      <c r="T119" s="20"/>
      <c r="U119" s="20"/>
    </row>
    <row r="120">
      <c r="A120" s="20"/>
      <c r="B120" s="20"/>
      <c r="C120" s="20"/>
      <c r="D120" s="20"/>
      <c r="E120" s="20"/>
      <c r="F120" s="20"/>
      <c r="G120" s="20"/>
      <c r="H120" s="20"/>
      <c r="I120" s="20"/>
      <c r="J120" s="20"/>
      <c r="K120" s="20"/>
      <c r="L120" s="20"/>
      <c r="M120" s="20"/>
      <c r="N120" s="20"/>
      <c r="O120" s="20"/>
      <c r="P120" s="20"/>
      <c r="Q120" s="20"/>
      <c r="R120" s="20"/>
      <c r="S120" s="20"/>
      <c r="T120" s="20"/>
      <c r="U120" s="20"/>
    </row>
    <row r="121">
      <c r="A121" s="20"/>
      <c r="B121" s="20"/>
      <c r="C121" s="20"/>
      <c r="D121" s="20"/>
      <c r="E121" s="20"/>
      <c r="F121" s="20"/>
      <c r="G121" s="20"/>
      <c r="H121" s="20"/>
      <c r="I121" s="20"/>
      <c r="J121" s="20"/>
      <c r="K121" s="20"/>
      <c r="L121" s="20"/>
      <c r="M121" s="20"/>
      <c r="N121" s="20"/>
      <c r="O121" s="20"/>
      <c r="P121" s="20"/>
      <c r="Q121" s="20"/>
      <c r="R121" s="20"/>
      <c r="S121" s="20"/>
      <c r="T121" s="20"/>
      <c r="U121" s="20"/>
    </row>
    <row r="122">
      <c r="A122" s="20"/>
      <c r="B122" s="20"/>
      <c r="C122" s="20"/>
      <c r="D122" s="20"/>
      <c r="E122" s="20"/>
      <c r="F122" s="20"/>
      <c r="G122" s="20"/>
      <c r="H122" s="20"/>
      <c r="I122" s="20"/>
      <c r="J122" s="20"/>
      <c r="K122" s="20"/>
      <c r="L122" s="20"/>
      <c r="M122" s="20"/>
      <c r="N122" s="20"/>
      <c r="O122" s="20"/>
      <c r="P122" s="20"/>
      <c r="Q122" s="20"/>
      <c r="R122" s="20"/>
      <c r="S122" s="20"/>
      <c r="T122" s="20"/>
      <c r="U122" s="20"/>
    </row>
    <row r="123">
      <c r="A123" s="20"/>
      <c r="B123" s="20"/>
      <c r="C123" s="20"/>
      <c r="D123" s="20"/>
      <c r="E123" s="20"/>
      <c r="F123" s="20"/>
      <c r="G123" s="20"/>
      <c r="H123" s="20"/>
      <c r="I123" s="20"/>
      <c r="J123" s="20"/>
      <c r="K123" s="20"/>
      <c r="L123" s="20"/>
      <c r="M123" s="20"/>
      <c r="N123" s="20"/>
      <c r="O123" s="20"/>
      <c r="P123" s="20"/>
      <c r="Q123" s="20"/>
      <c r="R123" s="20"/>
      <c r="S123" s="20"/>
      <c r="T123" s="20"/>
      <c r="U123" s="20"/>
    </row>
    <row r="124">
      <c r="A124" s="20"/>
      <c r="B124" s="20"/>
      <c r="C124" s="20"/>
      <c r="D124" s="20"/>
      <c r="E124" s="20"/>
      <c r="F124" s="20"/>
      <c r="G124" s="20"/>
      <c r="H124" s="20"/>
      <c r="I124" s="20"/>
      <c r="J124" s="20"/>
      <c r="K124" s="20"/>
      <c r="L124" s="20"/>
      <c r="M124" s="20"/>
      <c r="N124" s="20"/>
      <c r="O124" s="20"/>
      <c r="P124" s="20"/>
      <c r="Q124" s="20"/>
      <c r="R124" s="20"/>
      <c r="S124" s="20"/>
      <c r="T124" s="20"/>
      <c r="U124" s="20"/>
    </row>
    <row r="125">
      <c r="A125" s="20"/>
      <c r="B125" s="20"/>
      <c r="C125" s="20"/>
      <c r="D125" s="20"/>
      <c r="E125" s="20"/>
      <c r="F125" s="20"/>
      <c r="G125" s="20"/>
      <c r="H125" s="20"/>
      <c r="I125" s="20"/>
      <c r="J125" s="20"/>
      <c r="K125" s="20"/>
      <c r="L125" s="20"/>
      <c r="M125" s="20"/>
      <c r="N125" s="20"/>
      <c r="O125" s="20"/>
      <c r="P125" s="20"/>
      <c r="Q125" s="20"/>
      <c r="R125" s="20"/>
      <c r="S125" s="20"/>
      <c r="T125" s="20"/>
      <c r="U125" s="20"/>
    </row>
    <row r="126">
      <c r="A126" s="20"/>
      <c r="B126" s="20"/>
      <c r="C126" s="20"/>
      <c r="D126" s="20"/>
      <c r="E126" s="20"/>
      <c r="F126" s="20"/>
      <c r="G126" s="20"/>
      <c r="H126" s="20"/>
      <c r="I126" s="20"/>
      <c r="J126" s="20"/>
      <c r="K126" s="20"/>
      <c r="L126" s="20"/>
      <c r="M126" s="20"/>
      <c r="N126" s="20"/>
      <c r="O126" s="20"/>
      <c r="P126" s="20"/>
      <c r="Q126" s="20"/>
      <c r="R126" s="20"/>
      <c r="S126" s="20"/>
      <c r="T126" s="20"/>
      <c r="U126" s="20"/>
    </row>
    <row r="127">
      <c r="A127" s="20"/>
      <c r="B127" s="20"/>
      <c r="C127" s="20"/>
      <c r="D127" s="20"/>
      <c r="E127" s="20"/>
      <c r="F127" s="20"/>
      <c r="G127" s="20"/>
      <c r="H127" s="20"/>
      <c r="I127" s="20"/>
      <c r="J127" s="20"/>
      <c r="K127" s="20"/>
      <c r="L127" s="20"/>
      <c r="M127" s="20"/>
      <c r="N127" s="20"/>
      <c r="O127" s="20"/>
      <c r="P127" s="20"/>
      <c r="Q127" s="20"/>
      <c r="R127" s="20"/>
      <c r="S127" s="20"/>
      <c r="T127" s="20"/>
      <c r="U127" s="20"/>
    </row>
    <row r="128">
      <c r="A128" s="20"/>
      <c r="B128" s="20"/>
      <c r="C128" s="20"/>
      <c r="D128" s="20"/>
      <c r="E128" s="20"/>
      <c r="F128" s="20"/>
      <c r="G128" s="20"/>
      <c r="H128" s="20"/>
      <c r="I128" s="20"/>
      <c r="J128" s="20"/>
      <c r="K128" s="20"/>
      <c r="L128" s="20"/>
      <c r="M128" s="20"/>
      <c r="N128" s="20"/>
      <c r="O128" s="20"/>
      <c r="P128" s="20"/>
      <c r="Q128" s="20"/>
      <c r="R128" s="20"/>
      <c r="S128" s="20"/>
      <c r="T128" s="20"/>
      <c r="U128" s="20"/>
    </row>
    <row r="129">
      <c r="A129" s="20"/>
      <c r="B129" s="20"/>
      <c r="C129" s="20"/>
      <c r="D129" s="20"/>
      <c r="E129" s="20"/>
      <c r="F129" s="20"/>
      <c r="G129" s="20"/>
      <c r="H129" s="20"/>
      <c r="I129" s="20"/>
      <c r="J129" s="20"/>
      <c r="K129" s="20"/>
      <c r="L129" s="20"/>
      <c r="M129" s="20"/>
      <c r="N129" s="20"/>
      <c r="O129" s="20"/>
      <c r="P129" s="20"/>
      <c r="Q129" s="20"/>
      <c r="R129" s="20"/>
      <c r="S129" s="20"/>
      <c r="T129" s="20"/>
      <c r="U129" s="20"/>
    </row>
    <row r="130">
      <c r="A130" s="20"/>
      <c r="B130" s="20"/>
      <c r="C130" s="20"/>
      <c r="D130" s="20"/>
      <c r="E130" s="20"/>
      <c r="F130" s="20"/>
      <c r="G130" s="20"/>
      <c r="H130" s="20"/>
      <c r="I130" s="20"/>
      <c r="J130" s="20"/>
      <c r="K130" s="20"/>
      <c r="L130" s="20"/>
      <c r="M130" s="20"/>
      <c r="N130" s="20"/>
      <c r="O130" s="20"/>
      <c r="P130" s="20"/>
      <c r="Q130" s="20"/>
      <c r="R130" s="20"/>
      <c r="S130" s="20"/>
      <c r="T130" s="20"/>
      <c r="U130" s="20"/>
    </row>
    <row r="131">
      <c r="A131" s="20"/>
      <c r="B131" s="20"/>
      <c r="C131" s="20"/>
      <c r="D131" s="20"/>
      <c r="E131" s="20"/>
      <c r="F131" s="20"/>
      <c r="G131" s="20"/>
      <c r="H131" s="20"/>
      <c r="I131" s="20"/>
      <c r="J131" s="20"/>
      <c r="K131" s="20"/>
      <c r="L131" s="20"/>
      <c r="M131" s="20"/>
      <c r="N131" s="20"/>
      <c r="O131" s="20"/>
      <c r="P131" s="20"/>
      <c r="Q131" s="20"/>
      <c r="R131" s="20"/>
      <c r="S131" s="20"/>
      <c r="T131" s="20"/>
      <c r="U131" s="20"/>
    </row>
    <row r="132">
      <c r="A132" s="20"/>
      <c r="B132" s="20"/>
      <c r="C132" s="20"/>
      <c r="D132" s="20"/>
      <c r="E132" s="20"/>
      <c r="F132" s="20"/>
      <c r="G132" s="20"/>
      <c r="H132" s="20"/>
      <c r="I132" s="20"/>
      <c r="J132" s="20"/>
      <c r="K132" s="20"/>
      <c r="L132" s="20"/>
      <c r="M132" s="20"/>
      <c r="N132" s="20"/>
      <c r="O132" s="20"/>
      <c r="P132" s="20"/>
      <c r="Q132" s="20"/>
      <c r="R132" s="20"/>
      <c r="S132" s="20"/>
      <c r="T132" s="20"/>
      <c r="U132" s="20"/>
    </row>
    <row r="133">
      <c r="A133" s="20"/>
      <c r="B133" s="20"/>
      <c r="C133" s="20"/>
      <c r="D133" s="20"/>
      <c r="E133" s="20"/>
      <c r="F133" s="20"/>
      <c r="G133" s="20"/>
      <c r="H133" s="20"/>
      <c r="I133" s="20"/>
      <c r="J133" s="20"/>
      <c r="K133" s="20"/>
      <c r="L133" s="20"/>
      <c r="M133" s="20"/>
      <c r="N133" s="20"/>
      <c r="O133" s="20"/>
      <c r="P133" s="20"/>
      <c r="Q133" s="20"/>
      <c r="R133" s="20"/>
      <c r="S133" s="20"/>
      <c r="T133" s="20"/>
      <c r="U133" s="20"/>
    </row>
    <row r="134">
      <c r="A134" s="20"/>
      <c r="B134" s="20"/>
      <c r="C134" s="20"/>
      <c r="D134" s="20"/>
      <c r="E134" s="20"/>
      <c r="F134" s="20"/>
      <c r="G134" s="20"/>
      <c r="H134" s="20"/>
      <c r="I134" s="20"/>
      <c r="J134" s="20"/>
      <c r="K134" s="20"/>
      <c r="L134" s="20"/>
      <c r="M134" s="20"/>
      <c r="N134" s="20"/>
      <c r="O134" s="20"/>
      <c r="P134" s="20"/>
      <c r="Q134" s="20"/>
      <c r="R134" s="20"/>
      <c r="S134" s="20"/>
      <c r="T134" s="20"/>
      <c r="U134" s="20"/>
    </row>
    <row r="135">
      <c r="A135" s="20"/>
      <c r="B135" s="20"/>
      <c r="C135" s="20"/>
      <c r="D135" s="20"/>
      <c r="E135" s="20"/>
      <c r="F135" s="20"/>
      <c r="G135" s="20"/>
      <c r="H135" s="20"/>
      <c r="I135" s="20"/>
      <c r="J135" s="20"/>
      <c r="K135" s="20"/>
      <c r="L135" s="20"/>
      <c r="M135" s="20"/>
      <c r="N135" s="20"/>
      <c r="O135" s="20"/>
      <c r="P135" s="20"/>
      <c r="Q135" s="20"/>
      <c r="R135" s="20"/>
      <c r="S135" s="20"/>
      <c r="T135" s="20"/>
      <c r="U135" s="20"/>
    </row>
    <row r="136">
      <c r="A136" s="20"/>
      <c r="B136" s="20"/>
      <c r="C136" s="20"/>
      <c r="D136" s="20"/>
      <c r="E136" s="20"/>
      <c r="F136" s="20"/>
      <c r="G136" s="20"/>
      <c r="H136" s="20"/>
      <c r="I136" s="20"/>
      <c r="J136" s="20"/>
      <c r="K136" s="20"/>
      <c r="L136" s="20"/>
      <c r="M136" s="20"/>
      <c r="N136" s="20"/>
      <c r="O136" s="20"/>
      <c r="P136" s="20"/>
      <c r="Q136" s="20"/>
      <c r="R136" s="20"/>
      <c r="S136" s="20"/>
      <c r="T136" s="20"/>
      <c r="U136" s="20"/>
    </row>
    <row r="137">
      <c r="A137" s="20"/>
      <c r="B137" s="20"/>
      <c r="C137" s="20"/>
      <c r="D137" s="20"/>
      <c r="E137" s="20"/>
      <c r="F137" s="20"/>
      <c r="G137" s="20"/>
      <c r="H137" s="20"/>
      <c r="I137" s="20"/>
      <c r="J137" s="20"/>
      <c r="K137" s="20"/>
      <c r="L137" s="20"/>
      <c r="M137" s="20"/>
      <c r="N137" s="20"/>
      <c r="O137" s="20"/>
      <c r="P137" s="20"/>
      <c r="Q137" s="20"/>
      <c r="R137" s="20"/>
      <c r="S137" s="20"/>
      <c r="T137" s="20"/>
      <c r="U137" s="20"/>
    </row>
    <row r="138">
      <c r="A138" s="20"/>
      <c r="B138" s="20"/>
      <c r="C138" s="20"/>
      <c r="D138" s="20"/>
      <c r="E138" s="20"/>
      <c r="F138" s="20"/>
      <c r="G138" s="20"/>
      <c r="H138" s="20"/>
      <c r="I138" s="20"/>
      <c r="J138" s="20"/>
      <c r="K138" s="20"/>
      <c r="L138" s="20"/>
      <c r="M138" s="20"/>
      <c r="N138" s="20"/>
      <c r="O138" s="20"/>
      <c r="P138" s="20"/>
      <c r="Q138" s="20"/>
      <c r="R138" s="20"/>
      <c r="S138" s="20"/>
      <c r="T138" s="20"/>
      <c r="U138" s="20"/>
    </row>
    <row r="139">
      <c r="A139" s="20"/>
      <c r="B139" s="20"/>
      <c r="C139" s="20"/>
      <c r="D139" s="20"/>
      <c r="E139" s="20"/>
      <c r="F139" s="20"/>
      <c r="G139" s="20"/>
      <c r="H139" s="20"/>
      <c r="I139" s="20"/>
      <c r="J139" s="20"/>
      <c r="K139" s="20"/>
      <c r="L139" s="20"/>
      <c r="M139" s="20"/>
      <c r="N139" s="20"/>
      <c r="O139" s="20"/>
      <c r="P139" s="20"/>
      <c r="Q139" s="20"/>
      <c r="R139" s="20"/>
      <c r="S139" s="20"/>
      <c r="T139" s="20"/>
      <c r="U139" s="20"/>
    </row>
    <row r="140">
      <c r="A140" s="20"/>
      <c r="B140" s="20"/>
      <c r="C140" s="20"/>
      <c r="D140" s="20"/>
      <c r="E140" s="20"/>
      <c r="F140" s="20"/>
      <c r="G140" s="20"/>
      <c r="H140" s="20"/>
      <c r="I140" s="20"/>
      <c r="J140" s="20"/>
      <c r="K140" s="20"/>
      <c r="L140" s="20"/>
      <c r="M140" s="20"/>
      <c r="N140" s="20"/>
      <c r="O140" s="20"/>
      <c r="P140" s="20"/>
      <c r="Q140" s="20"/>
      <c r="R140" s="20"/>
      <c r="S140" s="20"/>
      <c r="T140" s="20"/>
      <c r="U140" s="20"/>
    </row>
    <row r="141">
      <c r="A141" s="20"/>
      <c r="B141" s="20"/>
      <c r="C141" s="20"/>
      <c r="D141" s="20"/>
      <c r="E141" s="20"/>
      <c r="F141" s="20"/>
      <c r="G141" s="20"/>
      <c r="H141" s="20"/>
      <c r="I141" s="20"/>
      <c r="J141" s="20"/>
      <c r="K141" s="20"/>
      <c r="L141" s="20"/>
      <c r="M141" s="20"/>
      <c r="N141" s="20"/>
      <c r="O141" s="20"/>
      <c r="P141" s="20"/>
      <c r="Q141" s="20"/>
      <c r="R141" s="20"/>
      <c r="S141" s="20"/>
      <c r="T141" s="20"/>
      <c r="U141" s="20"/>
    </row>
    <row r="142">
      <c r="A142" s="20"/>
      <c r="B142" s="20"/>
      <c r="C142" s="20"/>
      <c r="D142" s="20"/>
      <c r="E142" s="20"/>
      <c r="F142" s="20"/>
      <c r="G142" s="20"/>
      <c r="H142" s="20"/>
      <c r="I142" s="20"/>
      <c r="J142" s="20"/>
      <c r="K142" s="20"/>
      <c r="L142" s="20"/>
      <c r="M142" s="20"/>
      <c r="N142" s="20"/>
      <c r="O142" s="20"/>
      <c r="P142" s="20"/>
      <c r="Q142" s="20"/>
      <c r="R142" s="20"/>
      <c r="S142" s="20"/>
      <c r="T142" s="20"/>
      <c r="U142" s="20"/>
    </row>
    <row r="143">
      <c r="A143" s="20"/>
      <c r="B143" s="20"/>
      <c r="C143" s="20"/>
      <c r="D143" s="20"/>
      <c r="E143" s="20"/>
      <c r="F143" s="20"/>
      <c r="G143" s="20"/>
      <c r="H143" s="20"/>
      <c r="I143" s="20"/>
      <c r="J143" s="20"/>
      <c r="K143" s="20"/>
      <c r="L143" s="20"/>
      <c r="M143" s="20"/>
      <c r="N143" s="20"/>
      <c r="O143" s="20"/>
      <c r="P143" s="20"/>
      <c r="Q143" s="20"/>
      <c r="R143" s="20"/>
      <c r="S143" s="20"/>
      <c r="T143" s="20"/>
      <c r="U143" s="20"/>
    </row>
    <row r="144">
      <c r="A144" s="20"/>
      <c r="B144" s="20"/>
      <c r="C144" s="20"/>
      <c r="D144" s="20"/>
      <c r="E144" s="20"/>
      <c r="F144" s="20"/>
      <c r="G144" s="20"/>
      <c r="H144" s="20"/>
      <c r="I144" s="20"/>
      <c r="J144" s="20"/>
      <c r="K144" s="20"/>
      <c r="L144" s="20"/>
      <c r="M144" s="20"/>
      <c r="N144" s="20"/>
      <c r="O144" s="20"/>
      <c r="P144" s="20"/>
      <c r="Q144" s="20"/>
      <c r="R144" s="20"/>
      <c r="S144" s="20"/>
      <c r="T144" s="20"/>
      <c r="U144" s="20"/>
    </row>
    <row r="145">
      <c r="A145" s="20"/>
      <c r="B145" s="20"/>
      <c r="C145" s="20"/>
      <c r="D145" s="20"/>
      <c r="E145" s="20"/>
      <c r="F145" s="20"/>
      <c r="G145" s="20"/>
      <c r="H145" s="20"/>
      <c r="I145" s="20"/>
      <c r="J145" s="20"/>
      <c r="K145" s="20"/>
      <c r="L145" s="20"/>
      <c r="M145" s="20"/>
      <c r="N145" s="20"/>
      <c r="O145" s="20"/>
      <c r="P145" s="20"/>
      <c r="Q145" s="20"/>
      <c r="R145" s="20"/>
      <c r="S145" s="20"/>
      <c r="T145" s="20"/>
      <c r="U145" s="20"/>
    </row>
    <row r="146">
      <c r="A146" s="20"/>
      <c r="B146" s="20"/>
      <c r="C146" s="20"/>
      <c r="D146" s="20"/>
      <c r="E146" s="20"/>
      <c r="F146" s="20"/>
      <c r="G146" s="20"/>
      <c r="H146" s="20"/>
      <c r="I146" s="20"/>
      <c r="J146" s="20"/>
      <c r="K146" s="20"/>
      <c r="L146" s="20"/>
      <c r="M146" s="20"/>
      <c r="N146" s="20"/>
      <c r="O146" s="20"/>
      <c r="P146" s="20"/>
      <c r="Q146" s="20"/>
      <c r="R146" s="20"/>
      <c r="S146" s="20"/>
      <c r="T146" s="20"/>
      <c r="U146" s="20"/>
    </row>
    <row r="147">
      <c r="A147" s="20"/>
      <c r="B147" s="20"/>
      <c r="C147" s="20"/>
      <c r="D147" s="20"/>
      <c r="E147" s="20"/>
      <c r="F147" s="20"/>
      <c r="G147" s="20"/>
      <c r="H147" s="20"/>
      <c r="I147" s="20"/>
      <c r="J147" s="20"/>
      <c r="K147" s="20"/>
      <c r="L147" s="20"/>
      <c r="M147" s="20"/>
      <c r="N147" s="20"/>
      <c r="O147" s="20"/>
      <c r="P147" s="20"/>
      <c r="Q147" s="20"/>
      <c r="R147" s="20"/>
      <c r="S147" s="20"/>
      <c r="T147" s="20"/>
      <c r="U147" s="20"/>
    </row>
    <row r="148">
      <c r="A148" s="20"/>
      <c r="B148" s="20"/>
      <c r="C148" s="20"/>
      <c r="D148" s="20"/>
      <c r="E148" s="20"/>
      <c r="F148" s="20"/>
      <c r="G148" s="20"/>
      <c r="H148" s="20"/>
      <c r="I148" s="20"/>
      <c r="J148" s="20"/>
      <c r="K148" s="20"/>
      <c r="L148" s="20"/>
      <c r="M148" s="20"/>
      <c r="N148" s="20"/>
      <c r="O148" s="20"/>
      <c r="P148" s="20"/>
      <c r="Q148" s="20"/>
      <c r="R148" s="20"/>
      <c r="S148" s="20"/>
      <c r="T148" s="20"/>
      <c r="U148" s="20"/>
    </row>
    <row r="149">
      <c r="A149" s="20"/>
      <c r="B149" s="20"/>
      <c r="C149" s="20"/>
      <c r="D149" s="20"/>
      <c r="E149" s="20"/>
      <c r="F149" s="20"/>
      <c r="G149" s="20"/>
      <c r="H149" s="20"/>
      <c r="I149" s="20"/>
      <c r="J149" s="20"/>
      <c r="K149" s="20"/>
      <c r="L149" s="20"/>
      <c r="M149" s="20"/>
      <c r="N149" s="20"/>
      <c r="O149" s="20"/>
      <c r="P149" s="20"/>
      <c r="Q149" s="20"/>
      <c r="R149" s="20"/>
      <c r="S149" s="20"/>
      <c r="T149" s="20"/>
      <c r="U149" s="20"/>
    </row>
    <row r="150">
      <c r="A150" s="20"/>
      <c r="B150" s="20"/>
      <c r="C150" s="20"/>
      <c r="D150" s="20"/>
      <c r="E150" s="20"/>
      <c r="F150" s="20"/>
      <c r="G150" s="20"/>
      <c r="H150" s="20"/>
      <c r="I150" s="20"/>
      <c r="J150" s="20"/>
      <c r="K150" s="20"/>
      <c r="L150" s="20"/>
      <c r="M150" s="20"/>
      <c r="N150" s="20"/>
      <c r="O150" s="20"/>
      <c r="P150" s="20"/>
      <c r="Q150" s="20"/>
      <c r="R150" s="20"/>
      <c r="S150" s="20"/>
      <c r="T150" s="20"/>
      <c r="U150" s="20"/>
    </row>
    <row r="151">
      <c r="A151" s="20"/>
      <c r="B151" s="20"/>
      <c r="C151" s="20"/>
      <c r="D151" s="20"/>
      <c r="E151" s="20"/>
      <c r="F151" s="20"/>
      <c r="G151" s="20"/>
      <c r="H151" s="20"/>
      <c r="I151" s="20"/>
      <c r="J151" s="20"/>
      <c r="K151" s="20"/>
      <c r="L151" s="20"/>
      <c r="M151" s="20"/>
      <c r="N151" s="20"/>
      <c r="O151" s="20"/>
      <c r="P151" s="20"/>
      <c r="Q151" s="20"/>
      <c r="R151" s="20"/>
      <c r="S151" s="20"/>
      <c r="T151" s="20"/>
      <c r="U151" s="20"/>
    </row>
    <row r="152">
      <c r="A152" s="20"/>
      <c r="B152" s="20"/>
      <c r="C152" s="20"/>
      <c r="D152" s="20"/>
      <c r="E152" s="20"/>
      <c r="F152" s="20"/>
      <c r="G152" s="20"/>
      <c r="H152" s="20"/>
      <c r="I152" s="20"/>
      <c r="J152" s="20"/>
      <c r="K152" s="20"/>
      <c r="L152" s="20"/>
      <c r="M152" s="20"/>
      <c r="N152" s="20"/>
      <c r="O152" s="20"/>
      <c r="P152" s="20"/>
      <c r="Q152" s="20"/>
      <c r="R152" s="20"/>
      <c r="S152" s="20"/>
      <c r="T152" s="20"/>
      <c r="U152" s="20"/>
    </row>
    <row r="153">
      <c r="A153" s="20"/>
      <c r="B153" s="20"/>
      <c r="C153" s="20"/>
      <c r="D153" s="20"/>
      <c r="E153" s="20"/>
      <c r="F153" s="20"/>
      <c r="G153" s="20"/>
      <c r="H153" s="20"/>
      <c r="I153" s="20"/>
      <c r="J153" s="20"/>
      <c r="K153" s="20"/>
      <c r="L153" s="20"/>
      <c r="M153" s="20"/>
      <c r="N153" s="20"/>
      <c r="O153" s="20"/>
      <c r="P153" s="20"/>
      <c r="Q153" s="20"/>
      <c r="R153" s="20"/>
      <c r="S153" s="20"/>
      <c r="T153" s="20"/>
      <c r="U153" s="20"/>
    </row>
    <row r="154">
      <c r="A154" s="20"/>
      <c r="B154" s="20"/>
      <c r="C154" s="20"/>
      <c r="D154" s="20"/>
      <c r="E154" s="20"/>
      <c r="F154" s="20"/>
      <c r="G154" s="20"/>
      <c r="H154" s="20"/>
      <c r="I154" s="20"/>
      <c r="J154" s="20"/>
      <c r="K154" s="20"/>
      <c r="L154" s="20"/>
      <c r="M154" s="20"/>
      <c r="N154" s="20"/>
      <c r="O154" s="20"/>
      <c r="P154" s="20"/>
      <c r="Q154" s="20"/>
      <c r="R154" s="20"/>
      <c r="S154" s="20"/>
      <c r="T154" s="20"/>
      <c r="U154" s="20"/>
    </row>
    <row r="155">
      <c r="A155" s="20"/>
      <c r="B155" s="20"/>
      <c r="C155" s="20"/>
      <c r="D155" s="20"/>
      <c r="E155" s="20"/>
      <c r="F155" s="20"/>
      <c r="G155" s="20"/>
      <c r="H155" s="20"/>
      <c r="I155" s="20"/>
      <c r="J155" s="20"/>
      <c r="K155" s="20"/>
      <c r="L155" s="20"/>
      <c r="M155" s="20"/>
      <c r="N155" s="20"/>
      <c r="O155" s="20"/>
      <c r="P155" s="20"/>
      <c r="Q155" s="20"/>
      <c r="R155" s="20"/>
      <c r="S155" s="20"/>
      <c r="T155" s="20"/>
      <c r="U155" s="20"/>
    </row>
    <row r="156">
      <c r="A156" s="20"/>
      <c r="B156" s="20"/>
      <c r="C156" s="20"/>
      <c r="D156" s="20"/>
      <c r="E156" s="20"/>
      <c r="F156" s="20"/>
      <c r="G156" s="20"/>
      <c r="H156" s="20"/>
      <c r="I156" s="20"/>
      <c r="J156" s="20"/>
      <c r="K156" s="20"/>
      <c r="L156" s="20"/>
      <c r="M156" s="20"/>
      <c r="N156" s="20"/>
      <c r="O156" s="20"/>
      <c r="P156" s="20"/>
      <c r="Q156" s="20"/>
      <c r="R156" s="20"/>
      <c r="S156" s="20"/>
      <c r="T156" s="20"/>
      <c r="U156" s="20"/>
    </row>
    <row r="157">
      <c r="A157" s="20"/>
      <c r="B157" s="20"/>
      <c r="C157" s="20"/>
      <c r="D157" s="20"/>
      <c r="E157" s="20"/>
      <c r="F157" s="20"/>
      <c r="G157" s="20"/>
      <c r="H157" s="20"/>
      <c r="I157" s="20"/>
      <c r="J157" s="20"/>
      <c r="K157" s="20"/>
      <c r="L157" s="20"/>
      <c r="M157" s="20"/>
      <c r="N157" s="20"/>
      <c r="O157" s="20"/>
      <c r="P157" s="20"/>
      <c r="Q157" s="20"/>
      <c r="R157" s="20"/>
      <c r="S157" s="20"/>
      <c r="T157" s="20"/>
      <c r="U157" s="20"/>
    </row>
    <row r="158">
      <c r="A158" s="20"/>
      <c r="B158" s="20"/>
      <c r="C158" s="20"/>
      <c r="D158" s="20"/>
      <c r="E158" s="20"/>
      <c r="F158" s="20"/>
      <c r="G158" s="20"/>
      <c r="H158" s="20"/>
      <c r="I158" s="20"/>
      <c r="J158" s="20"/>
      <c r="K158" s="20"/>
      <c r="L158" s="20"/>
      <c r="M158" s="20"/>
      <c r="N158" s="20"/>
      <c r="O158" s="20"/>
      <c r="P158" s="20"/>
      <c r="Q158" s="20"/>
      <c r="R158" s="20"/>
      <c r="S158" s="20"/>
      <c r="T158" s="20"/>
      <c r="U158" s="20"/>
    </row>
    <row r="159">
      <c r="A159" s="20"/>
      <c r="B159" s="20"/>
      <c r="C159" s="20"/>
      <c r="D159" s="20"/>
      <c r="E159" s="20"/>
      <c r="F159" s="20"/>
      <c r="G159" s="20"/>
      <c r="H159" s="20"/>
      <c r="I159" s="20"/>
      <c r="J159" s="20"/>
      <c r="K159" s="20"/>
      <c r="L159" s="20"/>
      <c r="M159" s="20"/>
      <c r="N159" s="20"/>
      <c r="O159" s="20"/>
      <c r="P159" s="20"/>
      <c r="Q159" s="20"/>
      <c r="R159" s="20"/>
      <c r="S159" s="20"/>
      <c r="T159" s="20"/>
      <c r="U159" s="20"/>
    </row>
    <row r="160">
      <c r="A160" s="20"/>
      <c r="B160" s="20"/>
      <c r="C160" s="20"/>
      <c r="D160" s="20"/>
      <c r="E160" s="20"/>
      <c r="F160" s="20"/>
      <c r="G160" s="20"/>
      <c r="H160" s="20"/>
      <c r="I160" s="20"/>
      <c r="J160" s="20"/>
      <c r="K160" s="20"/>
      <c r="L160" s="20"/>
      <c r="M160" s="20"/>
      <c r="N160" s="20"/>
      <c r="O160" s="20"/>
      <c r="P160" s="20"/>
      <c r="Q160" s="20"/>
      <c r="R160" s="20"/>
      <c r="S160" s="20"/>
      <c r="T160" s="20"/>
      <c r="U160" s="20"/>
    </row>
    <row r="161">
      <c r="A161" s="20"/>
      <c r="B161" s="20"/>
      <c r="C161" s="20"/>
      <c r="D161" s="20"/>
      <c r="E161" s="20"/>
      <c r="F161" s="20"/>
      <c r="G161" s="20"/>
      <c r="H161" s="20"/>
      <c r="I161" s="20"/>
      <c r="J161" s="20"/>
      <c r="K161" s="20"/>
      <c r="L161" s="20"/>
      <c r="M161" s="20"/>
      <c r="N161" s="20"/>
      <c r="O161" s="20"/>
      <c r="P161" s="20"/>
      <c r="Q161" s="20"/>
      <c r="R161" s="20"/>
      <c r="S161" s="20"/>
      <c r="T161" s="20"/>
      <c r="U161" s="20"/>
    </row>
    <row r="162">
      <c r="A162" s="20"/>
      <c r="B162" s="20"/>
      <c r="C162" s="20"/>
      <c r="D162" s="20"/>
      <c r="E162" s="20"/>
      <c r="F162" s="20"/>
      <c r="G162" s="20"/>
      <c r="H162" s="20"/>
      <c r="I162" s="20"/>
      <c r="J162" s="20"/>
      <c r="K162" s="20"/>
      <c r="L162" s="20"/>
      <c r="M162" s="20"/>
      <c r="N162" s="20"/>
      <c r="O162" s="20"/>
      <c r="P162" s="20"/>
      <c r="Q162" s="20"/>
      <c r="R162" s="20"/>
      <c r="S162" s="20"/>
      <c r="T162" s="20"/>
      <c r="U162" s="20"/>
    </row>
    <row r="163">
      <c r="A163" s="20"/>
      <c r="B163" s="20"/>
      <c r="C163" s="20"/>
      <c r="D163" s="20"/>
      <c r="E163" s="20"/>
      <c r="F163" s="20"/>
      <c r="G163" s="20"/>
      <c r="H163" s="20"/>
      <c r="I163" s="20"/>
      <c r="J163" s="20"/>
      <c r="K163" s="20"/>
      <c r="L163" s="20"/>
      <c r="M163" s="20"/>
      <c r="N163" s="20"/>
      <c r="O163" s="20"/>
      <c r="P163" s="20"/>
      <c r="Q163" s="20"/>
      <c r="R163" s="20"/>
      <c r="S163" s="20"/>
      <c r="T163" s="20"/>
      <c r="U163" s="20"/>
    </row>
    <row r="164">
      <c r="A164" s="20"/>
      <c r="B164" s="20"/>
      <c r="C164" s="20"/>
      <c r="D164" s="20"/>
      <c r="E164" s="20"/>
      <c r="F164" s="20"/>
      <c r="G164" s="20"/>
      <c r="H164" s="20"/>
      <c r="I164" s="20"/>
      <c r="J164" s="20"/>
      <c r="K164" s="20"/>
      <c r="L164" s="20"/>
      <c r="M164" s="20"/>
      <c r="N164" s="20"/>
      <c r="O164" s="20"/>
      <c r="P164" s="20"/>
      <c r="Q164" s="20"/>
      <c r="R164" s="20"/>
      <c r="S164" s="20"/>
      <c r="T164" s="20"/>
      <c r="U164" s="20"/>
    </row>
    <row r="165">
      <c r="A165" s="20"/>
      <c r="B165" s="20"/>
      <c r="C165" s="20"/>
      <c r="D165" s="20"/>
      <c r="E165" s="20"/>
      <c r="F165" s="20"/>
      <c r="G165" s="20"/>
      <c r="H165" s="20"/>
      <c r="I165" s="20"/>
      <c r="J165" s="20"/>
      <c r="K165" s="20"/>
      <c r="L165" s="20"/>
      <c r="M165" s="20"/>
      <c r="N165" s="20"/>
      <c r="O165" s="20"/>
      <c r="P165" s="20"/>
      <c r="Q165" s="20"/>
      <c r="R165" s="20"/>
      <c r="S165" s="20"/>
      <c r="T165" s="20"/>
      <c r="U165" s="20"/>
    </row>
    <row r="166">
      <c r="A166" s="20"/>
      <c r="B166" s="20"/>
      <c r="C166" s="20"/>
      <c r="D166" s="20"/>
      <c r="E166" s="20"/>
      <c r="F166" s="20"/>
      <c r="G166" s="20"/>
      <c r="H166" s="20"/>
      <c r="I166" s="20"/>
      <c r="J166" s="20"/>
      <c r="K166" s="20"/>
      <c r="L166" s="20"/>
      <c r="M166" s="20"/>
      <c r="N166" s="20"/>
      <c r="O166" s="20"/>
      <c r="P166" s="20"/>
      <c r="Q166" s="20"/>
      <c r="R166" s="20"/>
      <c r="S166" s="20"/>
      <c r="T166" s="20"/>
      <c r="U166" s="20"/>
    </row>
    <row r="167">
      <c r="A167" s="20"/>
      <c r="B167" s="20"/>
      <c r="C167" s="20"/>
      <c r="D167" s="20"/>
      <c r="E167" s="20"/>
      <c r="F167" s="20"/>
      <c r="G167" s="20"/>
      <c r="H167" s="20"/>
      <c r="I167" s="20"/>
      <c r="J167" s="20"/>
      <c r="K167" s="20"/>
      <c r="L167" s="20"/>
      <c r="M167" s="20"/>
      <c r="N167" s="20"/>
      <c r="O167" s="20"/>
      <c r="P167" s="20"/>
      <c r="Q167" s="20"/>
      <c r="R167" s="20"/>
      <c r="S167" s="20"/>
      <c r="T167" s="20"/>
      <c r="U167" s="20"/>
    </row>
    <row r="168">
      <c r="A168" s="20"/>
      <c r="B168" s="20"/>
      <c r="C168" s="20"/>
      <c r="D168" s="20"/>
      <c r="E168" s="20"/>
      <c r="F168" s="20"/>
      <c r="G168" s="20"/>
      <c r="H168" s="20"/>
      <c r="I168" s="20"/>
      <c r="J168" s="20"/>
      <c r="K168" s="20"/>
      <c r="L168" s="20"/>
      <c r="M168" s="20"/>
      <c r="N168" s="20"/>
      <c r="O168" s="20"/>
      <c r="P168" s="20"/>
      <c r="Q168" s="20"/>
      <c r="R168" s="20"/>
      <c r="S168" s="20"/>
      <c r="T168" s="20"/>
      <c r="U168" s="20"/>
    </row>
    <row r="169">
      <c r="A169" s="20"/>
      <c r="B169" s="20"/>
      <c r="C169" s="20"/>
      <c r="D169" s="20"/>
      <c r="E169" s="20"/>
      <c r="F169" s="20"/>
      <c r="G169" s="20"/>
      <c r="H169" s="20"/>
      <c r="I169" s="20"/>
      <c r="J169" s="20"/>
      <c r="K169" s="20"/>
      <c r="L169" s="20"/>
      <c r="M169" s="20"/>
      <c r="N169" s="20"/>
      <c r="O169" s="20"/>
      <c r="P169" s="20"/>
      <c r="Q169" s="20"/>
      <c r="R169" s="20"/>
      <c r="S169" s="20"/>
      <c r="T169" s="20"/>
      <c r="U169" s="20"/>
    </row>
    <row r="170">
      <c r="A170" s="20"/>
      <c r="B170" s="20"/>
      <c r="C170" s="20"/>
      <c r="D170" s="20"/>
      <c r="E170" s="20"/>
      <c r="F170" s="20"/>
      <c r="G170" s="20"/>
      <c r="H170" s="20"/>
      <c r="I170" s="20"/>
      <c r="J170" s="20"/>
      <c r="K170" s="20"/>
      <c r="L170" s="20"/>
      <c r="M170" s="20"/>
      <c r="N170" s="20"/>
      <c r="O170" s="20"/>
      <c r="P170" s="20"/>
      <c r="Q170" s="20"/>
      <c r="R170" s="20"/>
      <c r="S170" s="20"/>
      <c r="T170" s="20"/>
      <c r="U170" s="20"/>
    </row>
    <row r="171">
      <c r="A171" s="20"/>
      <c r="B171" s="20"/>
      <c r="C171" s="20"/>
      <c r="D171" s="20"/>
      <c r="E171" s="20"/>
      <c r="F171" s="20"/>
      <c r="G171" s="20"/>
      <c r="H171" s="20"/>
      <c r="I171" s="20"/>
      <c r="J171" s="20"/>
      <c r="K171" s="20"/>
      <c r="L171" s="20"/>
      <c r="M171" s="20"/>
      <c r="N171" s="20"/>
      <c r="O171" s="20"/>
      <c r="P171" s="20"/>
      <c r="Q171" s="20"/>
      <c r="R171" s="20"/>
      <c r="S171" s="20"/>
      <c r="T171" s="20"/>
      <c r="U171" s="20"/>
    </row>
    <row r="172">
      <c r="A172" s="20"/>
      <c r="B172" s="20"/>
      <c r="C172" s="20"/>
      <c r="D172" s="20"/>
      <c r="E172" s="20"/>
      <c r="F172" s="20"/>
      <c r="G172" s="20"/>
      <c r="H172" s="20"/>
      <c r="I172" s="20"/>
      <c r="J172" s="20"/>
      <c r="K172" s="20"/>
      <c r="L172" s="20"/>
      <c r="M172" s="20"/>
      <c r="N172" s="20"/>
      <c r="O172" s="20"/>
      <c r="P172" s="20"/>
      <c r="Q172" s="20"/>
      <c r="R172" s="20"/>
      <c r="S172" s="20"/>
      <c r="T172" s="20"/>
      <c r="U172" s="20"/>
    </row>
    <row r="173">
      <c r="A173" s="20"/>
      <c r="B173" s="20"/>
      <c r="C173" s="20"/>
      <c r="D173" s="20"/>
      <c r="E173" s="20"/>
      <c r="F173" s="20"/>
      <c r="G173" s="20"/>
      <c r="H173" s="20"/>
      <c r="I173" s="20"/>
      <c r="J173" s="20"/>
      <c r="K173" s="20"/>
      <c r="L173" s="20"/>
      <c r="M173" s="20"/>
      <c r="N173" s="20"/>
      <c r="O173" s="20"/>
      <c r="P173" s="20"/>
      <c r="Q173" s="20"/>
      <c r="R173" s="20"/>
      <c r="S173" s="20"/>
      <c r="T173" s="20"/>
      <c r="U173" s="20"/>
    </row>
    <row r="174">
      <c r="A174" s="20"/>
      <c r="B174" s="20"/>
      <c r="C174" s="20"/>
      <c r="D174" s="20"/>
      <c r="E174" s="20"/>
      <c r="F174" s="20"/>
      <c r="G174" s="20"/>
      <c r="H174" s="20"/>
      <c r="I174" s="20"/>
      <c r="J174" s="20"/>
      <c r="K174" s="20"/>
      <c r="L174" s="20"/>
      <c r="M174" s="20"/>
      <c r="N174" s="20"/>
      <c r="O174" s="20"/>
      <c r="P174" s="20"/>
      <c r="Q174" s="20"/>
      <c r="R174" s="20"/>
      <c r="S174" s="20"/>
      <c r="T174" s="20"/>
      <c r="U174" s="20"/>
    </row>
    <row r="175">
      <c r="A175" s="20"/>
      <c r="B175" s="20"/>
      <c r="C175" s="20"/>
      <c r="D175" s="20"/>
      <c r="E175" s="20"/>
      <c r="F175" s="20"/>
      <c r="G175" s="20"/>
      <c r="H175" s="20"/>
      <c r="I175" s="20"/>
      <c r="J175" s="20"/>
      <c r="K175" s="20"/>
      <c r="L175" s="20"/>
      <c r="M175" s="20"/>
      <c r="N175" s="20"/>
      <c r="O175" s="20"/>
      <c r="P175" s="20"/>
      <c r="Q175" s="20"/>
      <c r="R175" s="20"/>
      <c r="S175" s="20"/>
      <c r="T175" s="20"/>
      <c r="U175" s="20"/>
    </row>
    <row r="176">
      <c r="A176" s="20"/>
      <c r="B176" s="20"/>
      <c r="C176" s="20"/>
      <c r="D176" s="20"/>
      <c r="E176" s="20"/>
      <c r="F176" s="20"/>
      <c r="G176" s="20"/>
      <c r="H176" s="20"/>
      <c r="I176" s="20"/>
      <c r="J176" s="20"/>
      <c r="K176" s="20"/>
      <c r="L176" s="20"/>
      <c r="M176" s="20"/>
      <c r="N176" s="20"/>
      <c r="O176" s="20"/>
      <c r="P176" s="20"/>
      <c r="Q176" s="20"/>
      <c r="R176" s="20"/>
      <c r="S176" s="20"/>
      <c r="T176" s="20"/>
      <c r="U176" s="20"/>
    </row>
    <row r="177">
      <c r="A177" s="20"/>
      <c r="B177" s="20"/>
      <c r="C177" s="20"/>
      <c r="D177" s="20"/>
      <c r="E177" s="20"/>
      <c r="F177" s="20"/>
      <c r="G177" s="20"/>
      <c r="H177" s="20"/>
      <c r="I177" s="20"/>
      <c r="J177" s="20"/>
      <c r="K177" s="20"/>
      <c r="L177" s="20"/>
      <c r="M177" s="20"/>
      <c r="N177" s="20"/>
      <c r="O177" s="20"/>
      <c r="P177" s="20"/>
      <c r="Q177" s="20"/>
      <c r="R177" s="20"/>
      <c r="S177" s="20"/>
      <c r="T177" s="20"/>
      <c r="U177" s="20"/>
    </row>
    <row r="178">
      <c r="A178" s="20"/>
      <c r="B178" s="20"/>
      <c r="C178" s="20"/>
      <c r="D178" s="20"/>
      <c r="E178" s="20"/>
      <c r="F178" s="20"/>
      <c r="G178" s="20"/>
      <c r="H178" s="20"/>
      <c r="I178" s="20"/>
      <c r="J178" s="20"/>
      <c r="K178" s="20"/>
      <c r="L178" s="20"/>
      <c r="M178" s="20"/>
      <c r="N178" s="20"/>
      <c r="O178" s="20"/>
      <c r="P178" s="20"/>
      <c r="Q178" s="20"/>
      <c r="R178" s="20"/>
      <c r="S178" s="20"/>
      <c r="T178" s="20"/>
      <c r="U178" s="20"/>
    </row>
    <row r="179">
      <c r="A179" s="20"/>
      <c r="B179" s="20"/>
      <c r="C179" s="20"/>
      <c r="D179" s="20"/>
      <c r="E179" s="20"/>
      <c r="F179" s="20"/>
      <c r="G179" s="20"/>
      <c r="H179" s="20"/>
      <c r="I179" s="20"/>
      <c r="J179" s="20"/>
      <c r="K179" s="20"/>
      <c r="L179" s="20"/>
      <c r="M179" s="20"/>
      <c r="N179" s="20"/>
      <c r="O179" s="20"/>
      <c r="P179" s="20"/>
      <c r="Q179" s="20"/>
      <c r="R179" s="20"/>
      <c r="S179" s="20"/>
      <c r="T179" s="20"/>
      <c r="U179" s="20"/>
    </row>
    <row r="180">
      <c r="A180" s="20"/>
      <c r="B180" s="20"/>
      <c r="C180" s="20"/>
      <c r="D180" s="20"/>
      <c r="E180" s="20"/>
      <c r="F180" s="20"/>
      <c r="G180" s="20"/>
      <c r="H180" s="20"/>
      <c r="I180" s="20"/>
      <c r="J180" s="20"/>
      <c r="K180" s="20"/>
      <c r="L180" s="20"/>
      <c r="M180" s="20"/>
      <c r="N180" s="20"/>
      <c r="O180" s="20"/>
      <c r="P180" s="20"/>
      <c r="Q180" s="20"/>
      <c r="R180" s="20"/>
      <c r="S180" s="20"/>
      <c r="T180" s="20"/>
      <c r="U180" s="20"/>
    </row>
    <row r="181">
      <c r="A181" s="20"/>
      <c r="B181" s="20"/>
      <c r="C181" s="20"/>
      <c r="D181" s="20"/>
      <c r="E181" s="20"/>
      <c r="F181" s="20"/>
      <c r="G181" s="20"/>
      <c r="H181" s="20"/>
      <c r="I181" s="20"/>
      <c r="J181" s="20"/>
      <c r="K181" s="20"/>
      <c r="L181" s="20"/>
      <c r="M181" s="20"/>
      <c r="N181" s="20"/>
      <c r="O181" s="20"/>
      <c r="P181" s="20"/>
      <c r="Q181" s="20"/>
      <c r="R181" s="20"/>
      <c r="S181" s="20"/>
      <c r="T181" s="20"/>
      <c r="U181" s="20"/>
    </row>
    <row r="182">
      <c r="A182" s="20"/>
      <c r="B182" s="20"/>
      <c r="C182" s="20"/>
      <c r="D182" s="20"/>
      <c r="E182" s="20"/>
      <c r="F182" s="20"/>
      <c r="G182" s="20"/>
      <c r="H182" s="20"/>
      <c r="I182" s="20"/>
      <c r="J182" s="20"/>
      <c r="K182" s="20"/>
      <c r="L182" s="20"/>
      <c r="M182" s="20"/>
      <c r="N182" s="20"/>
      <c r="O182" s="20"/>
      <c r="P182" s="20"/>
      <c r="Q182" s="20"/>
      <c r="R182" s="20"/>
      <c r="S182" s="20"/>
      <c r="T182" s="20"/>
      <c r="U182" s="20"/>
    </row>
    <row r="183">
      <c r="A183" s="20"/>
      <c r="B183" s="20"/>
      <c r="C183" s="20"/>
      <c r="D183" s="20"/>
      <c r="E183" s="20"/>
      <c r="F183" s="20"/>
      <c r="G183" s="20"/>
      <c r="H183" s="20"/>
      <c r="I183" s="20"/>
      <c r="J183" s="20"/>
      <c r="K183" s="20"/>
      <c r="L183" s="20"/>
      <c r="M183" s="20"/>
      <c r="N183" s="20"/>
      <c r="O183" s="20"/>
      <c r="P183" s="20"/>
      <c r="Q183" s="20"/>
      <c r="R183" s="20"/>
      <c r="S183" s="20"/>
      <c r="T183" s="20"/>
      <c r="U183" s="20"/>
    </row>
    <row r="184">
      <c r="A184" s="20"/>
      <c r="B184" s="20"/>
      <c r="C184" s="20"/>
      <c r="D184" s="20"/>
      <c r="E184" s="20"/>
      <c r="F184" s="20"/>
      <c r="G184" s="20"/>
      <c r="H184" s="20"/>
      <c r="I184" s="20"/>
      <c r="J184" s="20"/>
      <c r="K184" s="20"/>
      <c r="L184" s="20"/>
      <c r="M184" s="20"/>
      <c r="N184" s="20"/>
      <c r="O184" s="20"/>
      <c r="P184" s="20"/>
      <c r="Q184" s="20"/>
      <c r="R184" s="20"/>
      <c r="S184" s="20"/>
      <c r="T184" s="20"/>
      <c r="U184" s="20"/>
    </row>
    <row r="185">
      <c r="A185" s="20"/>
      <c r="B185" s="20"/>
      <c r="C185" s="20"/>
      <c r="D185" s="20"/>
      <c r="E185" s="20"/>
      <c r="F185" s="20"/>
      <c r="G185" s="20"/>
      <c r="H185" s="20"/>
      <c r="I185" s="20"/>
      <c r="J185" s="20"/>
      <c r="K185" s="20"/>
      <c r="L185" s="20"/>
      <c r="M185" s="20"/>
      <c r="N185" s="20"/>
      <c r="O185" s="20"/>
      <c r="P185" s="20"/>
      <c r="Q185" s="20"/>
      <c r="R185" s="20"/>
      <c r="S185" s="20"/>
      <c r="T185" s="20"/>
      <c r="U185" s="20"/>
    </row>
    <row r="186">
      <c r="A186" s="20"/>
      <c r="B186" s="20"/>
      <c r="C186" s="20"/>
      <c r="D186" s="20"/>
      <c r="E186" s="20"/>
      <c r="F186" s="20"/>
      <c r="G186" s="20"/>
      <c r="H186" s="20"/>
      <c r="I186" s="20"/>
      <c r="J186" s="20"/>
      <c r="K186" s="20"/>
      <c r="L186" s="20"/>
      <c r="M186" s="20"/>
      <c r="N186" s="20"/>
      <c r="O186" s="20"/>
      <c r="P186" s="20"/>
      <c r="Q186" s="20"/>
      <c r="R186" s="20"/>
      <c r="S186" s="20"/>
      <c r="T186" s="20"/>
      <c r="U186" s="20"/>
    </row>
    <row r="187">
      <c r="A187" s="20"/>
      <c r="B187" s="20"/>
      <c r="C187" s="20"/>
      <c r="D187" s="20"/>
      <c r="E187" s="20"/>
      <c r="F187" s="20"/>
      <c r="G187" s="20"/>
      <c r="H187" s="20"/>
      <c r="I187" s="20"/>
      <c r="J187" s="20"/>
      <c r="K187" s="20"/>
      <c r="L187" s="20"/>
      <c r="M187" s="20"/>
      <c r="N187" s="20"/>
      <c r="O187" s="20"/>
      <c r="P187" s="20"/>
      <c r="Q187" s="20"/>
      <c r="R187" s="20"/>
      <c r="S187" s="20"/>
      <c r="T187" s="20"/>
      <c r="U187" s="20"/>
    </row>
    <row r="188">
      <c r="A188" s="20"/>
      <c r="B188" s="20"/>
      <c r="C188" s="20"/>
      <c r="D188" s="20"/>
      <c r="E188" s="20"/>
      <c r="F188" s="20"/>
      <c r="G188" s="20"/>
      <c r="H188" s="20"/>
      <c r="I188" s="20"/>
      <c r="J188" s="20"/>
      <c r="K188" s="20"/>
      <c r="L188" s="20"/>
      <c r="M188" s="20"/>
      <c r="N188" s="20"/>
      <c r="O188" s="20"/>
      <c r="P188" s="20"/>
      <c r="Q188" s="20"/>
      <c r="R188" s="20"/>
      <c r="S188" s="20"/>
      <c r="T188" s="20"/>
      <c r="U188" s="20"/>
    </row>
    <row r="189">
      <c r="A189" s="20"/>
      <c r="B189" s="20"/>
      <c r="C189" s="20"/>
      <c r="D189" s="20"/>
      <c r="E189" s="20"/>
      <c r="F189" s="20"/>
      <c r="G189" s="20"/>
      <c r="H189" s="20"/>
      <c r="I189" s="20"/>
      <c r="J189" s="20"/>
      <c r="K189" s="20"/>
      <c r="L189" s="20"/>
      <c r="M189" s="20"/>
      <c r="N189" s="20"/>
      <c r="O189" s="20"/>
      <c r="P189" s="20"/>
      <c r="Q189" s="20"/>
      <c r="R189" s="20"/>
      <c r="S189" s="20"/>
      <c r="T189" s="20"/>
      <c r="U189" s="20"/>
    </row>
    <row r="190">
      <c r="A190" s="20"/>
      <c r="B190" s="20"/>
      <c r="C190" s="20"/>
      <c r="D190" s="20"/>
      <c r="E190" s="20"/>
      <c r="F190" s="20"/>
      <c r="G190" s="20"/>
      <c r="H190" s="20"/>
      <c r="I190" s="20"/>
      <c r="J190" s="20"/>
      <c r="K190" s="20"/>
      <c r="L190" s="20"/>
      <c r="M190" s="20"/>
      <c r="N190" s="20"/>
      <c r="O190" s="20"/>
      <c r="P190" s="20"/>
      <c r="Q190" s="20"/>
      <c r="R190" s="20"/>
      <c r="S190" s="20"/>
      <c r="T190" s="20"/>
      <c r="U190" s="20"/>
    </row>
    <row r="191">
      <c r="A191" s="20"/>
      <c r="B191" s="20"/>
      <c r="C191" s="20"/>
      <c r="D191" s="20"/>
      <c r="E191" s="20"/>
      <c r="F191" s="20"/>
      <c r="G191" s="20"/>
      <c r="H191" s="20"/>
      <c r="I191" s="20"/>
      <c r="J191" s="20"/>
      <c r="K191" s="20"/>
      <c r="L191" s="20"/>
      <c r="M191" s="20"/>
      <c r="N191" s="20"/>
      <c r="O191" s="20"/>
      <c r="P191" s="20"/>
      <c r="Q191" s="20"/>
      <c r="R191" s="20"/>
      <c r="S191" s="20"/>
      <c r="T191" s="20"/>
      <c r="U191" s="20"/>
    </row>
    <row r="192">
      <c r="A192" s="20"/>
      <c r="B192" s="20"/>
      <c r="C192" s="20"/>
      <c r="D192" s="20"/>
      <c r="E192" s="20"/>
      <c r="F192" s="20"/>
      <c r="G192" s="20"/>
      <c r="H192" s="20"/>
      <c r="I192" s="20"/>
      <c r="J192" s="20"/>
      <c r="K192" s="20"/>
      <c r="L192" s="20"/>
      <c r="M192" s="20"/>
      <c r="N192" s="20"/>
      <c r="O192" s="20"/>
      <c r="P192" s="20"/>
      <c r="Q192" s="20"/>
      <c r="R192" s="20"/>
      <c r="S192" s="20"/>
      <c r="T192" s="20"/>
      <c r="U192" s="20"/>
    </row>
    <row r="193">
      <c r="A193" s="20"/>
      <c r="B193" s="20"/>
      <c r="C193" s="20"/>
      <c r="D193" s="20"/>
      <c r="E193" s="20"/>
      <c r="F193" s="20"/>
      <c r="G193" s="20"/>
      <c r="H193" s="20"/>
      <c r="I193" s="20"/>
      <c r="J193" s="20"/>
      <c r="K193" s="20"/>
      <c r="L193" s="20"/>
      <c r="M193" s="20"/>
      <c r="N193" s="20"/>
      <c r="O193" s="20"/>
      <c r="P193" s="20"/>
      <c r="Q193" s="20"/>
      <c r="R193" s="20"/>
      <c r="S193" s="20"/>
      <c r="T193" s="20"/>
      <c r="U193" s="20"/>
    </row>
    <row r="194">
      <c r="A194" s="20"/>
      <c r="B194" s="20"/>
      <c r="C194" s="20"/>
      <c r="D194" s="20"/>
      <c r="E194" s="20"/>
      <c r="F194" s="20"/>
      <c r="G194" s="20"/>
      <c r="H194" s="20"/>
      <c r="I194" s="20"/>
      <c r="J194" s="20"/>
      <c r="K194" s="20"/>
      <c r="L194" s="20"/>
      <c r="M194" s="20"/>
      <c r="N194" s="20"/>
      <c r="O194" s="20"/>
      <c r="P194" s="20"/>
      <c r="Q194" s="20"/>
      <c r="R194" s="20"/>
      <c r="S194" s="20"/>
      <c r="T194" s="20"/>
      <c r="U194" s="20"/>
    </row>
    <row r="195">
      <c r="A195" s="20"/>
      <c r="B195" s="20"/>
      <c r="C195" s="20"/>
      <c r="D195" s="20"/>
      <c r="E195" s="20"/>
      <c r="F195" s="20"/>
      <c r="G195" s="20"/>
      <c r="H195" s="20"/>
      <c r="I195" s="20"/>
      <c r="J195" s="20"/>
      <c r="K195" s="20"/>
      <c r="L195" s="20"/>
      <c r="M195" s="20"/>
      <c r="N195" s="20"/>
      <c r="O195" s="20"/>
      <c r="P195" s="20"/>
      <c r="Q195" s="20"/>
      <c r="R195" s="20"/>
      <c r="S195" s="20"/>
      <c r="T195" s="20"/>
      <c r="U195" s="20"/>
    </row>
    <row r="196">
      <c r="A196" s="20"/>
      <c r="B196" s="20"/>
      <c r="C196" s="20"/>
      <c r="D196" s="20"/>
      <c r="E196" s="20"/>
      <c r="F196" s="20"/>
      <c r="G196" s="20"/>
      <c r="H196" s="20"/>
      <c r="I196" s="20"/>
      <c r="J196" s="20"/>
      <c r="K196" s="20"/>
      <c r="L196" s="20"/>
      <c r="M196" s="20"/>
      <c r="N196" s="20"/>
      <c r="O196" s="20"/>
      <c r="P196" s="20"/>
      <c r="Q196" s="20"/>
      <c r="R196" s="20"/>
      <c r="S196" s="20"/>
      <c r="T196" s="20"/>
      <c r="U196" s="20"/>
    </row>
    <row r="197">
      <c r="A197" s="20"/>
      <c r="B197" s="20"/>
      <c r="C197" s="20"/>
      <c r="D197" s="20"/>
      <c r="E197" s="20"/>
      <c r="F197" s="20"/>
      <c r="G197" s="20"/>
      <c r="H197" s="20"/>
      <c r="I197" s="20"/>
      <c r="J197" s="20"/>
      <c r="K197" s="20"/>
      <c r="L197" s="20"/>
      <c r="M197" s="20"/>
      <c r="N197" s="20"/>
      <c r="O197" s="20"/>
      <c r="P197" s="20"/>
      <c r="Q197" s="20"/>
      <c r="R197" s="20"/>
      <c r="S197" s="20"/>
      <c r="T197" s="20"/>
      <c r="U197" s="20"/>
    </row>
    <row r="198">
      <c r="A198" s="20"/>
      <c r="B198" s="20"/>
      <c r="C198" s="20"/>
      <c r="D198" s="20"/>
      <c r="E198" s="20"/>
      <c r="F198" s="20"/>
      <c r="G198" s="20"/>
      <c r="H198" s="20"/>
      <c r="I198" s="20"/>
      <c r="J198" s="20"/>
      <c r="K198" s="20"/>
      <c r="L198" s="20"/>
      <c r="M198" s="20"/>
      <c r="N198" s="20"/>
      <c r="O198" s="20"/>
      <c r="P198" s="20"/>
      <c r="Q198" s="20"/>
      <c r="R198" s="20"/>
      <c r="S198" s="20"/>
      <c r="T198" s="20"/>
      <c r="U198" s="20"/>
    </row>
    <row r="199">
      <c r="A199" s="20"/>
      <c r="B199" s="20"/>
      <c r="C199" s="20"/>
      <c r="D199" s="20"/>
      <c r="E199" s="20"/>
      <c r="F199" s="20"/>
      <c r="G199" s="20"/>
      <c r="H199" s="20"/>
      <c r="I199" s="20"/>
      <c r="J199" s="20"/>
      <c r="K199" s="20"/>
      <c r="L199" s="20"/>
      <c r="M199" s="20"/>
      <c r="N199" s="20"/>
      <c r="O199" s="20"/>
      <c r="P199" s="20"/>
      <c r="Q199" s="20"/>
      <c r="R199" s="20"/>
      <c r="S199" s="20"/>
      <c r="T199" s="20"/>
      <c r="U199" s="20"/>
    </row>
    <row r="200">
      <c r="A200" s="20"/>
      <c r="B200" s="20"/>
      <c r="C200" s="20"/>
      <c r="D200" s="20"/>
      <c r="E200" s="20"/>
      <c r="F200" s="20"/>
      <c r="G200" s="20"/>
      <c r="H200" s="20"/>
      <c r="I200" s="20"/>
      <c r="J200" s="20"/>
      <c r="K200" s="20"/>
      <c r="L200" s="20"/>
      <c r="M200" s="20"/>
      <c r="N200" s="20"/>
      <c r="O200" s="20"/>
      <c r="P200" s="20"/>
      <c r="Q200" s="20"/>
      <c r="R200" s="20"/>
      <c r="S200" s="20"/>
      <c r="T200" s="20"/>
      <c r="U200" s="20"/>
    </row>
    <row r="201">
      <c r="A201" s="20"/>
      <c r="B201" s="20"/>
      <c r="C201" s="20"/>
      <c r="D201" s="20"/>
      <c r="E201" s="20"/>
      <c r="F201" s="20"/>
      <c r="G201" s="20"/>
      <c r="H201" s="20"/>
      <c r="I201" s="20"/>
      <c r="J201" s="20"/>
      <c r="K201" s="20"/>
      <c r="L201" s="20"/>
      <c r="M201" s="20"/>
      <c r="N201" s="20"/>
      <c r="O201" s="20"/>
      <c r="P201" s="20"/>
      <c r="Q201" s="20"/>
      <c r="R201" s="20"/>
      <c r="S201" s="20"/>
      <c r="T201" s="20"/>
      <c r="U201" s="20"/>
    </row>
    <row r="202">
      <c r="A202" s="20"/>
      <c r="B202" s="20"/>
      <c r="C202" s="20"/>
      <c r="D202" s="20"/>
      <c r="E202" s="20"/>
      <c r="F202" s="20"/>
      <c r="G202" s="20"/>
      <c r="H202" s="20"/>
      <c r="I202" s="20"/>
      <c r="J202" s="20"/>
      <c r="K202" s="20"/>
      <c r="L202" s="20"/>
      <c r="M202" s="20"/>
      <c r="N202" s="20"/>
      <c r="O202" s="20"/>
      <c r="P202" s="20"/>
      <c r="Q202" s="20"/>
      <c r="R202" s="20"/>
      <c r="S202" s="20"/>
      <c r="T202" s="20"/>
      <c r="U202" s="20"/>
    </row>
    <row r="203">
      <c r="A203" s="20"/>
      <c r="B203" s="20"/>
      <c r="C203" s="20"/>
      <c r="D203" s="20"/>
      <c r="E203" s="20"/>
      <c r="F203" s="20"/>
      <c r="G203" s="20"/>
      <c r="H203" s="20"/>
      <c r="I203" s="20"/>
      <c r="J203" s="20"/>
      <c r="K203" s="20"/>
      <c r="L203" s="20"/>
      <c r="M203" s="20"/>
      <c r="N203" s="20"/>
      <c r="O203" s="20"/>
      <c r="P203" s="20"/>
      <c r="Q203" s="20"/>
      <c r="R203" s="20"/>
      <c r="S203" s="20"/>
      <c r="T203" s="20"/>
      <c r="U203" s="20"/>
    </row>
    <row r="204">
      <c r="A204" s="20"/>
      <c r="B204" s="20"/>
      <c r="C204" s="20"/>
      <c r="D204" s="20"/>
      <c r="E204" s="20"/>
      <c r="F204" s="20"/>
      <c r="G204" s="20"/>
      <c r="H204" s="20"/>
      <c r="I204" s="20"/>
      <c r="J204" s="20"/>
      <c r="K204" s="20"/>
      <c r="L204" s="20"/>
      <c r="M204" s="20"/>
      <c r="N204" s="20"/>
      <c r="O204" s="20"/>
      <c r="P204" s="20"/>
      <c r="Q204" s="20"/>
      <c r="R204" s="20"/>
      <c r="S204" s="20"/>
      <c r="T204" s="20"/>
      <c r="U204" s="20"/>
    </row>
    <row r="205">
      <c r="A205" s="20"/>
      <c r="B205" s="20"/>
      <c r="C205" s="20"/>
      <c r="D205" s="20"/>
      <c r="E205" s="20"/>
      <c r="F205" s="20"/>
      <c r="G205" s="20"/>
      <c r="H205" s="20"/>
      <c r="I205" s="20"/>
      <c r="J205" s="20"/>
      <c r="K205" s="20"/>
      <c r="L205" s="20"/>
      <c r="M205" s="20"/>
      <c r="N205" s="20"/>
      <c r="O205" s="20"/>
      <c r="P205" s="20"/>
      <c r="Q205" s="20"/>
      <c r="R205" s="20"/>
      <c r="S205" s="20"/>
      <c r="T205" s="20"/>
      <c r="U205" s="20"/>
    </row>
    <row r="206">
      <c r="A206" s="20"/>
      <c r="B206" s="20"/>
      <c r="C206" s="20"/>
      <c r="D206" s="20"/>
      <c r="E206" s="20"/>
      <c r="F206" s="20"/>
      <c r="G206" s="20"/>
      <c r="H206" s="20"/>
      <c r="I206" s="20"/>
      <c r="J206" s="20"/>
      <c r="K206" s="20"/>
      <c r="L206" s="20"/>
      <c r="M206" s="20"/>
      <c r="N206" s="20"/>
      <c r="O206" s="20"/>
      <c r="P206" s="20"/>
      <c r="Q206" s="20"/>
      <c r="R206" s="20"/>
      <c r="S206" s="20"/>
      <c r="T206" s="20"/>
      <c r="U206" s="20"/>
    </row>
    <row r="207">
      <c r="A207" s="20"/>
      <c r="B207" s="20"/>
      <c r="C207" s="20"/>
      <c r="D207" s="20"/>
      <c r="E207" s="20"/>
      <c r="F207" s="20"/>
      <c r="G207" s="20"/>
      <c r="H207" s="20"/>
      <c r="I207" s="20"/>
      <c r="J207" s="20"/>
      <c r="K207" s="20"/>
      <c r="L207" s="20"/>
      <c r="M207" s="20"/>
      <c r="N207" s="20"/>
      <c r="O207" s="20"/>
      <c r="P207" s="20"/>
      <c r="Q207" s="20"/>
      <c r="R207" s="20"/>
      <c r="S207" s="20"/>
      <c r="T207" s="20"/>
      <c r="U207" s="20"/>
    </row>
    <row r="208">
      <c r="A208" s="20"/>
      <c r="B208" s="20"/>
      <c r="C208" s="20"/>
      <c r="D208" s="20"/>
      <c r="E208" s="20"/>
      <c r="F208" s="20"/>
      <c r="G208" s="20"/>
      <c r="H208" s="20"/>
      <c r="I208" s="20"/>
      <c r="J208" s="20"/>
      <c r="K208" s="20"/>
      <c r="L208" s="20"/>
      <c r="M208" s="20"/>
      <c r="N208" s="20"/>
      <c r="O208" s="20"/>
      <c r="P208" s="20"/>
      <c r="Q208" s="20"/>
      <c r="R208" s="20"/>
      <c r="S208" s="20"/>
      <c r="T208" s="20"/>
      <c r="U208" s="20"/>
    </row>
    <row r="209">
      <c r="A209" s="20"/>
      <c r="B209" s="20"/>
      <c r="C209" s="20"/>
      <c r="D209" s="20"/>
      <c r="E209" s="20"/>
      <c r="F209" s="20"/>
      <c r="G209" s="20"/>
      <c r="H209" s="20"/>
      <c r="I209" s="20"/>
      <c r="J209" s="20"/>
      <c r="K209" s="20"/>
      <c r="L209" s="20"/>
      <c r="M209" s="20"/>
      <c r="N209" s="20"/>
      <c r="O209" s="20"/>
      <c r="P209" s="20"/>
      <c r="Q209" s="20"/>
      <c r="R209" s="20"/>
      <c r="S209" s="20"/>
      <c r="T209" s="20"/>
      <c r="U209" s="20"/>
    </row>
    <row r="210">
      <c r="A210" s="20"/>
      <c r="B210" s="20"/>
      <c r="C210" s="20"/>
      <c r="D210" s="20"/>
      <c r="E210" s="20"/>
      <c r="F210" s="20"/>
      <c r="G210" s="20"/>
      <c r="H210" s="20"/>
      <c r="I210" s="20"/>
      <c r="J210" s="20"/>
      <c r="K210" s="20"/>
      <c r="L210" s="20"/>
      <c r="M210" s="20"/>
      <c r="N210" s="20"/>
      <c r="O210" s="20"/>
      <c r="P210" s="20"/>
      <c r="Q210" s="20"/>
      <c r="R210" s="20"/>
      <c r="S210" s="20"/>
      <c r="T210" s="20"/>
      <c r="U210" s="20"/>
    </row>
    <row r="211">
      <c r="A211" s="20"/>
      <c r="B211" s="20"/>
      <c r="C211" s="20"/>
      <c r="D211" s="20"/>
      <c r="E211" s="20"/>
      <c r="F211" s="20"/>
      <c r="G211" s="20"/>
      <c r="H211" s="20"/>
      <c r="I211" s="20"/>
      <c r="J211" s="20"/>
      <c r="K211" s="20"/>
      <c r="L211" s="20"/>
      <c r="M211" s="20"/>
      <c r="N211" s="20"/>
      <c r="O211" s="20"/>
      <c r="P211" s="20"/>
      <c r="Q211" s="20"/>
      <c r="R211" s="20"/>
      <c r="S211" s="20"/>
      <c r="T211" s="20"/>
      <c r="U211" s="20"/>
    </row>
    <row r="212">
      <c r="A212" s="20"/>
      <c r="B212" s="20"/>
      <c r="C212" s="20"/>
      <c r="D212" s="20"/>
      <c r="E212" s="20"/>
      <c r="F212" s="20"/>
      <c r="G212" s="20"/>
      <c r="H212" s="20"/>
      <c r="I212" s="20"/>
      <c r="J212" s="20"/>
      <c r="K212" s="20"/>
      <c r="L212" s="20"/>
      <c r="M212" s="20"/>
      <c r="N212" s="20"/>
      <c r="O212" s="20"/>
      <c r="P212" s="20"/>
      <c r="Q212" s="20"/>
      <c r="R212" s="20"/>
      <c r="S212" s="20"/>
      <c r="T212" s="20"/>
      <c r="U212" s="20"/>
    </row>
    <row r="213">
      <c r="A213" s="20"/>
      <c r="B213" s="20"/>
      <c r="C213" s="20"/>
      <c r="D213" s="20"/>
      <c r="E213" s="20"/>
      <c r="F213" s="20"/>
      <c r="G213" s="20"/>
      <c r="H213" s="20"/>
      <c r="I213" s="20"/>
      <c r="J213" s="20"/>
      <c r="K213" s="20"/>
      <c r="L213" s="20"/>
      <c r="M213" s="20"/>
      <c r="N213" s="20"/>
      <c r="O213" s="20"/>
      <c r="P213" s="20"/>
      <c r="Q213" s="20"/>
      <c r="R213" s="20"/>
      <c r="S213" s="20"/>
      <c r="T213" s="20"/>
      <c r="U213" s="20"/>
    </row>
    <row r="214">
      <c r="A214" s="20"/>
      <c r="B214" s="20"/>
      <c r="C214" s="20"/>
      <c r="D214" s="20"/>
      <c r="E214" s="20"/>
      <c r="F214" s="20"/>
      <c r="G214" s="20"/>
      <c r="H214" s="20"/>
      <c r="I214" s="20"/>
      <c r="J214" s="20"/>
      <c r="K214" s="20"/>
      <c r="L214" s="20"/>
      <c r="M214" s="20"/>
      <c r="N214" s="20"/>
      <c r="O214" s="20"/>
      <c r="P214" s="20"/>
      <c r="Q214" s="20"/>
      <c r="R214" s="20"/>
      <c r="S214" s="20"/>
      <c r="T214" s="20"/>
      <c r="U214" s="20"/>
    </row>
    <row r="215">
      <c r="A215" s="20"/>
      <c r="B215" s="20"/>
      <c r="C215" s="20"/>
      <c r="D215" s="20"/>
      <c r="E215" s="20"/>
      <c r="F215" s="20"/>
      <c r="G215" s="20"/>
      <c r="H215" s="20"/>
      <c r="I215" s="20"/>
      <c r="J215" s="20"/>
      <c r="K215" s="20"/>
      <c r="L215" s="20"/>
      <c r="M215" s="20"/>
      <c r="N215" s="20"/>
      <c r="O215" s="20"/>
      <c r="P215" s="20"/>
      <c r="Q215" s="20"/>
      <c r="R215" s="20"/>
      <c r="S215" s="20"/>
      <c r="T215" s="20"/>
      <c r="U215" s="20"/>
    </row>
    <row r="216">
      <c r="A216" s="20"/>
      <c r="B216" s="20"/>
      <c r="C216" s="20"/>
      <c r="D216" s="20"/>
      <c r="E216" s="20"/>
      <c r="F216" s="20"/>
      <c r="G216" s="20"/>
      <c r="H216" s="20"/>
      <c r="I216" s="20"/>
      <c r="J216" s="20"/>
      <c r="K216" s="20"/>
      <c r="L216" s="20"/>
      <c r="M216" s="20"/>
      <c r="N216" s="20"/>
      <c r="O216" s="20"/>
      <c r="P216" s="20"/>
      <c r="Q216" s="20"/>
      <c r="R216" s="20"/>
      <c r="S216" s="20"/>
      <c r="T216" s="20"/>
      <c r="U216" s="20"/>
    </row>
    <row r="217">
      <c r="A217" s="20"/>
      <c r="B217" s="20"/>
      <c r="C217" s="20"/>
      <c r="D217" s="20"/>
      <c r="E217" s="20"/>
      <c r="F217" s="20"/>
      <c r="G217" s="20"/>
      <c r="H217" s="20"/>
      <c r="I217" s="20"/>
      <c r="J217" s="20"/>
      <c r="K217" s="20"/>
      <c r="L217" s="20"/>
      <c r="M217" s="20"/>
      <c r="N217" s="20"/>
      <c r="O217" s="20"/>
      <c r="P217" s="20"/>
      <c r="Q217" s="20"/>
      <c r="R217" s="20"/>
      <c r="S217" s="20"/>
      <c r="T217" s="20"/>
      <c r="U217" s="20"/>
    </row>
    <row r="218">
      <c r="A218" s="20"/>
      <c r="B218" s="20"/>
      <c r="C218" s="20"/>
      <c r="D218" s="20"/>
      <c r="E218" s="20"/>
      <c r="F218" s="20"/>
      <c r="G218" s="20"/>
      <c r="H218" s="20"/>
      <c r="I218" s="20"/>
      <c r="J218" s="20"/>
      <c r="K218" s="20"/>
      <c r="L218" s="20"/>
      <c r="M218" s="20"/>
      <c r="N218" s="20"/>
      <c r="O218" s="20"/>
      <c r="P218" s="20"/>
      <c r="Q218" s="20"/>
      <c r="R218" s="20"/>
      <c r="S218" s="20"/>
      <c r="T218" s="20"/>
      <c r="U218" s="20"/>
    </row>
    <row r="219">
      <c r="A219" s="20"/>
      <c r="B219" s="20"/>
      <c r="C219" s="20"/>
      <c r="D219" s="20"/>
      <c r="E219" s="20"/>
      <c r="F219" s="20"/>
      <c r="G219" s="20"/>
      <c r="H219" s="20"/>
      <c r="I219" s="20"/>
      <c r="J219" s="20"/>
      <c r="K219" s="20"/>
      <c r="L219" s="20"/>
      <c r="M219" s="20"/>
      <c r="N219" s="20"/>
      <c r="O219" s="20"/>
      <c r="P219" s="20"/>
      <c r="Q219" s="20"/>
      <c r="R219" s="20"/>
      <c r="S219" s="20"/>
      <c r="T219" s="20"/>
      <c r="U219" s="20"/>
    </row>
    <row r="220">
      <c r="A220" s="20"/>
      <c r="B220" s="20"/>
      <c r="C220" s="20"/>
      <c r="D220" s="20"/>
      <c r="E220" s="20"/>
      <c r="F220" s="20"/>
      <c r="G220" s="20"/>
      <c r="H220" s="20"/>
      <c r="I220" s="20"/>
      <c r="J220" s="20"/>
      <c r="K220" s="20"/>
      <c r="L220" s="20"/>
      <c r="M220" s="20"/>
      <c r="N220" s="20"/>
      <c r="O220" s="20"/>
      <c r="P220" s="20"/>
      <c r="Q220" s="20"/>
      <c r="R220" s="20"/>
      <c r="S220" s="20"/>
      <c r="T220" s="20"/>
      <c r="U220" s="20"/>
    </row>
    <row r="221">
      <c r="A221" s="20"/>
      <c r="B221" s="20"/>
      <c r="C221" s="20"/>
      <c r="D221" s="20"/>
      <c r="E221" s="20"/>
      <c r="F221" s="20"/>
      <c r="G221" s="20"/>
      <c r="H221" s="20"/>
      <c r="I221" s="20"/>
      <c r="J221" s="20"/>
      <c r="K221" s="20"/>
      <c r="L221" s="20"/>
      <c r="M221" s="20"/>
      <c r="N221" s="20"/>
      <c r="O221" s="20"/>
      <c r="P221" s="20"/>
      <c r="Q221" s="20"/>
      <c r="R221" s="20"/>
      <c r="S221" s="20"/>
      <c r="T221" s="20"/>
      <c r="U221" s="20"/>
    </row>
    <row r="222">
      <c r="A222" s="20"/>
      <c r="B222" s="20"/>
      <c r="C222" s="20"/>
      <c r="D222" s="20"/>
      <c r="E222" s="20"/>
      <c r="F222" s="20"/>
      <c r="G222" s="20"/>
      <c r="H222" s="20"/>
      <c r="I222" s="20"/>
      <c r="J222" s="20"/>
      <c r="K222" s="20"/>
      <c r="L222" s="20"/>
      <c r="M222" s="20"/>
      <c r="N222" s="20"/>
      <c r="O222" s="20"/>
      <c r="P222" s="20"/>
      <c r="Q222" s="20"/>
      <c r="R222" s="20"/>
      <c r="S222" s="20"/>
      <c r="T222" s="20"/>
      <c r="U222" s="20"/>
    </row>
    <row r="223">
      <c r="A223" s="20"/>
      <c r="B223" s="20"/>
      <c r="C223" s="20"/>
      <c r="D223" s="20"/>
      <c r="E223" s="20"/>
      <c r="F223" s="20"/>
      <c r="G223" s="20"/>
      <c r="H223" s="20"/>
      <c r="I223" s="20"/>
      <c r="J223" s="20"/>
      <c r="K223" s="20"/>
      <c r="L223" s="20"/>
      <c r="M223" s="20"/>
      <c r="N223" s="20"/>
      <c r="O223" s="20"/>
      <c r="P223" s="20"/>
      <c r="Q223" s="20"/>
      <c r="R223" s="20"/>
      <c r="S223" s="20"/>
      <c r="T223" s="20"/>
      <c r="U223" s="20"/>
    </row>
    <row r="224">
      <c r="A224" s="20"/>
      <c r="B224" s="20"/>
      <c r="C224" s="20"/>
      <c r="D224" s="20"/>
      <c r="E224" s="20"/>
      <c r="F224" s="20"/>
      <c r="G224" s="20"/>
      <c r="H224" s="20"/>
      <c r="I224" s="20"/>
      <c r="J224" s="20"/>
      <c r="K224" s="20"/>
      <c r="L224" s="20"/>
      <c r="M224" s="20"/>
      <c r="N224" s="20"/>
      <c r="O224" s="20"/>
      <c r="P224" s="20"/>
      <c r="Q224" s="20"/>
      <c r="R224" s="20"/>
      <c r="S224" s="20"/>
      <c r="T224" s="20"/>
      <c r="U224" s="20"/>
    </row>
    <row r="225">
      <c r="A225" s="20"/>
      <c r="B225" s="20"/>
      <c r="C225" s="20"/>
      <c r="D225" s="20"/>
      <c r="E225" s="20"/>
      <c r="F225" s="20"/>
      <c r="G225" s="20"/>
      <c r="H225" s="20"/>
      <c r="I225" s="20"/>
      <c r="J225" s="20"/>
      <c r="K225" s="20"/>
      <c r="L225" s="20"/>
      <c r="M225" s="20"/>
      <c r="N225" s="20"/>
      <c r="O225" s="20"/>
      <c r="P225" s="20"/>
      <c r="Q225" s="20"/>
      <c r="R225" s="20"/>
      <c r="S225" s="20"/>
      <c r="T225" s="20"/>
      <c r="U225" s="20"/>
    </row>
    <row r="226">
      <c r="A226" s="20"/>
      <c r="B226" s="20"/>
      <c r="C226" s="20"/>
      <c r="D226" s="20"/>
      <c r="E226" s="20"/>
      <c r="F226" s="20"/>
      <c r="G226" s="20"/>
      <c r="H226" s="20"/>
      <c r="I226" s="20"/>
      <c r="J226" s="20"/>
      <c r="K226" s="20"/>
      <c r="L226" s="20"/>
      <c r="M226" s="20"/>
      <c r="N226" s="20"/>
      <c r="O226" s="20"/>
      <c r="P226" s="20"/>
      <c r="Q226" s="20"/>
      <c r="R226" s="20"/>
      <c r="S226" s="20"/>
      <c r="T226" s="20"/>
      <c r="U226" s="20"/>
    </row>
    <row r="227">
      <c r="A227" s="20"/>
      <c r="B227" s="20"/>
      <c r="C227" s="20"/>
      <c r="D227" s="20"/>
      <c r="E227" s="20"/>
      <c r="F227" s="20"/>
      <c r="G227" s="20"/>
      <c r="H227" s="20"/>
      <c r="I227" s="20"/>
      <c r="J227" s="20"/>
      <c r="K227" s="20"/>
      <c r="L227" s="20"/>
      <c r="M227" s="20"/>
      <c r="N227" s="20"/>
      <c r="O227" s="20"/>
      <c r="P227" s="20"/>
      <c r="Q227" s="20"/>
      <c r="R227" s="20"/>
      <c r="S227" s="20"/>
      <c r="T227" s="20"/>
      <c r="U227" s="20"/>
    </row>
    <row r="228">
      <c r="A228" s="20"/>
      <c r="B228" s="20"/>
      <c r="C228" s="20"/>
      <c r="D228" s="20"/>
      <c r="E228" s="20"/>
      <c r="F228" s="20"/>
      <c r="G228" s="20"/>
      <c r="H228" s="20"/>
      <c r="I228" s="20"/>
      <c r="J228" s="20"/>
      <c r="K228" s="20"/>
      <c r="L228" s="20"/>
      <c r="M228" s="20"/>
      <c r="N228" s="20"/>
      <c r="O228" s="20"/>
      <c r="P228" s="20"/>
      <c r="Q228" s="20"/>
      <c r="R228" s="20"/>
      <c r="S228" s="20"/>
      <c r="T228" s="20"/>
      <c r="U228" s="20"/>
    </row>
    <row r="229">
      <c r="A229" s="20"/>
      <c r="B229" s="20"/>
      <c r="C229" s="20"/>
      <c r="D229" s="20"/>
      <c r="E229" s="20"/>
      <c r="F229" s="20"/>
      <c r="G229" s="20"/>
      <c r="H229" s="20"/>
      <c r="I229" s="20"/>
      <c r="J229" s="20"/>
      <c r="K229" s="20"/>
      <c r="L229" s="20"/>
      <c r="M229" s="20"/>
      <c r="N229" s="20"/>
      <c r="O229" s="20"/>
      <c r="P229" s="20"/>
      <c r="Q229" s="20"/>
      <c r="R229" s="20"/>
      <c r="S229" s="20"/>
      <c r="T229" s="20"/>
      <c r="U229" s="20"/>
    </row>
    <row r="230">
      <c r="A230" s="20"/>
      <c r="B230" s="20"/>
      <c r="C230" s="20"/>
      <c r="D230" s="20"/>
      <c r="E230" s="20"/>
      <c r="F230" s="20"/>
      <c r="G230" s="20"/>
      <c r="H230" s="20"/>
      <c r="I230" s="20"/>
      <c r="J230" s="20"/>
      <c r="K230" s="20"/>
      <c r="L230" s="20"/>
      <c r="M230" s="20"/>
      <c r="N230" s="20"/>
      <c r="O230" s="20"/>
      <c r="P230" s="20"/>
      <c r="Q230" s="20"/>
      <c r="R230" s="20"/>
      <c r="S230" s="20"/>
      <c r="T230" s="20"/>
      <c r="U230" s="20"/>
    </row>
    <row r="231">
      <c r="A231" s="20"/>
      <c r="B231" s="20"/>
      <c r="C231" s="20"/>
      <c r="D231" s="20"/>
      <c r="E231" s="20"/>
      <c r="F231" s="20"/>
      <c r="G231" s="20"/>
      <c r="H231" s="20"/>
      <c r="I231" s="20"/>
      <c r="J231" s="20"/>
      <c r="K231" s="20"/>
      <c r="L231" s="20"/>
      <c r="M231" s="20"/>
      <c r="N231" s="20"/>
      <c r="O231" s="20"/>
      <c r="P231" s="20"/>
      <c r="Q231" s="20"/>
      <c r="R231" s="20"/>
      <c r="S231" s="20"/>
      <c r="T231" s="20"/>
      <c r="U231" s="20"/>
    </row>
    <row r="232">
      <c r="A232" s="20"/>
      <c r="B232" s="20"/>
      <c r="C232" s="20"/>
      <c r="D232" s="20"/>
      <c r="E232" s="20"/>
      <c r="F232" s="20"/>
      <c r="G232" s="20"/>
      <c r="H232" s="20"/>
      <c r="I232" s="20"/>
      <c r="J232" s="20"/>
      <c r="K232" s="20"/>
      <c r="L232" s="20"/>
      <c r="M232" s="20"/>
      <c r="N232" s="20"/>
      <c r="O232" s="20"/>
      <c r="P232" s="20"/>
      <c r="Q232" s="20"/>
      <c r="R232" s="20"/>
      <c r="S232" s="20"/>
      <c r="T232" s="20"/>
      <c r="U232" s="20"/>
    </row>
    <row r="233">
      <c r="A233" s="20"/>
      <c r="B233" s="20"/>
      <c r="C233" s="20"/>
      <c r="D233" s="20"/>
      <c r="E233" s="20"/>
      <c r="F233" s="20"/>
      <c r="G233" s="20"/>
      <c r="H233" s="20"/>
      <c r="I233" s="20"/>
      <c r="J233" s="20"/>
      <c r="K233" s="20"/>
      <c r="L233" s="20"/>
      <c r="M233" s="20"/>
      <c r="N233" s="20"/>
      <c r="O233" s="20"/>
      <c r="P233" s="20"/>
      <c r="Q233" s="20"/>
      <c r="R233" s="20"/>
      <c r="S233" s="20"/>
      <c r="T233" s="20"/>
      <c r="U233" s="20"/>
    </row>
    <row r="234">
      <c r="A234" s="20"/>
      <c r="B234" s="20"/>
      <c r="C234" s="20"/>
      <c r="D234" s="20"/>
      <c r="E234" s="20"/>
      <c r="F234" s="20"/>
      <c r="G234" s="20"/>
      <c r="H234" s="20"/>
      <c r="I234" s="20"/>
      <c r="J234" s="20"/>
      <c r="K234" s="20"/>
      <c r="L234" s="20"/>
      <c r="M234" s="20"/>
      <c r="N234" s="20"/>
      <c r="O234" s="20"/>
      <c r="P234" s="20"/>
      <c r="Q234" s="20"/>
      <c r="R234" s="20"/>
      <c r="S234" s="20"/>
      <c r="T234" s="20"/>
      <c r="U234" s="20"/>
    </row>
    <row r="235">
      <c r="A235" s="20"/>
      <c r="B235" s="20"/>
      <c r="C235" s="20"/>
      <c r="D235" s="20"/>
      <c r="E235" s="20"/>
      <c r="F235" s="20"/>
      <c r="G235" s="20"/>
      <c r="H235" s="20"/>
      <c r="I235" s="20"/>
      <c r="J235" s="20"/>
      <c r="K235" s="20"/>
      <c r="L235" s="20"/>
      <c r="M235" s="20"/>
      <c r="N235" s="20"/>
      <c r="O235" s="20"/>
      <c r="P235" s="20"/>
      <c r="Q235" s="20"/>
      <c r="R235" s="20"/>
      <c r="S235" s="20"/>
      <c r="T235" s="20"/>
      <c r="U235" s="20"/>
    </row>
    <row r="236">
      <c r="A236" s="20"/>
      <c r="B236" s="20"/>
      <c r="C236" s="20"/>
      <c r="D236" s="20"/>
      <c r="E236" s="20"/>
      <c r="F236" s="20"/>
      <c r="G236" s="20"/>
      <c r="H236" s="20"/>
      <c r="I236" s="20"/>
      <c r="J236" s="20"/>
      <c r="K236" s="20"/>
      <c r="L236" s="20"/>
      <c r="M236" s="20"/>
      <c r="N236" s="20"/>
      <c r="O236" s="20"/>
      <c r="P236" s="20"/>
      <c r="Q236" s="20"/>
      <c r="R236" s="20"/>
      <c r="S236" s="20"/>
      <c r="T236" s="20"/>
      <c r="U236" s="20"/>
    </row>
    <row r="237">
      <c r="A237" s="20"/>
      <c r="B237" s="20"/>
      <c r="C237" s="20"/>
      <c r="D237" s="20"/>
      <c r="E237" s="20"/>
      <c r="F237" s="20"/>
      <c r="G237" s="20"/>
      <c r="H237" s="20"/>
      <c r="I237" s="20"/>
      <c r="J237" s="20"/>
      <c r="K237" s="20"/>
      <c r="L237" s="20"/>
      <c r="M237" s="20"/>
      <c r="N237" s="20"/>
      <c r="O237" s="20"/>
      <c r="P237" s="20"/>
      <c r="Q237" s="20"/>
      <c r="R237" s="20"/>
      <c r="S237" s="20"/>
      <c r="T237" s="20"/>
      <c r="U237" s="20"/>
    </row>
    <row r="238">
      <c r="A238" s="20"/>
      <c r="B238" s="20"/>
      <c r="C238" s="20"/>
      <c r="D238" s="20"/>
      <c r="E238" s="20"/>
      <c r="F238" s="20"/>
      <c r="G238" s="20"/>
      <c r="H238" s="20"/>
      <c r="I238" s="20"/>
      <c r="J238" s="20"/>
      <c r="K238" s="20"/>
      <c r="L238" s="20"/>
      <c r="M238" s="20"/>
      <c r="N238" s="20"/>
      <c r="O238" s="20"/>
      <c r="P238" s="20"/>
      <c r="Q238" s="20"/>
      <c r="R238" s="20"/>
      <c r="S238" s="20"/>
      <c r="T238" s="20"/>
      <c r="U238" s="20"/>
    </row>
    <row r="239">
      <c r="A239" s="20"/>
      <c r="B239" s="20"/>
      <c r="C239" s="20"/>
      <c r="D239" s="20"/>
      <c r="E239" s="20"/>
      <c r="F239" s="20"/>
      <c r="G239" s="20"/>
      <c r="H239" s="20"/>
      <c r="I239" s="20"/>
      <c r="J239" s="20"/>
      <c r="K239" s="20"/>
      <c r="L239" s="20"/>
      <c r="M239" s="20"/>
      <c r="N239" s="20"/>
      <c r="O239" s="20"/>
      <c r="P239" s="20"/>
      <c r="Q239" s="20"/>
      <c r="R239" s="20"/>
      <c r="S239" s="20"/>
      <c r="T239" s="20"/>
      <c r="U239" s="20"/>
    </row>
    <row r="240">
      <c r="A240" s="20"/>
      <c r="B240" s="20"/>
      <c r="C240" s="20"/>
      <c r="D240" s="20"/>
      <c r="E240" s="20"/>
      <c r="F240" s="20"/>
      <c r="G240" s="20"/>
      <c r="H240" s="20"/>
      <c r="I240" s="20"/>
      <c r="J240" s="20"/>
      <c r="K240" s="20"/>
      <c r="L240" s="20"/>
      <c r="M240" s="20"/>
      <c r="N240" s="20"/>
      <c r="O240" s="20"/>
      <c r="P240" s="20"/>
      <c r="Q240" s="20"/>
      <c r="R240" s="20"/>
      <c r="S240" s="20"/>
      <c r="T240" s="20"/>
      <c r="U240" s="20"/>
    </row>
    <row r="241">
      <c r="A241" s="20"/>
      <c r="B241" s="20"/>
      <c r="C241" s="20"/>
      <c r="D241" s="20"/>
      <c r="E241" s="20"/>
      <c r="F241" s="20"/>
      <c r="G241" s="20"/>
      <c r="H241" s="20"/>
      <c r="I241" s="20"/>
      <c r="J241" s="20"/>
      <c r="K241" s="20"/>
      <c r="L241" s="20"/>
      <c r="M241" s="20"/>
      <c r="N241" s="20"/>
      <c r="O241" s="20"/>
      <c r="P241" s="20"/>
      <c r="Q241" s="20"/>
      <c r="R241" s="20"/>
      <c r="S241" s="20"/>
      <c r="T241" s="20"/>
      <c r="U241" s="20"/>
    </row>
    <row r="242">
      <c r="A242" s="20"/>
      <c r="B242" s="20"/>
      <c r="C242" s="20"/>
      <c r="D242" s="20"/>
      <c r="E242" s="20"/>
      <c r="F242" s="20"/>
      <c r="G242" s="20"/>
      <c r="H242" s="20"/>
      <c r="I242" s="20"/>
      <c r="J242" s="20"/>
      <c r="K242" s="20"/>
      <c r="L242" s="20"/>
      <c r="M242" s="20"/>
      <c r="N242" s="20"/>
      <c r="O242" s="20"/>
      <c r="P242" s="20"/>
      <c r="Q242" s="20"/>
      <c r="R242" s="20"/>
      <c r="S242" s="20"/>
      <c r="T242" s="20"/>
      <c r="U242" s="20"/>
    </row>
    <row r="243">
      <c r="A243" s="20"/>
      <c r="B243" s="20"/>
      <c r="C243" s="20"/>
      <c r="D243" s="20"/>
      <c r="E243" s="20"/>
      <c r="F243" s="20"/>
      <c r="G243" s="20"/>
      <c r="H243" s="20"/>
      <c r="I243" s="20"/>
      <c r="J243" s="20"/>
      <c r="K243" s="20"/>
      <c r="L243" s="20"/>
      <c r="M243" s="20"/>
      <c r="N243" s="20"/>
      <c r="O243" s="20"/>
      <c r="P243" s="20"/>
      <c r="Q243" s="20"/>
      <c r="R243" s="20"/>
      <c r="S243" s="20"/>
      <c r="T243" s="20"/>
      <c r="U243" s="20"/>
    </row>
    <row r="244">
      <c r="A244" s="20"/>
      <c r="B244" s="20"/>
      <c r="C244" s="20"/>
      <c r="D244" s="20"/>
      <c r="E244" s="20"/>
      <c r="F244" s="20"/>
      <c r="G244" s="20"/>
      <c r="H244" s="20"/>
      <c r="I244" s="20"/>
      <c r="J244" s="20"/>
      <c r="K244" s="20"/>
      <c r="L244" s="20"/>
      <c r="M244" s="20"/>
      <c r="N244" s="20"/>
      <c r="O244" s="20"/>
      <c r="P244" s="20"/>
      <c r="Q244" s="20"/>
      <c r="R244" s="20"/>
      <c r="S244" s="20"/>
      <c r="T244" s="20"/>
      <c r="U244" s="20"/>
    </row>
    <row r="245">
      <c r="A245" s="20"/>
      <c r="B245" s="20"/>
      <c r="C245" s="20"/>
      <c r="D245" s="20"/>
      <c r="E245" s="20"/>
      <c r="F245" s="20"/>
      <c r="G245" s="20"/>
      <c r="H245" s="20"/>
      <c r="I245" s="20"/>
      <c r="J245" s="20"/>
      <c r="K245" s="20"/>
      <c r="L245" s="20"/>
      <c r="M245" s="20"/>
      <c r="N245" s="20"/>
      <c r="O245" s="20"/>
      <c r="P245" s="20"/>
      <c r="Q245" s="20"/>
      <c r="R245" s="20"/>
      <c r="S245" s="20"/>
      <c r="T245" s="20"/>
      <c r="U245" s="20"/>
    </row>
    <row r="246">
      <c r="A246" s="20"/>
      <c r="B246" s="20"/>
      <c r="C246" s="20"/>
      <c r="D246" s="20"/>
      <c r="E246" s="20"/>
      <c r="F246" s="20"/>
      <c r="G246" s="20"/>
      <c r="H246" s="20"/>
      <c r="I246" s="20"/>
      <c r="J246" s="20"/>
      <c r="K246" s="20"/>
      <c r="L246" s="20"/>
      <c r="M246" s="20"/>
      <c r="N246" s="20"/>
      <c r="O246" s="20"/>
      <c r="P246" s="20"/>
      <c r="Q246" s="20"/>
      <c r="R246" s="20"/>
      <c r="S246" s="20"/>
      <c r="T246" s="20"/>
      <c r="U246" s="20"/>
    </row>
    <row r="247">
      <c r="A247" s="20"/>
      <c r="B247" s="20"/>
      <c r="C247" s="20"/>
      <c r="D247" s="20"/>
      <c r="E247" s="20"/>
      <c r="F247" s="20"/>
      <c r="G247" s="20"/>
      <c r="H247" s="20"/>
      <c r="I247" s="20"/>
      <c r="J247" s="20"/>
      <c r="K247" s="20"/>
      <c r="L247" s="20"/>
      <c r="M247" s="20"/>
      <c r="N247" s="20"/>
      <c r="O247" s="20"/>
      <c r="P247" s="20"/>
      <c r="Q247" s="20"/>
      <c r="R247" s="20"/>
      <c r="S247" s="20"/>
      <c r="T247" s="20"/>
      <c r="U247" s="20"/>
    </row>
    <row r="248">
      <c r="A248" s="20"/>
      <c r="B248" s="20"/>
      <c r="C248" s="20"/>
      <c r="D248" s="20"/>
      <c r="E248" s="20"/>
      <c r="F248" s="20"/>
      <c r="G248" s="20"/>
      <c r="H248" s="20"/>
      <c r="I248" s="20"/>
      <c r="J248" s="20"/>
      <c r="K248" s="20"/>
      <c r="L248" s="20"/>
      <c r="M248" s="20"/>
      <c r="N248" s="20"/>
      <c r="O248" s="20"/>
      <c r="P248" s="20"/>
      <c r="Q248" s="20"/>
      <c r="R248" s="20"/>
      <c r="S248" s="20"/>
      <c r="T248" s="20"/>
      <c r="U248" s="20"/>
    </row>
    <row r="249">
      <c r="A249" s="20"/>
      <c r="B249" s="20"/>
      <c r="C249" s="20"/>
      <c r="D249" s="20"/>
      <c r="E249" s="20"/>
      <c r="F249" s="20"/>
      <c r="G249" s="20"/>
      <c r="H249" s="20"/>
      <c r="I249" s="20"/>
      <c r="J249" s="20"/>
      <c r="K249" s="20"/>
      <c r="L249" s="20"/>
      <c r="M249" s="20"/>
      <c r="N249" s="20"/>
      <c r="O249" s="20"/>
      <c r="P249" s="20"/>
      <c r="Q249" s="20"/>
      <c r="R249" s="20"/>
      <c r="S249" s="20"/>
      <c r="T249" s="20"/>
      <c r="U249" s="20"/>
    </row>
    <row r="250">
      <c r="A250" s="20"/>
      <c r="B250" s="20"/>
      <c r="C250" s="20"/>
      <c r="D250" s="20"/>
      <c r="E250" s="20"/>
      <c r="F250" s="20"/>
      <c r="G250" s="20"/>
      <c r="H250" s="20"/>
      <c r="I250" s="20"/>
      <c r="J250" s="20"/>
      <c r="K250" s="20"/>
      <c r="L250" s="20"/>
      <c r="M250" s="20"/>
      <c r="N250" s="20"/>
      <c r="O250" s="20"/>
      <c r="P250" s="20"/>
      <c r="Q250" s="20"/>
      <c r="R250" s="20"/>
      <c r="S250" s="20"/>
      <c r="T250" s="20"/>
      <c r="U250" s="20"/>
    </row>
    <row r="251">
      <c r="A251" s="20"/>
      <c r="B251" s="20"/>
      <c r="C251" s="20"/>
      <c r="D251" s="20"/>
      <c r="E251" s="20"/>
      <c r="F251" s="20"/>
      <c r="G251" s="20"/>
      <c r="H251" s="20"/>
      <c r="I251" s="20"/>
      <c r="J251" s="20"/>
      <c r="K251" s="20"/>
      <c r="L251" s="20"/>
      <c r="M251" s="20"/>
      <c r="N251" s="20"/>
      <c r="O251" s="20"/>
      <c r="P251" s="20"/>
      <c r="Q251" s="20"/>
      <c r="R251" s="20"/>
      <c r="S251" s="20"/>
      <c r="T251" s="20"/>
      <c r="U251" s="20"/>
    </row>
    <row r="252">
      <c r="A252" s="20"/>
      <c r="B252" s="20"/>
      <c r="C252" s="20"/>
      <c r="D252" s="20"/>
      <c r="E252" s="20"/>
      <c r="F252" s="20"/>
      <c r="G252" s="20"/>
      <c r="H252" s="20"/>
      <c r="I252" s="20"/>
      <c r="J252" s="20"/>
      <c r="K252" s="20"/>
      <c r="L252" s="20"/>
      <c r="M252" s="20"/>
      <c r="N252" s="20"/>
      <c r="O252" s="20"/>
      <c r="P252" s="20"/>
      <c r="Q252" s="20"/>
      <c r="R252" s="20"/>
      <c r="S252" s="20"/>
      <c r="T252" s="20"/>
      <c r="U252" s="20"/>
    </row>
    <row r="253">
      <c r="A253" s="20"/>
      <c r="B253" s="20"/>
      <c r="C253" s="20"/>
      <c r="D253" s="20"/>
      <c r="E253" s="20"/>
      <c r="F253" s="20"/>
      <c r="G253" s="20"/>
      <c r="H253" s="20"/>
      <c r="I253" s="20"/>
      <c r="J253" s="20"/>
      <c r="K253" s="20"/>
      <c r="L253" s="20"/>
      <c r="M253" s="20"/>
      <c r="N253" s="20"/>
      <c r="O253" s="20"/>
      <c r="P253" s="20"/>
      <c r="Q253" s="20"/>
      <c r="R253" s="20"/>
      <c r="S253" s="20"/>
      <c r="T253" s="20"/>
      <c r="U253" s="20"/>
    </row>
    <row r="254">
      <c r="A254" s="20"/>
      <c r="B254" s="20"/>
      <c r="C254" s="20"/>
      <c r="D254" s="20"/>
      <c r="E254" s="20"/>
      <c r="F254" s="20"/>
      <c r="G254" s="20"/>
      <c r="H254" s="20"/>
      <c r="I254" s="20"/>
      <c r="J254" s="20"/>
      <c r="K254" s="20"/>
      <c r="L254" s="20"/>
      <c r="M254" s="20"/>
      <c r="N254" s="20"/>
      <c r="O254" s="20"/>
      <c r="P254" s="20"/>
      <c r="Q254" s="20"/>
      <c r="R254" s="20"/>
      <c r="S254" s="20"/>
      <c r="T254" s="20"/>
      <c r="U254" s="20"/>
    </row>
    <row r="255">
      <c r="A255" s="20"/>
      <c r="B255" s="20"/>
      <c r="C255" s="20"/>
      <c r="D255" s="20"/>
      <c r="E255" s="20"/>
      <c r="F255" s="20"/>
      <c r="G255" s="20"/>
      <c r="H255" s="20"/>
      <c r="I255" s="20"/>
      <c r="J255" s="20"/>
      <c r="K255" s="20"/>
      <c r="L255" s="20"/>
      <c r="M255" s="20"/>
      <c r="N255" s="20"/>
      <c r="O255" s="20"/>
      <c r="P255" s="20"/>
      <c r="Q255" s="20"/>
      <c r="R255" s="20"/>
      <c r="S255" s="20"/>
      <c r="T255" s="20"/>
      <c r="U255" s="20"/>
    </row>
    <row r="256">
      <c r="A256" s="20"/>
      <c r="B256" s="20"/>
      <c r="C256" s="20"/>
      <c r="D256" s="20"/>
      <c r="E256" s="20"/>
      <c r="F256" s="20"/>
      <c r="G256" s="20"/>
      <c r="H256" s="20"/>
      <c r="I256" s="20"/>
      <c r="J256" s="20"/>
      <c r="K256" s="20"/>
      <c r="L256" s="20"/>
      <c r="M256" s="20"/>
      <c r="N256" s="20"/>
      <c r="O256" s="20"/>
      <c r="P256" s="20"/>
      <c r="Q256" s="20"/>
      <c r="R256" s="20"/>
      <c r="S256" s="20"/>
      <c r="T256" s="20"/>
      <c r="U256" s="20"/>
    </row>
    <row r="257">
      <c r="A257" s="20"/>
      <c r="B257" s="20"/>
      <c r="C257" s="20"/>
      <c r="D257" s="20"/>
      <c r="E257" s="20"/>
      <c r="F257" s="20"/>
      <c r="G257" s="20"/>
      <c r="H257" s="20"/>
      <c r="I257" s="20"/>
      <c r="J257" s="20"/>
      <c r="K257" s="20"/>
      <c r="L257" s="20"/>
      <c r="M257" s="20"/>
      <c r="N257" s="20"/>
      <c r="O257" s="20"/>
      <c r="P257" s="20"/>
      <c r="Q257" s="20"/>
      <c r="R257" s="20"/>
      <c r="S257" s="20"/>
      <c r="T257" s="20"/>
      <c r="U257" s="20"/>
    </row>
    <row r="258">
      <c r="A258" s="20"/>
      <c r="B258" s="20"/>
      <c r="C258" s="20"/>
      <c r="D258" s="20"/>
      <c r="E258" s="20"/>
      <c r="F258" s="20"/>
      <c r="G258" s="20"/>
      <c r="H258" s="20"/>
      <c r="I258" s="20"/>
      <c r="J258" s="20"/>
      <c r="K258" s="20"/>
      <c r="L258" s="20"/>
      <c r="M258" s="20"/>
      <c r="N258" s="20"/>
      <c r="O258" s="20"/>
      <c r="P258" s="20"/>
      <c r="Q258" s="20"/>
      <c r="R258" s="20"/>
      <c r="S258" s="20"/>
      <c r="T258" s="20"/>
      <c r="U258" s="20"/>
    </row>
    <row r="259">
      <c r="A259" s="20"/>
      <c r="B259" s="20"/>
      <c r="C259" s="20"/>
      <c r="D259" s="20"/>
      <c r="E259" s="20"/>
      <c r="F259" s="20"/>
      <c r="G259" s="20"/>
      <c r="H259" s="20"/>
      <c r="I259" s="20"/>
      <c r="J259" s="20"/>
      <c r="K259" s="20"/>
      <c r="L259" s="20"/>
      <c r="M259" s="20"/>
      <c r="N259" s="20"/>
      <c r="O259" s="20"/>
      <c r="P259" s="20"/>
      <c r="Q259" s="20"/>
      <c r="R259" s="20"/>
      <c r="S259" s="20"/>
      <c r="T259" s="20"/>
      <c r="U259" s="20"/>
    </row>
    <row r="260">
      <c r="A260" s="20"/>
      <c r="B260" s="20"/>
      <c r="C260" s="20"/>
      <c r="D260" s="20"/>
      <c r="E260" s="20"/>
      <c r="F260" s="20"/>
      <c r="G260" s="20"/>
      <c r="H260" s="20"/>
      <c r="I260" s="20"/>
      <c r="J260" s="20"/>
      <c r="K260" s="20"/>
      <c r="L260" s="20"/>
      <c r="M260" s="20"/>
      <c r="N260" s="20"/>
      <c r="O260" s="20"/>
      <c r="P260" s="20"/>
      <c r="Q260" s="20"/>
      <c r="R260" s="20"/>
      <c r="S260" s="20"/>
      <c r="T260" s="20"/>
      <c r="U260" s="20"/>
    </row>
    <row r="261">
      <c r="A261" s="20"/>
      <c r="B261" s="20"/>
      <c r="C261" s="20"/>
      <c r="D261" s="20"/>
      <c r="E261" s="20"/>
      <c r="F261" s="20"/>
      <c r="G261" s="20"/>
      <c r="H261" s="20"/>
      <c r="I261" s="20"/>
      <c r="J261" s="20"/>
      <c r="K261" s="20"/>
      <c r="L261" s="20"/>
      <c r="M261" s="20"/>
      <c r="N261" s="20"/>
      <c r="O261" s="20"/>
      <c r="P261" s="20"/>
      <c r="Q261" s="20"/>
      <c r="R261" s="20"/>
      <c r="S261" s="20"/>
      <c r="T261" s="20"/>
      <c r="U261" s="20"/>
    </row>
    <row r="262">
      <c r="A262" s="20"/>
      <c r="B262" s="20"/>
      <c r="C262" s="20"/>
      <c r="D262" s="20"/>
      <c r="E262" s="20"/>
      <c r="F262" s="20"/>
      <c r="G262" s="20"/>
      <c r="H262" s="20"/>
      <c r="I262" s="20"/>
      <c r="J262" s="20"/>
      <c r="K262" s="20"/>
      <c r="L262" s="20"/>
      <c r="M262" s="20"/>
      <c r="N262" s="20"/>
      <c r="O262" s="20"/>
      <c r="P262" s="20"/>
      <c r="Q262" s="20"/>
      <c r="R262" s="20"/>
      <c r="S262" s="20"/>
      <c r="T262" s="20"/>
      <c r="U262" s="20"/>
    </row>
    <row r="263">
      <c r="A263" s="20"/>
      <c r="B263" s="20"/>
      <c r="C263" s="20"/>
      <c r="D263" s="20"/>
      <c r="E263" s="20"/>
      <c r="F263" s="20"/>
      <c r="G263" s="20"/>
      <c r="H263" s="20"/>
      <c r="I263" s="20"/>
      <c r="J263" s="20"/>
      <c r="K263" s="20"/>
      <c r="L263" s="20"/>
      <c r="M263" s="20"/>
      <c r="N263" s="20"/>
      <c r="O263" s="20"/>
      <c r="P263" s="20"/>
      <c r="Q263" s="20"/>
      <c r="R263" s="20"/>
      <c r="S263" s="20"/>
      <c r="T263" s="20"/>
      <c r="U263" s="20"/>
    </row>
    <row r="264">
      <c r="A264" s="20"/>
      <c r="B264" s="20"/>
      <c r="C264" s="20"/>
      <c r="D264" s="20"/>
      <c r="E264" s="20"/>
      <c r="F264" s="20"/>
      <c r="G264" s="20"/>
      <c r="H264" s="20"/>
      <c r="I264" s="20"/>
      <c r="J264" s="20"/>
      <c r="K264" s="20"/>
      <c r="L264" s="20"/>
      <c r="M264" s="20"/>
      <c r="N264" s="20"/>
      <c r="O264" s="20"/>
      <c r="P264" s="20"/>
      <c r="Q264" s="20"/>
      <c r="R264" s="20"/>
      <c r="S264" s="20"/>
      <c r="T264" s="20"/>
      <c r="U264" s="20"/>
    </row>
    <row r="265">
      <c r="A265" s="20"/>
      <c r="B265" s="20"/>
      <c r="C265" s="20"/>
      <c r="D265" s="20"/>
      <c r="E265" s="20"/>
      <c r="F265" s="20"/>
      <c r="G265" s="20"/>
      <c r="H265" s="20"/>
      <c r="I265" s="20"/>
      <c r="J265" s="20"/>
      <c r="K265" s="20"/>
      <c r="L265" s="20"/>
      <c r="M265" s="20"/>
      <c r="N265" s="20"/>
      <c r="O265" s="20"/>
      <c r="P265" s="20"/>
      <c r="Q265" s="20"/>
      <c r="R265" s="20"/>
      <c r="S265" s="20"/>
      <c r="T265" s="20"/>
      <c r="U265" s="20"/>
    </row>
    <row r="266">
      <c r="A266" s="20"/>
      <c r="B266" s="20"/>
      <c r="C266" s="20"/>
      <c r="D266" s="20"/>
      <c r="E266" s="20"/>
      <c r="F266" s="20"/>
      <c r="G266" s="20"/>
      <c r="H266" s="20"/>
      <c r="I266" s="20"/>
      <c r="J266" s="20"/>
      <c r="K266" s="20"/>
      <c r="L266" s="20"/>
      <c r="M266" s="20"/>
      <c r="N266" s="20"/>
      <c r="O266" s="20"/>
      <c r="P266" s="20"/>
      <c r="Q266" s="20"/>
      <c r="R266" s="20"/>
      <c r="S266" s="20"/>
      <c r="T266" s="20"/>
      <c r="U266" s="20"/>
    </row>
    <row r="267">
      <c r="A267" s="20"/>
      <c r="B267" s="20"/>
      <c r="C267" s="20"/>
      <c r="D267" s="20"/>
      <c r="E267" s="20"/>
      <c r="F267" s="20"/>
      <c r="G267" s="20"/>
      <c r="H267" s="20"/>
      <c r="I267" s="20"/>
      <c r="J267" s="20"/>
      <c r="K267" s="20"/>
      <c r="L267" s="20"/>
      <c r="M267" s="20"/>
      <c r="N267" s="20"/>
      <c r="O267" s="20"/>
      <c r="P267" s="20"/>
      <c r="Q267" s="20"/>
      <c r="R267" s="20"/>
      <c r="S267" s="20"/>
      <c r="T267" s="20"/>
      <c r="U267" s="20"/>
    </row>
    <row r="268">
      <c r="A268" s="20"/>
      <c r="B268" s="20"/>
      <c r="C268" s="20"/>
      <c r="D268" s="20"/>
      <c r="E268" s="20"/>
      <c r="F268" s="20"/>
      <c r="G268" s="20"/>
      <c r="H268" s="20"/>
      <c r="I268" s="20"/>
      <c r="J268" s="20"/>
      <c r="K268" s="20"/>
      <c r="L268" s="20"/>
      <c r="M268" s="20"/>
      <c r="N268" s="20"/>
      <c r="O268" s="20"/>
      <c r="P268" s="20"/>
      <c r="Q268" s="20"/>
      <c r="R268" s="20"/>
      <c r="S268" s="20"/>
      <c r="T268" s="20"/>
      <c r="U268" s="20"/>
    </row>
    <row r="269">
      <c r="A269" s="20"/>
      <c r="B269" s="20"/>
      <c r="C269" s="20"/>
      <c r="D269" s="20"/>
      <c r="E269" s="20"/>
      <c r="F269" s="20"/>
      <c r="G269" s="20"/>
      <c r="H269" s="20"/>
      <c r="I269" s="20"/>
      <c r="J269" s="20"/>
      <c r="K269" s="20"/>
      <c r="L269" s="20"/>
      <c r="M269" s="20"/>
      <c r="N269" s="20"/>
      <c r="O269" s="20"/>
      <c r="P269" s="20"/>
      <c r="Q269" s="20"/>
      <c r="R269" s="20"/>
      <c r="S269" s="20"/>
      <c r="T269" s="20"/>
      <c r="U269" s="20"/>
    </row>
    <row r="270">
      <c r="A270" s="20"/>
      <c r="B270" s="20"/>
      <c r="C270" s="20"/>
      <c r="D270" s="20"/>
      <c r="E270" s="20"/>
      <c r="F270" s="20"/>
      <c r="G270" s="20"/>
      <c r="H270" s="20"/>
      <c r="I270" s="20"/>
      <c r="J270" s="20"/>
      <c r="K270" s="20"/>
      <c r="L270" s="20"/>
      <c r="M270" s="20"/>
      <c r="N270" s="20"/>
      <c r="O270" s="20"/>
      <c r="P270" s="20"/>
      <c r="Q270" s="20"/>
      <c r="R270" s="20"/>
      <c r="S270" s="20"/>
      <c r="T270" s="20"/>
      <c r="U270" s="20"/>
    </row>
    <row r="271">
      <c r="A271" s="20"/>
      <c r="B271" s="20"/>
      <c r="C271" s="20"/>
      <c r="D271" s="20"/>
      <c r="E271" s="20"/>
      <c r="F271" s="20"/>
      <c r="G271" s="20"/>
      <c r="H271" s="20"/>
      <c r="I271" s="20"/>
      <c r="J271" s="20"/>
      <c r="K271" s="20"/>
      <c r="L271" s="20"/>
      <c r="M271" s="20"/>
      <c r="N271" s="20"/>
      <c r="O271" s="20"/>
      <c r="P271" s="20"/>
      <c r="Q271" s="20"/>
      <c r="R271" s="20"/>
      <c r="S271" s="20"/>
      <c r="T271" s="20"/>
      <c r="U271" s="20"/>
    </row>
    <row r="272">
      <c r="A272" s="20"/>
      <c r="B272" s="20"/>
      <c r="C272" s="20"/>
      <c r="D272" s="20"/>
      <c r="E272" s="20"/>
      <c r="F272" s="20"/>
      <c r="G272" s="20"/>
      <c r="H272" s="20"/>
      <c r="I272" s="20"/>
      <c r="J272" s="20"/>
      <c r="K272" s="20"/>
      <c r="L272" s="20"/>
      <c r="M272" s="20"/>
      <c r="N272" s="20"/>
      <c r="O272" s="20"/>
      <c r="P272" s="20"/>
      <c r="Q272" s="20"/>
      <c r="R272" s="20"/>
      <c r="S272" s="20"/>
      <c r="T272" s="20"/>
      <c r="U272" s="20"/>
    </row>
    <row r="273">
      <c r="A273" s="20"/>
      <c r="B273" s="20"/>
      <c r="C273" s="20"/>
      <c r="D273" s="20"/>
      <c r="E273" s="20"/>
      <c r="F273" s="20"/>
      <c r="G273" s="20"/>
      <c r="H273" s="20"/>
      <c r="I273" s="20"/>
      <c r="J273" s="20"/>
      <c r="K273" s="20"/>
      <c r="L273" s="20"/>
      <c r="M273" s="20"/>
      <c r="N273" s="20"/>
      <c r="O273" s="20"/>
      <c r="P273" s="20"/>
      <c r="Q273" s="20"/>
      <c r="R273" s="20"/>
      <c r="S273" s="20"/>
      <c r="T273" s="20"/>
      <c r="U273" s="20"/>
    </row>
    <row r="274">
      <c r="A274" s="20"/>
      <c r="B274" s="20"/>
      <c r="C274" s="20"/>
      <c r="D274" s="20"/>
      <c r="E274" s="20"/>
      <c r="F274" s="20"/>
      <c r="G274" s="20"/>
      <c r="H274" s="20"/>
      <c r="I274" s="20"/>
      <c r="J274" s="20"/>
      <c r="K274" s="20"/>
      <c r="L274" s="20"/>
      <c r="M274" s="20"/>
      <c r="N274" s="20"/>
      <c r="O274" s="20"/>
      <c r="P274" s="20"/>
      <c r="Q274" s="20"/>
      <c r="R274" s="20"/>
      <c r="S274" s="20"/>
      <c r="T274" s="20"/>
      <c r="U274" s="20"/>
    </row>
    <row r="275">
      <c r="A275" s="20"/>
      <c r="B275" s="20"/>
      <c r="C275" s="20"/>
      <c r="D275" s="20"/>
      <c r="E275" s="20"/>
      <c r="F275" s="20"/>
      <c r="G275" s="20"/>
      <c r="H275" s="20"/>
      <c r="I275" s="20"/>
      <c r="J275" s="20"/>
      <c r="K275" s="20"/>
      <c r="L275" s="20"/>
      <c r="M275" s="20"/>
      <c r="N275" s="20"/>
      <c r="O275" s="20"/>
      <c r="P275" s="20"/>
      <c r="Q275" s="20"/>
      <c r="R275" s="20"/>
      <c r="S275" s="20"/>
      <c r="T275" s="20"/>
      <c r="U275" s="20"/>
    </row>
    <row r="276">
      <c r="A276" s="20"/>
      <c r="B276" s="20"/>
      <c r="C276" s="20"/>
      <c r="D276" s="20"/>
      <c r="E276" s="20"/>
      <c r="F276" s="20"/>
      <c r="G276" s="20"/>
      <c r="H276" s="20"/>
      <c r="I276" s="20"/>
      <c r="J276" s="20"/>
      <c r="K276" s="20"/>
      <c r="L276" s="20"/>
      <c r="M276" s="20"/>
      <c r="N276" s="20"/>
      <c r="O276" s="20"/>
      <c r="P276" s="20"/>
      <c r="Q276" s="20"/>
      <c r="R276" s="20"/>
      <c r="S276" s="20"/>
      <c r="T276" s="20"/>
      <c r="U276" s="20"/>
    </row>
    <row r="277">
      <c r="A277" s="20"/>
      <c r="B277" s="20"/>
      <c r="C277" s="20"/>
      <c r="D277" s="20"/>
      <c r="E277" s="20"/>
      <c r="F277" s="20"/>
      <c r="G277" s="20"/>
      <c r="H277" s="20"/>
      <c r="I277" s="20"/>
      <c r="J277" s="20"/>
      <c r="K277" s="20"/>
      <c r="L277" s="20"/>
      <c r="M277" s="20"/>
      <c r="N277" s="20"/>
      <c r="O277" s="20"/>
      <c r="P277" s="20"/>
      <c r="Q277" s="20"/>
      <c r="R277" s="20"/>
      <c r="S277" s="20"/>
      <c r="T277" s="20"/>
      <c r="U277" s="20"/>
    </row>
    <row r="278">
      <c r="A278" s="20"/>
      <c r="B278" s="20"/>
      <c r="C278" s="20"/>
      <c r="D278" s="20"/>
      <c r="E278" s="20"/>
      <c r="F278" s="20"/>
      <c r="G278" s="20"/>
      <c r="H278" s="20"/>
      <c r="I278" s="20"/>
      <c r="J278" s="20"/>
      <c r="K278" s="20"/>
      <c r="L278" s="20"/>
      <c r="M278" s="20"/>
      <c r="N278" s="20"/>
      <c r="O278" s="20"/>
      <c r="P278" s="20"/>
      <c r="Q278" s="20"/>
      <c r="R278" s="20"/>
      <c r="S278" s="20"/>
      <c r="T278" s="20"/>
      <c r="U278" s="20"/>
    </row>
    <row r="279">
      <c r="A279" s="20"/>
      <c r="B279" s="20"/>
      <c r="C279" s="20"/>
      <c r="D279" s="20"/>
      <c r="E279" s="20"/>
      <c r="F279" s="20"/>
      <c r="G279" s="20"/>
      <c r="H279" s="20"/>
      <c r="I279" s="20"/>
      <c r="J279" s="20"/>
      <c r="K279" s="20"/>
      <c r="L279" s="20"/>
      <c r="M279" s="20"/>
      <c r="N279" s="20"/>
      <c r="O279" s="20"/>
      <c r="P279" s="20"/>
      <c r="Q279" s="20"/>
      <c r="R279" s="20"/>
      <c r="S279" s="20"/>
      <c r="T279" s="20"/>
      <c r="U279" s="20"/>
    </row>
    <row r="280">
      <c r="A280" s="20"/>
      <c r="B280" s="20"/>
      <c r="C280" s="20"/>
      <c r="D280" s="20"/>
      <c r="E280" s="20"/>
      <c r="F280" s="20"/>
      <c r="G280" s="20"/>
      <c r="H280" s="20"/>
      <c r="I280" s="20"/>
      <c r="J280" s="20"/>
      <c r="K280" s="20"/>
      <c r="L280" s="20"/>
      <c r="M280" s="20"/>
      <c r="N280" s="20"/>
      <c r="O280" s="20"/>
      <c r="P280" s="20"/>
      <c r="Q280" s="20"/>
      <c r="R280" s="20"/>
      <c r="S280" s="20"/>
      <c r="T280" s="20"/>
      <c r="U280" s="20"/>
    </row>
    <row r="281">
      <c r="A281" s="20"/>
      <c r="B281" s="20"/>
      <c r="C281" s="20"/>
      <c r="D281" s="20"/>
      <c r="E281" s="20"/>
      <c r="F281" s="20"/>
      <c r="G281" s="20"/>
      <c r="H281" s="20"/>
      <c r="I281" s="20"/>
      <c r="J281" s="20"/>
      <c r="K281" s="20"/>
      <c r="L281" s="20"/>
      <c r="M281" s="20"/>
      <c r="N281" s="20"/>
      <c r="O281" s="20"/>
      <c r="P281" s="20"/>
      <c r="Q281" s="20"/>
      <c r="R281" s="20"/>
      <c r="S281" s="20"/>
      <c r="T281" s="20"/>
      <c r="U281" s="20"/>
    </row>
    <row r="282">
      <c r="A282" s="20"/>
      <c r="B282" s="20"/>
      <c r="C282" s="20"/>
      <c r="D282" s="20"/>
      <c r="E282" s="20"/>
      <c r="F282" s="20"/>
      <c r="G282" s="20"/>
      <c r="H282" s="20"/>
      <c r="I282" s="20"/>
      <c r="J282" s="20"/>
      <c r="K282" s="20"/>
      <c r="L282" s="20"/>
      <c r="M282" s="20"/>
      <c r="N282" s="20"/>
      <c r="O282" s="20"/>
      <c r="P282" s="20"/>
      <c r="Q282" s="20"/>
      <c r="R282" s="20"/>
      <c r="S282" s="20"/>
      <c r="T282" s="20"/>
      <c r="U282" s="20"/>
    </row>
    <row r="283">
      <c r="A283" s="20"/>
      <c r="B283" s="20"/>
      <c r="C283" s="20"/>
      <c r="D283" s="20"/>
      <c r="E283" s="20"/>
      <c r="F283" s="20"/>
      <c r="G283" s="20"/>
      <c r="H283" s="20"/>
      <c r="I283" s="20"/>
      <c r="J283" s="20"/>
      <c r="K283" s="20"/>
      <c r="L283" s="20"/>
      <c r="M283" s="20"/>
      <c r="N283" s="20"/>
      <c r="O283" s="20"/>
      <c r="P283" s="20"/>
      <c r="Q283" s="20"/>
      <c r="R283" s="20"/>
      <c r="S283" s="20"/>
      <c r="T283" s="20"/>
      <c r="U283" s="20"/>
    </row>
    <row r="284">
      <c r="A284" s="20"/>
      <c r="B284" s="20"/>
      <c r="C284" s="20"/>
      <c r="D284" s="20"/>
      <c r="E284" s="20"/>
      <c r="F284" s="20"/>
      <c r="G284" s="20"/>
      <c r="H284" s="20"/>
      <c r="I284" s="20"/>
      <c r="J284" s="20"/>
      <c r="K284" s="20"/>
      <c r="L284" s="20"/>
      <c r="M284" s="20"/>
      <c r="N284" s="20"/>
      <c r="O284" s="20"/>
      <c r="P284" s="20"/>
      <c r="Q284" s="20"/>
      <c r="R284" s="20"/>
      <c r="S284" s="20"/>
      <c r="T284" s="20"/>
      <c r="U284" s="20"/>
    </row>
    <row r="285">
      <c r="A285" s="20"/>
      <c r="B285" s="20"/>
      <c r="C285" s="20"/>
      <c r="D285" s="20"/>
      <c r="E285" s="20"/>
      <c r="F285" s="20"/>
      <c r="G285" s="20"/>
      <c r="H285" s="20"/>
      <c r="I285" s="20"/>
      <c r="J285" s="20"/>
      <c r="K285" s="20"/>
      <c r="L285" s="20"/>
      <c r="M285" s="20"/>
      <c r="N285" s="20"/>
      <c r="O285" s="20"/>
      <c r="P285" s="20"/>
      <c r="Q285" s="20"/>
      <c r="R285" s="20"/>
      <c r="S285" s="20"/>
      <c r="T285" s="20"/>
      <c r="U285" s="20"/>
    </row>
    <row r="286">
      <c r="A286" s="20"/>
      <c r="B286" s="20"/>
      <c r="C286" s="20"/>
      <c r="D286" s="20"/>
      <c r="E286" s="20"/>
      <c r="F286" s="20"/>
      <c r="G286" s="20"/>
      <c r="H286" s="20"/>
      <c r="I286" s="20"/>
      <c r="J286" s="20"/>
      <c r="K286" s="20"/>
      <c r="L286" s="20"/>
      <c r="M286" s="20"/>
      <c r="N286" s="20"/>
      <c r="O286" s="20"/>
      <c r="P286" s="20"/>
      <c r="Q286" s="20"/>
      <c r="R286" s="20"/>
      <c r="S286" s="20"/>
      <c r="T286" s="20"/>
      <c r="U286" s="20"/>
    </row>
    <row r="287">
      <c r="A287" s="20"/>
      <c r="B287" s="20"/>
      <c r="C287" s="20"/>
      <c r="D287" s="20"/>
      <c r="E287" s="20"/>
      <c r="F287" s="20"/>
      <c r="G287" s="20"/>
      <c r="H287" s="20"/>
      <c r="I287" s="20"/>
      <c r="J287" s="20"/>
      <c r="K287" s="20"/>
      <c r="L287" s="20"/>
      <c r="M287" s="20"/>
      <c r="N287" s="20"/>
      <c r="O287" s="20"/>
      <c r="P287" s="20"/>
      <c r="Q287" s="20"/>
      <c r="R287" s="20"/>
      <c r="S287" s="20"/>
      <c r="T287" s="20"/>
      <c r="U287" s="20"/>
    </row>
    <row r="288">
      <c r="A288" s="20"/>
      <c r="B288" s="20"/>
      <c r="C288" s="20"/>
      <c r="D288" s="20"/>
      <c r="E288" s="20"/>
      <c r="F288" s="20"/>
      <c r="G288" s="20"/>
      <c r="H288" s="20"/>
      <c r="I288" s="20"/>
      <c r="J288" s="20"/>
      <c r="K288" s="20"/>
      <c r="L288" s="20"/>
      <c r="M288" s="20"/>
      <c r="N288" s="20"/>
      <c r="O288" s="20"/>
      <c r="P288" s="20"/>
      <c r="Q288" s="20"/>
      <c r="R288" s="20"/>
      <c r="S288" s="20"/>
      <c r="T288" s="20"/>
      <c r="U288" s="20"/>
    </row>
    <row r="289">
      <c r="A289" s="20"/>
      <c r="B289" s="20"/>
      <c r="C289" s="20"/>
      <c r="D289" s="20"/>
      <c r="E289" s="20"/>
      <c r="F289" s="20"/>
      <c r="G289" s="20"/>
      <c r="H289" s="20"/>
      <c r="I289" s="20"/>
      <c r="J289" s="20"/>
      <c r="K289" s="20"/>
      <c r="L289" s="20"/>
      <c r="M289" s="20"/>
      <c r="N289" s="20"/>
      <c r="O289" s="20"/>
      <c r="P289" s="20"/>
      <c r="Q289" s="20"/>
      <c r="R289" s="20"/>
      <c r="S289" s="20"/>
      <c r="T289" s="20"/>
      <c r="U289" s="20"/>
    </row>
    <row r="290">
      <c r="A290" s="20"/>
      <c r="B290" s="20"/>
      <c r="C290" s="20"/>
      <c r="D290" s="20"/>
      <c r="E290" s="20"/>
      <c r="F290" s="20"/>
      <c r="G290" s="20"/>
      <c r="H290" s="20"/>
      <c r="I290" s="20"/>
      <c r="J290" s="20"/>
      <c r="K290" s="20"/>
      <c r="L290" s="20"/>
      <c r="M290" s="20"/>
      <c r="N290" s="20"/>
      <c r="O290" s="20"/>
      <c r="P290" s="20"/>
      <c r="Q290" s="20"/>
      <c r="R290" s="20"/>
      <c r="S290" s="20"/>
      <c r="T290" s="20"/>
      <c r="U290" s="20"/>
    </row>
    <row r="291">
      <c r="A291" s="20"/>
      <c r="B291" s="20"/>
      <c r="C291" s="20"/>
      <c r="D291" s="20"/>
      <c r="E291" s="20"/>
      <c r="F291" s="20"/>
      <c r="G291" s="20"/>
      <c r="H291" s="20"/>
      <c r="I291" s="20"/>
      <c r="J291" s="20"/>
      <c r="K291" s="20"/>
      <c r="L291" s="20"/>
      <c r="M291" s="20"/>
      <c r="N291" s="20"/>
      <c r="O291" s="20"/>
      <c r="P291" s="20"/>
      <c r="Q291" s="20"/>
      <c r="R291" s="20"/>
      <c r="S291" s="20"/>
      <c r="T291" s="20"/>
      <c r="U291" s="20"/>
    </row>
    <row r="292">
      <c r="A292" s="20"/>
      <c r="B292" s="20"/>
      <c r="C292" s="20"/>
      <c r="D292" s="20"/>
      <c r="E292" s="20"/>
      <c r="F292" s="20"/>
      <c r="G292" s="20"/>
      <c r="H292" s="20"/>
      <c r="I292" s="20"/>
      <c r="J292" s="20"/>
      <c r="K292" s="20"/>
      <c r="L292" s="20"/>
      <c r="M292" s="20"/>
      <c r="N292" s="20"/>
      <c r="O292" s="20"/>
      <c r="P292" s="20"/>
      <c r="Q292" s="20"/>
      <c r="R292" s="20"/>
      <c r="S292" s="20"/>
      <c r="T292" s="20"/>
      <c r="U292" s="20"/>
    </row>
    <row r="293">
      <c r="A293" s="20"/>
      <c r="B293" s="20"/>
      <c r="C293" s="20"/>
      <c r="D293" s="20"/>
      <c r="E293" s="20"/>
      <c r="F293" s="20"/>
      <c r="G293" s="20"/>
      <c r="H293" s="20"/>
      <c r="I293" s="20"/>
      <c r="J293" s="20"/>
      <c r="K293" s="20"/>
      <c r="L293" s="20"/>
      <c r="M293" s="20"/>
      <c r="N293" s="20"/>
      <c r="O293" s="20"/>
      <c r="P293" s="20"/>
      <c r="Q293" s="20"/>
      <c r="R293" s="20"/>
      <c r="S293" s="20"/>
      <c r="T293" s="20"/>
      <c r="U293" s="20"/>
    </row>
    <row r="294">
      <c r="A294" s="20"/>
      <c r="B294" s="20"/>
      <c r="C294" s="20"/>
      <c r="D294" s="20"/>
      <c r="E294" s="20"/>
      <c r="F294" s="20"/>
      <c r="G294" s="20"/>
      <c r="H294" s="20"/>
      <c r="I294" s="20"/>
      <c r="J294" s="20"/>
      <c r="K294" s="20"/>
      <c r="L294" s="20"/>
      <c r="M294" s="20"/>
      <c r="N294" s="20"/>
      <c r="O294" s="20"/>
      <c r="P294" s="20"/>
      <c r="Q294" s="20"/>
      <c r="R294" s="20"/>
      <c r="S294" s="20"/>
      <c r="T294" s="20"/>
      <c r="U294" s="20"/>
    </row>
    <row r="295">
      <c r="A295" s="20"/>
      <c r="B295" s="20"/>
      <c r="C295" s="20"/>
      <c r="D295" s="20"/>
      <c r="E295" s="20"/>
      <c r="F295" s="20"/>
      <c r="G295" s="20"/>
      <c r="H295" s="20"/>
      <c r="I295" s="20"/>
      <c r="J295" s="20"/>
      <c r="K295" s="20"/>
      <c r="L295" s="20"/>
      <c r="M295" s="20"/>
      <c r="N295" s="20"/>
      <c r="O295" s="20"/>
      <c r="P295" s="20"/>
      <c r="Q295" s="20"/>
      <c r="R295" s="20"/>
      <c r="S295" s="20"/>
      <c r="T295" s="20"/>
      <c r="U295" s="20"/>
    </row>
    <row r="296">
      <c r="A296" s="20"/>
      <c r="B296" s="20"/>
      <c r="C296" s="20"/>
      <c r="D296" s="20"/>
      <c r="E296" s="20"/>
      <c r="F296" s="20"/>
      <c r="G296" s="20"/>
      <c r="H296" s="20"/>
      <c r="I296" s="20"/>
      <c r="J296" s="20"/>
      <c r="K296" s="20"/>
      <c r="L296" s="20"/>
      <c r="M296" s="20"/>
      <c r="N296" s="20"/>
      <c r="O296" s="20"/>
      <c r="P296" s="20"/>
      <c r="Q296" s="20"/>
      <c r="R296" s="20"/>
      <c r="S296" s="20"/>
      <c r="T296" s="20"/>
      <c r="U296" s="20"/>
    </row>
    <row r="297">
      <c r="A297" s="20"/>
      <c r="B297" s="20"/>
      <c r="C297" s="20"/>
      <c r="D297" s="20"/>
      <c r="E297" s="20"/>
      <c r="F297" s="20"/>
      <c r="G297" s="20"/>
      <c r="H297" s="20"/>
      <c r="I297" s="20"/>
      <c r="J297" s="20"/>
      <c r="K297" s="20"/>
      <c r="L297" s="20"/>
      <c r="M297" s="20"/>
      <c r="N297" s="20"/>
      <c r="O297" s="20"/>
      <c r="P297" s="20"/>
      <c r="Q297" s="20"/>
      <c r="R297" s="20"/>
      <c r="S297" s="20"/>
      <c r="T297" s="20"/>
      <c r="U297" s="20"/>
    </row>
    <row r="298">
      <c r="A298" s="20"/>
      <c r="B298" s="20"/>
      <c r="C298" s="20"/>
      <c r="D298" s="20"/>
      <c r="E298" s="20"/>
      <c r="F298" s="20"/>
      <c r="G298" s="20"/>
      <c r="H298" s="20"/>
      <c r="I298" s="20"/>
      <c r="J298" s="20"/>
      <c r="K298" s="20"/>
      <c r="L298" s="20"/>
      <c r="M298" s="20"/>
      <c r="N298" s="20"/>
      <c r="O298" s="20"/>
      <c r="P298" s="20"/>
      <c r="Q298" s="20"/>
      <c r="R298" s="20"/>
      <c r="S298" s="20"/>
      <c r="T298" s="20"/>
      <c r="U298" s="20"/>
    </row>
    <row r="299">
      <c r="A299" s="20"/>
      <c r="B299" s="20"/>
      <c r="C299" s="20"/>
      <c r="D299" s="20"/>
      <c r="E299" s="20"/>
      <c r="F299" s="20"/>
      <c r="G299" s="20"/>
      <c r="H299" s="20"/>
      <c r="I299" s="20"/>
      <c r="J299" s="20"/>
      <c r="K299" s="20"/>
      <c r="L299" s="20"/>
      <c r="M299" s="20"/>
      <c r="N299" s="20"/>
      <c r="O299" s="20"/>
      <c r="P299" s="20"/>
      <c r="Q299" s="20"/>
      <c r="R299" s="20"/>
      <c r="S299" s="20"/>
      <c r="T299" s="20"/>
      <c r="U299" s="20"/>
    </row>
    <row r="300">
      <c r="A300" s="20"/>
      <c r="B300" s="20"/>
      <c r="C300" s="20"/>
      <c r="D300" s="20"/>
      <c r="E300" s="20"/>
      <c r="F300" s="20"/>
      <c r="G300" s="20"/>
      <c r="H300" s="20"/>
      <c r="I300" s="20"/>
      <c r="J300" s="20"/>
      <c r="K300" s="20"/>
      <c r="L300" s="20"/>
      <c r="M300" s="20"/>
      <c r="N300" s="20"/>
      <c r="O300" s="20"/>
      <c r="P300" s="20"/>
      <c r="Q300" s="20"/>
      <c r="R300" s="20"/>
      <c r="S300" s="20"/>
      <c r="T300" s="20"/>
      <c r="U300" s="20"/>
    </row>
    <row r="301">
      <c r="A301" s="20"/>
      <c r="B301" s="20"/>
      <c r="C301" s="20"/>
      <c r="D301" s="20"/>
      <c r="E301" s="20"/>
      <c r="F301" s="20"/>
      <c r="G301" s="20"/>
      <c r="H301" s="20"/>
      <c r="I301" s="20"/>
      <c r="J301" s="20"/>
      <c r="K301" s="20"/>
      <c r="L301" s="20"/>
      <c r="M301" s="20"/>
      <c r="N301" s="20"/>
      <c r="O301" s="20"/>
      <c r="P301" s="20"/>
      <c r="Q301" s="20"/>
      <c r="R301" s="20"/>
      <c r="S301" s="20"/>
      <c r="T301" s="20"/>
      <c r="U301" s="20"/>
    </row>
    <row r="302">
      <c r="A302" s="20"/>
      <c r="B302" s="20"/>
      <c r="C302" s="20"/>
      <c r="D302" s="20"/>
      <c r="E302" s="20"/>
      <c r="F302" s="20"/>
      <c r="G302" s="20"/>
      <c r="H302" s="20"/>
      <c r="I302" s="20"/>
      <c r="J302" s="20"/>
      <c r="K302" s="20"/>
      <c r="L302" s="20"/>
      <c r="M302" s="20"/>
      <c r="N302" s="20"/>
      <c r="O302" s="20"/>
      <c r="P302" s="20"/>
      <c r="Q302" s="20"/>
      <c r="R302" s="20"/>
      <c r="S302" s="20"/>
      <c r="T302" s="20"/>
      <c r="U302" s="20"/>
    </row>
    <row r="303">
      <c r="A303" s="20"/>
      <c r="B303" s="20"/>
      <c r="C303" s="20"/>
      <c r="D303" s="20"/>
      <c r="E303" s="20"/>
      <c r="F303" s="20"/>
      <c r="G303" s="20"/>
      <c r="H303" s="20"/>
      <c r="I303" s="20"/>
      <c r="J303" s="20"/>
      <c r="K303" s="20"/>
      <c r="L303" s="20"/>
      <c r="M303" s="20"/>
      <c r="N303" s="20"/>
      <c r="O303" s="20"/>
      <c r="P303" s="20"/>
      <c r="Q303" s="20"/>
      <c r="R303" s="20"/>
      <c r="S303" s="20"/>
      <c r="T303" s="20"/>
      <c r="U303" s="20"/>
    </row>
    <row r="304">
      <c r="A304" s="20"/>
      <c r="B304" s="20"/>
      <c r="C304" s="20"/>
      <c r="D304" s="20"/>
      <c r="E304" s="20"/>
      <c r="F304" s="20"/>
      <c r="G304" s="20"/>
      <c r="H304" s="20"/>
      <c r="I304" s="20"/>
      <c r="J304" s="20"/>
      <c r="K304" s="20"/>
      <c r="L304" s="20"/>
      <c r="M304" s="20"/>
      <c r="N304" s="20"/>
      <c r="O304" s="20"/>
      <c r="P304" s="20"/>
      <c r="Q304" s="20"/>
      <c r="R304" s="20"/>
      <c r="S304" s="20"/>
      <c r="T304" s="20"/>
      <c r="U304" s="20"/>
    </row>
    <row r="305">
      <c r="A305" s="20"/>
      <c r="B305" s="20"/>
      <c r="C305" s="20"/>
      <c r="D305" s="20"/>
      <c r="E305" s="20"/>
      <c r="F305" s="20"/>
      <c r="G305" s="20"/>
      <c r="H305" s="20"/>
      <c r="I305" s="20"/>
      <c r="J305" s="20"/>
      <c r="K305" s="20"/>
      <c r="L305" s="20"/>
      <c r="M305" s="20"/>
      <c r="N305" s="20"/>
      <c r="O305" s="20"/>
      <c r="P305" s="20"/>
      <c r="Q305" s="20"/>
      <c r="R305" s="20"/>
      <c r="S305" s="20"/>
      <c r="T305" s="20"/>
      <c r="U305" s="20"/>
    </row>
    <row r="306">
      <c r="A306" s="20"/>
      <c r="B306" s="20"/>
      <c r="C306" s="20"/>
      <c r="D306" s="20"/>
      <c r="E306" s="20"/>
      <c r="F306" s="20"/>
      <c r="G306" s="20"/>
      <c r="H306" s="20"/>
      <c r="I306" s="20"/>
      <c r="J306" s="20"/>
      <c r="K306" s="20"/>
      <c r="L306" s="20"/>
      <c r="M306" s="20"/>
      <c r="N306" s="20"/>
      <c r="O306" s="20"/>
      <c r="P306" s="20"/>
      <c r="Q306" s="20"/>
      <c r="R306" s="20"/>
      <c r="S306" s="20"/>
      <c r="T306" s="20"/>
      <c r="U306" s="20"/>
    </row>
    <row r="307">
      <c r="A307" s="20"/>
      <c r="B307" s="20"/>
      <c r="C307" s="20"/>
      <c r="D307" s="20"/>
      <c r="E307" s="20"/>
      <c r="F307" s="20"/>
      <c r="G307" s="20"/>
      <c r="H307" s="20"/>
      <c r="I307" s="20"/>
      <c r="J307" s="20"/>
      <c r="K307" s="20"/>
      <c r="L307" s="20"/>
      <c r="M307" s="20"/>
      <c r="N307" s="20"/>
      <c r="O307" s="20"/>
      <c r="P307" s="20"/>
      <c r="Q307" s="20"/>
      <c r="R307" s="20"/>
      <c r="S307" s="20"/>
      <c r="T307" s="20"/>
      <c r="U307" s="20"/>
    </row>
    <row r="308">
      <c r="A308" s="20"/>
      <c r="B308" s="20"/>
      <c r="C308" s="20"/>
      <c r="D308" s="20"/>
      <c r="E308" s="20"/>
      <c r="F308" s="20"/>
      <c r="G308" s="20"/>
      <c r="H308" s="20"/>
      <c r="I308" s="20"/>
      <c r="J308" s="20"/>
      <c r="K308" s="20"/>
      <c r="L308" s="20"/>
      <c r="M308" s="20"/>
      <c r="N308" s="20"/>
      <c r="O308" s="20"/>
      <c r="P308" s="20"/>
      <c r="Q308" s="20"/>
      <c r="R308" s="20"/>
      <c r="S308" s="20"/>
      <c r="T308" s="20"/>
      <c r="U308" s="20"/>
    </row>
    <row r="309">
      <c r="A309" s="20"/>
      <c r="B309" s="20"/>
      <c r="C309" s="20"/>
      <c r="D309" s="20"/>
      <c r="E309" s="20"/>
      <c r="F309" s="20"/>
      <c r="G309" s="20"/>
      <c r="H309" s="20"/>
      <c r="I309" s="20"/>
      <c r="J309" s="20"/>
      <c r="K309" s="20"/>
      <c r="L309" s="20"/>
      <c r="M309" s="20"/>
      <c r="N309" s="20"/>
      <c r="O309" s="20"/>
      <c r="P309" s="20"/>
      <c r="Q309" s="20"/>
      <c r="R309" s="20"/>
      <c r="S309" s="20"/>
      <c r="T309" s="20"/>
      <c r="U309" s="20"/>
    </row>
    <row r="310">
      <c r="A310" s="20"/>
      <c r="B310" s="20"/>
      <c r="C310" s="20"/>
      <c r="D310" s="20"/>
      <c r="E310" s="20"/>
      <c r="F310" s="20"/>
      <c r="G310" s="20"/>
      <c r="H310" s="20"/>
      <c r="I310" s="20"/>
      <c r="J310" s="20"/>
      <c r="K310" s="20"/>
      <c r="L310" s="20"/>
      <c r="M310" s="20"/>
      <c r="N310" s="20"/>
      <c r="O310" s="20"/>
      <c r="P310" s="20"/>
      <c r="Q310" s="20"/>
      <c r="R310" s="20"/>
      <c r="S310" s="20"/>
      <c r="T310" s="20"/>
      <c r="U310" s="20"/>
    </row>
    <row r="311">
      <c r="A311" s="20"/>
      <c r="B311" s="20"/>
      <c r="C311" s="20"/>
      <c r="D311" s="20"/>
      <c r="E311" s="20"/>
      <c r="F311" s="20"/>
      <c r="G311" s="20"/>
      <c r="H311" s="20"/>
      <c r="I311" s="20"/>
      <c r="J311" s="20"/>
      <c r="K311" s="20"/>
      <c r="L311" s="20"/>
      <c r="M311" s="20"/>
      <c r="N311" s="20"/>
      <c r="O311" s="20"/>
      <c r="P311" s="20"/>
      <c r="Q311" s="20"/>
      <c r="R311" s="20"/>
      <c r="S311" s="20"/>
      <c r="T311" s="20"/>
      <c r="U311" s="20"/>
    </row>
    <row r="312">
      <c r="A312" s="20"/>
      <c r="B312" s="20"/>
      <c r="C312" s="20"/>
      <c r="D312" s="20"/>
      <c r="E312" s="20"/>
      <c r="F312" s="20"/>
      <c r="G312" s="20"/>
      <c r="H312" s="20"/>
      <c r="I312" s="20"/>
      <c r="J312" s="20"/>
      <c r="K312" s="20"/>
      <c r="L312" s="20"/>
      <c r="M312" s="20"/>
      <c r="N312" s="20"/>
      <c r="O312" s="20"/>
      <c r="P312" s="20"/>
      <c r="Q312" s="20"/>
      <c r="R312" s="20"/>
      <c r="S312" s="20"/>
      <c r="T312" s="20"/>
      <c r="U312" s="20"/>
    </row>
    <row r="313">
      <c r="A313" s="20"/>
      <c r="B313" s="20"/>
      <c r="C313" s="20"/>
      <c r="D313" s="20"/>
      <c r="E313" s="20"/>
      <c r="F313" s="20"/>
      <c r="G313" s="20"/>
      <c r="H313" s="20"/>
      <c r="I313" s="20"/>
      <c r="J313" s="20"/>
      <c r="K313" s="20"/>
      <c r="L313" s="20"/>
      <c r="M313" s="20"/>
      <c r="N313" s="20"/>
      <c r="O313" s="20"/>
      <c r="P313" s="20"/>
      <c r="Q313" s="20"/>
      <c r="R313" s="20"/>
      <c r="S313" s="20"/>
      <c r="T313" s="20"/>
      <c r="U313" s="20"/>
    </row>
    <row r="314">
      <c r="A314" s="20"/>
      <c r="B314" s="20"/>
      <c r="C314" s="20"/>
      <c r="D314" s="20"/>
      <c r="E314" s="20"/>
      <c r="F314" s="20"/>
      <c r="G314" s="20"/>
      <c r="H314" s="20"/>
      <c r="I314" s="20"/>
      <c r="J314" s="20"/>
      <c r="K314" s="20"/>
      <c r="L314" s="20"/>
      <c r="M314" s="20"/>
      <c r="N314" s="20"/>
      <c r="O314" s="20"/>
      <c r="P314" s="20"/>
      <c r="Q314" s="20"/>
      <c r="R314" s="20"/>
      <c r="S314" s="20"/>
      <c r="T314" s="20"/>
      <c r="U314" s="20"/>
    </row>
    <row r="315">
      <c r="A315" s="20"/>
      <c r="B315" s="20"/>
      <c r="C315" s="20"/>
      <c r="D315" s="20"/>
      <c r="E315" s="20"/>
      <c r="F315" s="20"/>
      <c r="G315" s="20"/>
      <c r="H315" s="20"/>
      <c r="I315" s="20"/>
      <c r="J315" s="20"/>
      <c r="K315" s="20"/>
      <c r="L315" s="20"/>
      <c r="M315" s="20"/>
      <c r="N315" s="20"/>
      <c r="O315" s="20"/>
      <c r="P315" s="20"/>
      <c r="Q315" s="20"/>
      <c r="R315" s="20"/>
      <c r="S315" s="20"/>
      <c r="T315" s="20"/>
      <c r="U315" s="20"/>
    </row>
    <row r="316">
      <c r="A316" s="20"/>
      <c r="B316" s="20"/>
      <c r="C316" s="20"/>
      <c r="D316" s="20"/>
      <c r="E316" s="20"/>
      <c r="F316" s="20"/>
      <c r="G316" s="20"/>
      <c r="H316" s="20"/>
      <c r="I316" s="20"/>
      <c r="J316" s="20"/>
      <c r="K316" s="20"/>
      <c r="L316" s="20"/>
      <c r="M316" s="20"/>
      <c r="N316" s="20"/>
      <c r="O316" s="20"/>
      <c r="P316" s="20"/>
      <c r="Q316" s="20"/>
      <c r="R316" s="20"/>
      <c r="S316" s="20"/>
      <c r="T316" s="20"/>
      <c r="U316" s="20"/>
    </row>
    <row r="317">
      <c r="A317" s="20"/>
      <c r="B317" s="20"/>
      <c r="C317" s="20"/>
      <c r="D317" s="20"/>
      <c r="E317" s="20"/>
      <c r="F317" s="20"/>
      <c r="G317" s="20"/>
      <c r="H317" s="20"/>
      <c r="I317" s="20"/>
      <c r="J317" s="20"/>
      <c r="K317" s="20"/>
      <c r="L317" s="20"/>
      <c r="M317" s="20"/>
      <c r="N317" s="20"/>
      <c r="O317" s="20"/>
      <c r="P317" s="20"/>
      <c r="Q317" s="20"/>
      <c r="R317" s="20"/>
      <c r="S317" s="20"/>
      <c r="T317" s="20"/>
      <c r="U317" s="20"/>
    </row>
    <row r="318">
      <c r="A318" s="20"/>
      <c r="B318" s="20"/>
      <c r="C318" s="20"/>
      <c r="D318" s="20"/>
      <c r="E318" s="20"/>
      <c r="F318" s="20"/>
      <c r="G318" s="20"/>
      <c r="H318" s="20"/>
      <c r="I318" s="20"/>
      <c r="J318" s="20"/>
      <c r="K318" s="20"/>
      <c r="L318" s="20"/>
      <c r="M318" s="20"/>
      <c r="N318" s="20"/>
      <c r="O318" s="20"/>
      <c r="P318" s="20"/>
      <c r="Q318" s="20"/>
      <c r="R318" s="20"/>
      <c r="S318" s="20"/>
      <c r="T318" s="20"/>
      <c r="U318" s="20"/>
    </row>
    <row r="319">
      <c r="A319" s="20"/>
      <c r="B319" s="20"/>
      <c r="C319" s="20"/>
      <c r="D319" s="20"/>
      <c r="E319" s="20"/>
      <c r="F319" s="20"/>
      <c r="G319" s="20"/>
      <c r="H319" s="20"/>
      <c r="I319" s="20"/>
      <c r="J319" s="20"/>
      <c r="K319" s="20"/>
      <c r="L319" s="20"/>
      <c r="M319" s="20"/>
      <c r="N319" s="20"/>
      <c r="O319" s="20"/>
      <c r="P319" s="20"/>
      <c r="Q319" s="20"/>
      <c r="R319" s="20"/>
      <c r="S319" s="20"/>
      <c r="T319" s="20"/>
      <c r="U319" s="20"/>
    </row>
    <row r="320">
      <c r="A320" s="20"/>
      <c r="B320" s="20"/>
      <c r="C320" s="20"/>
      <c r="D320" s="20"/>
      <c r="E320" s="20"/>
      <c r="F320" s="20"/>
      <c r="G320" s="20"/>
      <c r="H320" s="20"/>
      <c r="I320" s="20"/>
      <c r="J320" s="20"/>
      <c r="K320" s="20"/>
      <c r="L320" s="20"/>
      <c r="M320" s="20"/>
      <c r="N320" s="20"/>
      <c r="O320" s="20"/>
      <c r="P320" s="20"/>
      <c r="Q320" s="20"/>
      <c r="R320" s="20"/>
      <c r="S320" s="20"/>
      <c r="T320" s="20"/>
      <c r="U320" s="20"/>
    </row>
    <row r="321">
      <c r="A321" s="20"/>
      <c r="B321" s="20"/>
      <c r="C321" s="20"/>
      <c r="D321" s="20"/>
      <c r="E321" s="20"/>
      <c r="F321" s="20"/>
      <c r="G321" s="20"/>
      <c r="H321" s="20"/>
      <c r="I321" s="20"/>
      <c r="J321" s="20"/>
      <c r="K321" s="20"/>
      <c r="L321" s="20"/>
      <c r="M321" s="20"/>
      <c r="N321" s="20"/>
      <c r="O321" s="20"/>
      <c r="P321" s="20"/>
      <c r="Q321" s="20"/>
      <c r="R321" s="20"/>
      <c r="S321" s="20"/>
      <c r="T321" s="20"/>
      <c r="U321" s="20"/>
    </row>
    <row r="322">
      <c r="A322" s="20"/>
      <c r="B322" s="20"/>
      <c r="C322" s="20"/>
      <c r="D322" s="20"/>
      <c r="E322" s="20"/>
      <c r="F322" s="20"/>
      <c r="G322" s="20"/>
      <c r="H322" s="20"/>
      <c r="I322" s="20"/>
      <c r="J322" s="20"/>
      <c r="K322" s="20"/>
      <c r="L322" s="20"/>
      <c r="M322" s="20"/>
      <c r="N322" s="20"/>
      <c r="O322" s="20"/>
      <c r="P322" s="20"/>
      <c r="Q322" s="20"/>
      <c r="R322" s="20"/>
      <c r="S322" s="20"/>
      <c r="T322" s="20"/>
      <c r="U322" s="20"/>
    </row>
    <row r="323">
      <c r="A323" s="20"/>
      <c r="B323" s="20"/>
      <c r="C323" s="20"/>
      <c r="D323" s="20"/>
      <c r="E323" s="20"/>
      <c r="F323" s="20"/>
      <c r="G323" s="20"/>
      <c r="H323" s="20"/>
      <c r="I323" s="20"/>
      <c r="J323" s="20"/>
      <c r="K323" s="20"/>
      <c r="L323" s="20"/>
      <c r="M323" s="20"/>
      <c r="N323" s="20"/>
      <c r="O323" s="20"/>
      <c r="P323" s="20"/>
      <c r="Q323" s="20"/>
      <c r="R323" s="20"/>
      <c r="S323" s="20"/>
      <c r="T323" s="20"/>
      <c r="U323" s="20"/>
    </row>
    <row r="324">
      <c r="A324" s="20"/>
      <c r="B324" s="20"/>
      <c r="C324" s="20"/>
      <c r="D324" s="20"/>
      <c r="E324" s="20"/>
      <c r="F324" s="20"/>
      <c r="G324" s="20"/>
      <c r="H324" s="20"/>
      <c r="I324" s="20"/>
      <c r="J324" s="20"/>
      <c r="K324" s="20"/>
      <c r="L324" s="20"/>
      <c r="M324" s="20"/>
      <c r="N324" s="20"/>
      <c r="O324" s="20"/>
      <c r="P324" s="20"/>
      <c r="Q324" s="20"/>
      <c r="R324" s="20"/>
      <c r="S324" s="20"/>
      <c r="T324" s="20"/>
      <c r="U324" s="20"/>
    </row>
    <row r="325">
      <c r="A325" s="20"/>
      <c r="B325" s="20"/>
      <c r="C325" s="20"/>
      <c r="D325" s="20"/>
      <c r="E325" s="20"/>
      <c r="F325" s="20"/>
      <c r="G325" s="20"/>
      <c r="H325" s="20"/>
      <c r="I325" s="20"/>
      <c r="J325" s="20"/>
      <c r="K325" s="20"/>
      <c r="L325" s="20"/>
      <c r="M325" s="20"/>
      <c r="N325" s="20"/>
      <c r="O325" s="20"/>
      <c r="P325" s="20"/>
      <c r="Q325" s="20"/>
      <c r="R325" s="20"/>
      <c r="S325" s="20"/>
      <c r="T325" s="20"/>
      <c r="U325" s="20"/>
    </row>
    <row r="326">
      <c r="A326" s="20"/>
      <c r="B326" s="20"/>
      <c r="C326" s="20"/>
      <c r="D326" s="20"/>
      <c r="E326" s="20"/>
      <c r="F326" s="20"/>
      <c r="G326" s="20"/>
      <c r="H326" s="20"/>
      <c r="I326" s="20"/>
      <c r="J326" s="20"/>
      <c r="K326" s="20"/>
      <c r="L326" s="20"/>
      <c r="M326" s="20"/>
      <c r="N326" s="20"/>
      <c r="O326" s="20"/>
      <c r="P326" s="20"/>
      <c r="Q326" s="20"/>
      <c r="R326" s="20"/>
      <c r="S326" s="20"/>
      <c r="T326" s="20"/>
      <c r="U326" s="20"/>
    </row>
    <row r="327">
      <c r="A327" s="20"/>
      <c r="B327" s="20"/>
      <c r="C327" s="20"/>
      <c r="D327" s="20"/>
      <c r="E327" s="20"/>
      <c r="F327" s="20"/>
      <c r="G327" s="20"/>
      <c r="H327" s="20"/>
      <c r="I327" s="20"/>
      <c r="J327" s="20"/>
      <c r="K327" s="20"/>
      <c r="L327" s="20"/>
      <c r="M327" s="20"/>
      <c r="N327" s="20"/>
      <c r="O327" s="20"/>
      <c r="P327" s="20"/>
      <c r="Q327" s="20"/>
      <c r="R327" s="20"/>
      <c r="S327" s="20"/>
      <c r="T327" s="20"/>
      <c r="U327" s="20"/>
    </row>
    <row r="328">
      <c r="A328" s="20"/>
      <c r="B328" s="20"/>
      <c r="C328" s="20"/>
      <c r="D328" s="20"/>
      <c r="E328" s="20"/>
      <c r="F328" s="20"/>
      <c r="G328" s="20"/>
      <c r="H328" s="20"/>
      <c r="I328" s="20"/>
      <c r="J328" s="20"/>
      <c r="K328" s="20"/>
      <c r="L328" s="20"/>
      <c r="M328" s="20"/>
      <c r="N328" s="20"/>
      <c r="O328" s="20"/>
      <c r="P328" s="20"/>
      <c r="Q328" s="20"/>
      <c r="R328" s="20"/>
      <c r="S328" s="20"/>
      <c r="T328" s="20"/>
      <c r="U328" s="20"/>
    </row>
    <row r="329">
      <c r="A329" s="20"/>
      <c r="B329" s="20"/>
      <c r="C329" s="20"/>
      <c r="D329" s="20"/>
      <c r="E329" s="20"/>
      <c r="F329" s="20"/>
      <c r="G329" s="20"/>
      <c r="H329" s="20"/>
      <c r="I329" s="20"/>
      <c r="J329" s="20"/>
      <c r="K329" s="20"/>
      <c r="L329" s="20"/>
      <c r="M329" s="20"/>
      <c r="N329" s="20"/>
      <c r="O329" s="20"/>
      <c r="P329" s="20"/>
      <c r="Q329" s="20"/>
      <c r="R329" s="20"/>
      <c r="S329" s="20"/>
      <c r="T329" s="20"/>
      <c r="U329" s="20"/>
    </row>
    <row r="330">
      <c r="A330" s="20"/>
      <c r="B330" s="20"/>
      <c r="C330" s="20"/>
      <c r="D330" s="20"/>
      <c r="E330" s="20"/>
      <c r="F330" s="20"/>
      <c r="G330" s="20"/>
      <c r="H330" s="20"/>
      <c r="I330" s="20"/>
      <c r="J330" s="20"/>
      <c r="K330" s="20"/>
      <c r="L330" s="20"/>
      <c r="M330" s="20"/>
      <c r="N330" s="20"/>
      <c r="O330" s="20"/>
      <c r="P330" s="20"/>
      <c r="Q330" s="20"/>
      <c r="R330" s="20"/>
      <c r="S330" s="20"/>
      <c r="T330" s="20"/>
      <c r="U330" s="20"/>
    </row>
    <row r="331">
      <c r="A331" s="20"/>
      <c r="B331" s="20"/>
      <c r="C331" s="20"/>
      <c r="D331" s="20"/>
      <c r="E331" s="20"/>
      <c r="F331" s="20"/>
      <c r="G331" s="20"/>
      <c r="H331" s="20"/>
      <c r="I331" s="20"/>
      <c r="J331" s="20"/>
      <c r="K331" s="20"/>
      <c r="L331" s="20"/>
      <c r="M331" s="20"/>
      <c r="N331" s="20"/>
      <c r="O331" s="20"/>
      <c r="P331" s="20"/>
      <c r="Q331" s="20"/>
      <c r="R331" s="20"/>
      <c r="S331" s="20"/>
      <c r="T331" s="20"/>
      <c r="U331" s="20"/>
    </row>
    <row r="332">
      <c r="A332" s="20"/>
      <c r="B332" s="20"/>
      <c r="C332" s="20"/>
      <c r="D332" s="20"/>
      <c r="E332" s="20"/>
      <c r="F332" s="20"/>
      <c r="G332" s="20"/>
      <c r="H332" s="20"/>
      <c r="I332" s="20"/>
      <c r="J332" s="20"/>
      <c r="K332" s="20"/>
      <c r="L332" s="20"/>
      <c r="M332" s="20"/>
      <c r="N332" s="20"/>
      <c r="O332" s="20"/>
      <c r="P332" s="20"/>
      <c r="Q332" s="20"/>
      <c r="R332" s="20"/>
      <c r="S332" s="20"/>
      <c r="T332" s="20"/>
      <c r="U332" s="20"/>
    </row>
    <row r="333">
      <c r="A333" s="20"/>
      <c r="B333" s="20"/>
      <c r="C333" s="20"/>
      <c r="D333" s="20"/>
      <c r="E333" s="20"/>
      <c r="F333" s="20"/>
      <c r="G333" s="20"/>
      <c r="H333" s="20"/>
      <c r="I333" s="20"/>
      <c r="J333" s="20"/>
      <c r="K333" s="20"/>
      <c r="L333" s="20"/>
      <c r="M333" s="20"/>
      <c r="N333" s="20"/>
      <c r="O333" s="20"/>
      <c r="P333" s="20"/>
      <c r="Q333" s="20"/>
      <c r="R333" s="20"/>
      <c r="S333" s="20"/>
      <c r="T333" s="20"/>
      <c r="U333" s="20"/>
    </row>
    <row r="334">
      <c r="A334" s="20"/>
      <c r="B334" s="20"/>
      <c r="C334" s="20"/>
      <c r="D334" s="20"/>
      <c r="E334" s="20"/>
      <c r="F334" s="20"/>
      <c r="G334" s="20"/>
      <c r="H334" s="20"/>
      <c r="I334" s="20"/>
      <c r="J334" s="20"/>
      <c r="K334" s="20"/>
      <c r="L334" s="20"/>
      <c r="M334" s="20"/>
      <c r="N334" s="20"/>
      <c r="O334" s="20"/>
      <c r="P334" s="20"/>
      <c r="Q334" s="20"/>
      <c r="R334" s="20"/>
      <c r="S334" s="20"/>
      <c r="T334" s="20"/>
      <c r="U334" s="20"/>
    </row>
    <row r="335">
      <c r="A335" s="20"/>
      <c r="B335" s="20"/>
      <c r="C335" s="20"/>
      <c r="D335" s="20"/>
      <c r="E335" s="20"/>
      <c r="F335" s="20"/>
      <c r="G335" s="20"/>
      <c r="H335" s="20"/>
      <c r="I335" s="20"/>
      <c r="J335" s="20"/>
      <c r="K335" s="20"/>
      <c r="L335" s="20"/>
      <c r="M335" s="20"/>
      <c r="N335" s="20"/>
      <c r="O335" s="20"/>
      <c r="P335" s="20"/>
      <c r="Q335" s="20"/>
      <c r="R335" s="20"/>
      <c r="S335" s="20"/>
      <c r="T335" s="20"/>
      <c r="U335" s="20"/>
    </row>
    <row r="336">
      <c r="A336" s="20"/>
      <c r="B336" s="20"/>
      <c r="C336" s="20"/>
      <c r="D336" s="20"/>
      <c r="E336" s="20"/>
      <c r="F336" s="20"/>
      <c r="G336" s="20"/>
      <c r="H336" s="20"/>
      <c r="I336" s="20"/>
      <c r="J336" s="20"/>
      <c r="K336" s="20"/>
      <c r="L336" s="20"/>
      <c r="M336" s="20"/>
      <c r="N336" s="20"/>
      <c r="O336" s="20"/>
      <c r="P336" s="20"/>
      <c r="Q336" s="20"/>
      <c r="R336" s="20"/>
      <c r="S336" s="20"/>
      <c r="T336" s="20"/>
      <c r="U336" s="20"/>
    </row>
    <row r="337">
      <c r="A337" s="20"/>
      <c r="B337" s="20"/>
      <c r="C337" s="20"/>
      <c r="D337" s="20"/>
      <c r="E337" s="20"/>
      <c r="F337" s="20"/>
      <c r="G337" s="20"/>
      <c r="H337" s="20"/>
      <c r="I337" s="20"/>
      <c r="J337" s="20"/>
      <c r="K337" s="20"/>
      <c r="L337" s="20"/>
      <c r="M337" s="20"/>
      <c r="N337" s="20"/>
      <c r="O337" s="20"/>
      <c r="P337" s="20"/>
      <c r="Q337" s="20"/>
      <c r="R337" s="20"/>
      <c r="S337" s="20"/>
      <c r="T337" s="20"/>
      <c r="U337" s="20"/>
    </row>
    <row r="338">
      <c r="A338" s="20"/>
      <c r="B338" s="20"/>
      <c r="C338" s="20"/>
      <c r="D338" s="20"/>
      <c r="E338" s="20"/>
      <c r="F338" s="20"/>
      <c r="G338" s="20"/>
      <c r="H338" s="20"/>
      <c r="I338" s="20"/>
      <c r="J338" s="20"/>
      <c r="K338" s="20"/>
      <c r="L338" s="20"/>
      <c r="M338" s="20"/>
      <c r="N338" s="20"/>
      <c r="O338" s="20"/>
      <c r="P338" s="20"/>
      <c r="Q338" s="20"/>
      <c r="R338" s="20"/>
      <c r="S338" s="20"/>
      <c r="T338" s="20"/>
      <c r="U338" s="20"/>
    </row>
    <row r="339">
      <c r="A339" s="20"/>
      <c r="B339" s="20"/>
      <c r="C339" s="20"/>
      <c r="D339" s="20"/>
      <c r="E339" s="20"/>
      <c r="F339" s="20"/>
      <c r="G339" s="20"/>
      <c r="H339" s="20"/>
      <c r="I339" s="20"/>
      <c r="J339" s="20"/>
      <c r="K339" s="20"/>
      <c r="L339" s="20"/>
      <c r="M339" s="20"/>
      <c r="N339" s="20"/>
      <c r="O339" s="20"/>
      <c r="P339" s="20"/>
      <c r="Q339" s="20"/>
      <c r="R339" s="20"/>
      <c r="S339" s="20"/>
      <c r="T339" s="20"/>
      <c r="U339" s="20"/>
    </row>
    <row r="340">
      <c r="A340" s="20"/>
      <c r="B340" s="20"/>
      <c r="C340" s="20"/>
      <c r="D340" s="20"/>
      <c r="E340" s="20"/>
      <c r="F340" s="20"/>
      <c r="G340" s="20"/>
      <c r="H340" s="20"/>
      <c r="I340" s="20"/>
      <c r="J340" s="20"/>
      <c r="K340" s="20"/>
      <c r="L340" s="20"/>
      <c r="M340" s="20"/>
      <c r="N340" s="20"/>
      <c r="O340" s="20"/>
      <c r="P340" s="20"/>
      <c r="Q340" s="20"/>
      <c r="R340" s="20"/>
      <c r="S340" s="20"/>
      <c r="T340" s="20"/>
      <c r="U340" s="20"/>
    </row>
    <row r="341">
      <c r="A341" s="20"/>
      <c r="B341" s="20"/>
      <c r="C341" s="20"/>
      <c r="D341" s="20"/>
      <c r="E341" s="20"/>
      <c r="F341" s="20"/>
      <c r="G341" s="20"/>
      <c r="H341" s="20"/>
      <c r="I341" s="20"/>
      <c r="J341" s="20"/>
      <c r="K341" s="20"/>
      <c r="L341" s="20"/>
      <c r="M341" s="20"/>
      <c r="N341" s="20"/>
      <c r="O341" s="20"/>
      <c r="P341" s="20"/>
      <c r="Q341" s="20"/>
      <c r="R341" s="20"/>
      <c r="S341" s="20"/>
      <c r="T341" s="20"/>
      <c r="U341" s="20"/>
    </row>
    <row r="342">
      <c r="A342" s="20"/>
      <c r="B342" s="20"/>
      <c r="C342" s="20"/>
      <c r="D342" s="20"/>
      <c r="E342" s="20"/>
      <c r="F342" s="20"/>
      <c r="G342" s="20"/>
      <c r="H342" s="20"/>
      <c r="I342" s="20"/>
      <c r="J342" s="20"/>
      <c r="K342" s="20"/>
      <c r="L342" s="20"/>
      <c r="M342" s="20"/>
      <c r="N342" s="20"/>
      <c r="O342" s="20"/>
      <c r="P342" s="20"/>
      <c r="Q342" s="20"/>
      <c r="R342" s="20"/>
      <c r="S342" s="20"/>
      <c r="T342" s="20"/>
      <c r="U342" s="20"/>
    </row>
    <row r="343">
      <c r="A343" s="20"/>
      <c r="B343" s="20"/>
      <c r="C343" s="20"/>
      <c r="D343" s="20"/>
      <c r="E343" s="20"/>
      <c r="F343" s="20"/>
      <c r="G343" s="20"/>
      <c r="H343" s="20"/>
      <c r="I343" s="20"/>
      <c r="J343" s="20"/>
      <c r="K343" s="20"/>
      <c r="L343" s="20"/>
      <c r="M343" s="20"/>
      <c r="N343" s="20"/>
      <c r="O343" s="20"/>
      <c r="P343" s="20"/>
      <c r="Q343" s="20"/>
      <c r="R343" s="20"/>
      <c r="S343" s="20"/>
      <c r="T343" s="20"/>
      <c r="U343" s="20"/>
    </row>
    <row r="344">
      <c r="A344" s="20"/>
      <c r="B344" s="20"/>
      <c r="C344" s="20"/>
      <c r="D344" s="20"/>
      <c r="E344" s="20"/>
      <c r="F344" s="20"/>
      <c r="G344" s="20"/>
      <c r="H344" s="20"/>
      <c r="I344" s="20"/>
      <c r="J344" s="20"/>
      <c r="K344" s="20"/>
      <c r="L344" s="20"/>
      <c r="M344" s="20"/>
      <c r="N344" s="20"/>
      <c r="O344" s="20"/>
      <c r="P344" s="20"/>
      <c r="Q344" s="20"/>
      <c r="R344" s="20"/>
      <c r="S344" s="20"/>
      <c r="T344" s="20"/>
      <c r="U344" s="20"/>
    </row>
    <row r="345">
      <c r="A345" s="20"/>
      <c r="B345" s="20"/>
      <c r="C345" s="20"/>
      <c r="D345" s="20"/>
      <c r="E345" s="20"/>
      <c r="F345" s="20"/>
      <c r="G345" s="20"/>
      <c r="H345" s="20"/>
      <c r="I345" s="20"/>
      <c r="J345" s="20"/>
      <c r="K345" s="20"/>
      <c r="L345" s="20"/>
      <c r="M345" s="20"/>
      <c r="N345" s="20"/>
      <c r="O345" s="20"/>
      <c r="P345" s="20"/>
      <c r="Q345" s="20"/>
      <c r="R345" s="20"/>
      <c r="S345" s="20"/>
      <c r="T345" s="20"/>
      <c r="U345" s="20"/>
    </row>
    <row r="346">
      <c r="A346" s="20"/>
      <c r="B346" s="20"/>
      <c r="C346" s="20"/>
      <c r="D346" s="20"/>
      <c r="E346" s="20"/>
      <c r="F346" s="20"/>
      <c r="G346" s="20"/>
      <c r="H346" s="20"/>
      <c r="I346" s="20"/>
      <c r="J346" s="20"/>
      <c r="K346" s="20"/>
      <c r="L346" s="20"/>
      <c r="M346" s="20"/>
      <c r="N346" s="20"/>
      <c r="O346" s="20"/>
      <c r="P346" s="20"/>
      <c r="Q346" s="20"/>
      <c r="R346" s="20"/>
      <c r="S346" s="20"/>
      <c r="T346" s="20"/>
      <c r="U346" s="20"/>
    </row>
    <row r="347">
      <c r="A347" s="20"/>
      <c r="B347" s="20"/>
      <c r="C347" s="20"/>
      <c r="D347" s="20"/>
      <c r="E347" s="20"/>
      <c r="F347" s="20"/>
      <c r="G347" s="20"/>
      <c r="H347" s="20"/>
      <c r="I347" s="20"/>
      <c r="J347" s="20"/>
      <c r="K347" s="20"/>
      <c r="L347" s="20"/>
      <c r="M347" s="20"/>
      <c r="N347" s="20"/>
      <c r="O347" s="20"/>
      <c r="P347" s="20"/>
      <c r="Q347" s="20"/>
      <c r="R347" s="20"/>
      <c r="S347" s="20"/>
      <c r="T347" s="20"/>
      <c r="U347" s="20"/>
    </row>
    <row r="348">
      <c r="A348" s="20"/>
      <c r="B348" s="20"/>
      <c r="C348" s="20"/>
      <c r="D348" s="20"/>
      <c r="E348" s="20"/>
      <c r="F348" s="20"/>
      <c r="G348" s="20"/>
      <c r="H348" s="20"/>
      <c r="I348" s="20"/>
      <c r="J348" s="20"/>
      <c r="K348" s="20"/>
      <c r="L348" s="20"/>
      <c r="M348" s="20"/>
      <c r="N348" s="20"/>
      <c r="O348" s="20"/>
      <c r="P348" s="20"/>
      <c r="Q348" s="20"/>
      <c r="R348" s="20"/>
      <c r="S348" s="20"/>
      <c r="T348" s="20"/>
      <c r="U348" s="20"/>
    </row>
    <row r="349">
      <c r="A349" s="20"/>
      <c r="B349" s="20"/>
      <c r="C349" s="20"/>
      <c r="D349" s="20"/>
      <c r="E349" s="20"/>
      <c r="F349" s="20"/>
      <c r="G349" s="20"/>
      <c r="H349" s="20"/>
      <c r="I349" s="20"/>
      <c r="J349" s="20"/>
      <c r="K349" s="20"/>
      <c r="L349" s="20"/>
      <c r="M349" s="20"/>
      <c r="N349" s="20"/>
      <c r="O349" s="20"/>
      <c r="P349" s="20"/>
      <c r="Q349" s="20"/>
      <c r="R349" s="20"/>
      <c r="S349" s="20"/>
      <c r="T349" s="20"/>
      <c r="U349" s="20"/>
    </row>
    <row r="350">
      <c r="A350" s="20"/>
      <c r="B350" s="20"/>
      <c r="C350" s="20"/>
      <c r="D350" s="20"/>
      <c r="E350" s="20"/>
      <c r="F350" s="20"/>
      <c r="G350" s="20"/>
      <c r="H350" s="20"/>
      <c r="I350" s="20"/>
      <c r="J350" s="20"/>
      <c r="K350" s="20"/>
      <c r="L350" s="20"/>
      <c r="M350" s="20"/>
      <c r="N350" s="20"/>
      <c r="O350" s="20"/>
      <c r="P350" s="20"/>
      <c r="Q350" s="20"/>
      <c r="R350" s="20"/>
      <c r="S350" s="20"/>
      <c r="T350" s="20"/>
      <c r="U350" s="20"/>
    </row>
    <row r="351">
      <c r="A351" s="20"/>
      <c r="B351" s="20"/>
      <c r="C351" s="20"/>
      <c r="D351" s="20"/>
      <c r="E351" s="20"/>
      <c r="F351" s="20"/>
      <c r="G351" s="20"/>
      <c r="H351" s="20"/>
      <c r="I351" s="20"/>
      <c r="J351" s="20"/>
      <c r="K351" s="20"/>
      <c r="L351" s="20"/>
      <c r="M351" s="20"/>
      <c r="N351" s="20"/>
      <c r="O351" s="20"/>
      <c r="P351" s="20"/>
      <c r="Q351" s="20"/>
      <c r="R351" s="20"/>
      <c r="S351" s="20"/>
      <c r="T351" s="20"/>
      <c r="U351" s="20"/>
    </row>
    <row r="352">
      <c r="A352" s="20"/>
      <c r="B352" s="20"/>
      <c r="C352" s="20"/>
      <c r="D352" s="20"/>
      <c r="E352" s="20"/>
      <c r="F352" s="20"/>
      <c r="G352" s="20"/>
      <c r="H352" s="20"/>
      <c r="I352" s="20"/>
      <c r="J352" s="20"/>
      <c r="K352" s="20"/>
      <c r="L352" s="20"/>
      <c r="M352" s="20"/>
      <c r="N352" s="20"/>
      <c r="O352" s="20"/>
      <c r="P352" s="20"/>
      <c r="Q352" s="20"/>
      <c r="R352" s="20"/>
      <c r="S352" s="20"/>
      <c r="T352" s="20"/>
      <c r="U352" s="20"/>
    </row>
    <row r="353">
      <c r="A353" s="20"/>
      <c r="B353" s="20"/>
      <c r="C353" s="20"/>
      <c r="D353" s="20"/>
      <c r="E353" s="20"/>
      <c r="F353" s="20"/>
      <c r="G353" s="20"/>
      <c r="H353" s="20"/>
      <c r="I353" s="20"/>
      <c r="J353" s="20"/>
      <c r="K353" s="20"/>
      <c r="L353" s="20"/>
      <c r="M353" s="20"/>
      <c r="N353" s="20"/>
      <c r="O353" s="20"/>
      <c r="P353" s="20"/>
      <c r="Q353" s="20"/>
      <c r="R353" s="20"/>
      <c r="S353" s="20"/>
      <c r="T353" s="20"/>
      <c r="U353" s="20"/>
    </row>
    <row r="354">
      <c r="A354" s="20"/>
      <c r="B354" s="20"/>
      <c r="C354" s="20"/>
      <c r="D354" s="20"/>
      <c r="E354" s="20"/>
      <c r="F354" s="20"/>
      <c r="G354" s="20"/>
      <c r="H354" s="20"/>
      <c r="I354" s="20"/>
      <c r="J354" s="20"/>
      <c r="K354" s="20"/>
      <c r="L354" s="20"/>
      <c r="M354" s="20"/>
      <c r="N354" s="20"/>
      <c r="O354" s="20"/>
      <c r="P354" s="20"/>
      <c r="Q354" s="20"/>
      <c r="R354" s="20"/>
      <c r="S354" s="20"/>
      <c r="T354" s="20"/>
      <c r="U354" s="20"/>
    </row>
    <row r="355">
      <c r="A355" s="20"/>
      <c r="B355" s="20"/>
      <c r="C355" s="20"/>
      <c r="D355" s="20"/>
      <c r="E355" s="20"/>
      <c r="F355" s="20"/>
      <c r="G355" s="20"/>
      <c r="H355" s="20"/>
      <c r="I355" s="20"/>
      <c r="J355" s="20"/>
      <c r="K355" s="20"/>
      <c r="L355" s="20"/>
      <c r="M355" s="20"/>
      <c r="N355" s="20"/>
      <c r="O355" s="20"/>
      <c r="P355" s="20"/>
      <c r="Q355" s="20"/>
      <c r="R355" s="20"/>
      <c r="S355" s="20"/>
      <c r="T355" s="20"/>
      <c r="U355" s="20"/>
    </row>
    <row r="356">
      <c r="A356" s="20"/>
      <c r="B356" s="20"/>
      <c r="C356" s="20"/>
      <c r="D356" s="20"/>
      <c r="E356" s="20"/>
      <c r="F356" s="20"/>
      <c r="G356" s="20"/>
      <c r="H356" s="20"/>
      <c r="I356" s="20"/>
      <c r="J356" s="20"/>
      <c r="K356" s="20"/>
      <c r="L356" s="20"/>
      <c r="M356" s="20"/>
      <c r="N356" s="20"/>
      <c r="O356" s="20"/>
      <c r="P356" s="20"/>
      <c r="Q356" s="20"/>
      <c r="R356" s="20"/>
      <c r="S356" s="20"/>
      <c r="T356" s="20"/>
      <c r="U356" s="20"/>
    </row>
    <row r="357">
      <c r="A357" s="20"/>
      <c r="B357" s="20"/>
      <c r="C357" s="20"/>
      <c r="D357" s="20"/>
      <c r="E357" s="20"/>
      <c r="F357" s="20"/>
      <c r="G357" s="20"/>
      <c r="H357" s="20"/>
      <c r="I357" s="20"/>
      <c r="J357" s="20"/>
      <c r="K357" s="20"/>
      <c r="L357" s="20"/>
      <c r="M357" s="20"/>
      <c r="N357" s="20"/>
      <c r="O357" s="20"/>
      <c r="P357" s="20"/>
      <c r="Q357" s="20"/>
      <c r="R357" s="20"/>
      <c r="S357" s="20"/>
      <c r="T357" s="20"/>
      <c r="U357" s="20"/>
    </row>
    <row r="358">
      <c r="A358" s="20"/>
      <c r="B358" s="20"/>
      <c r="C358" s="20"/>
      <c r="D358" s="20"/>
      <c r="E358" s="20"/>
      <c r="F358" s="20"/>
      <c r="G358" s="20"/>
      <c r="H358" s="20"/>
      <c r="I358" s="20"/>
      <c r="J358" s="20"/>
      <c r="K358" s="20"/>
      <c r="L358" s="20"/>
      <c r="M358" s="20"/>
      <c r="N358" s="20"/>
      <c r="O358" s="20"/>
      <c r="P358" s="20"/>
      <c r="Q358" s="20"/>
      <c r="R358" s="20"/>
      <c r="S358" s="20"/>
      <c r="T358" s="20"/>
      <c r="U358" s="20"/>
    </row>
    <row r="359">
      <c r="A359" s="20"/>
      <c r="B359" s="20"/>
      <c r="C359" s="20"/>
      <c r="D359" s="20"/>
      <c r="E359" s="20"/>
      <c r="F359" s="20"/>
      <c r="G359" s="20"/>
      <c r="H359" s="20"/>
      <c r="I359" s="20"/>
      <c r="J359" s="20"/>
      <c r="K359" s="20"/>
      <c r="L359" s="20"/>
      <c r="M359" s="20"/>
      <c r="N359" s="20"/>
      <c r="O359" s="20"/>
      <c r="P359" s="20"/>
      <c r="Q359" s="20"/>
      <c r="R359" s="20"/>
      <c r="S359" s="20"/>
      <c r="T359" s="20"/>
      <c r="U359" s="20"/>
    </row>
    <row r="360">
      <c r="A360" s="20"/>
      <c r="B360" s="20"/>
      <c r="C360" s="20"/>
      <c r="D360" s="20"/>
      <c r="E360" s="20"/>
      <c r="F360" s="20"/>
      <c r="G360" s="20"/>
      <c r="H360" s="20"/>
      <c r="I360" s="20"/>
      <c r="J360" s="20"/>
      <c r="K360" s="20"/>
      <c r="L360" s="20"/>
      <c r="M360" s="20"/>
      <c r="N360" s="20"/>
      <c r="O360" s="20"/>
      <c r="P360" s="20"/>
      <c r="Q360" s="20"/>
      <c r="R360" s="20"/>
      <c r="S360" s="20"/>
      <c r="T360" s="20"/>
      <c r="U360" s="20"/>
    </row>
    <row r="361">
      <c r="A361" s="20"/>
      <c r="B361" s="20"/>
      <c r="C361" s="20"/>
      <c r="D361" s="20"/>
      <c r="E361" s="20"/>
      <c r="F361" s="20"/>
      <c r="G361" s="20"/>
      <c r="H361" s="20"/>
      <c r="I361" s="20"/>
      <c r="J361" s="20"/>
      <c r="K361" s="20"/>
      <c r="L361" s="20"/>
      <c r="M361" s="20"/>
      <c r="N361" s="20"/>
      <c r="O361" s="20"/>
      <c r="P361" s="20"/>
      <c r="Q361" s="20"/>
      <c r="R361" s="20"/>
      <c r="S361" s="20"/>
      <c r="T361" s="20"/>
      <c r="U361" s="20"/>
    </row>
    <row r="362">
      <c r="A362" s="20"/>
      <c r="B362" s="20"/>
      <c r="C362" s="20"/>
      <c r="D362" s="20"/>
      <c r="E362" s="20"/>
      <c r="F362" s="20"/>
      <c r="G362" s="20"/>
      <c r="H362" s="20"/>
      <c r="I362" s="20"/>
      <c r="J362" s="20"/>
      <c r="K362" s="20"/>
      <c r="L362" s="20"/>
      <c r="M362" s="20"/>
      <c r="N362" s="20"/>
      <c r="O362" s="20"/>
      <c r="P362" s="20"/>
      <c r="Q362" s="20"/>
      <c r="R362" s="20"/>
      <c r="S362" s="20"/>
      <c r="T362" s="20"/>
      <c r="U362" s="20"/>
    </row>
    <row r="363">
      <c r="A363" s="20"/>
      <c r="B363" s="20"/>
      <c r="C363" s="20"/>
      <c r="D363" s="20"/>
      <c r="E363" s="20"/>
      <c r="F363" s="20"/>
      <c r="G363" s="20"/>
      <c r="H363" s="20"/>
      <c r="I363" s="20"/>
      <c r="J363" s="20"/>
      <c r="K363" s="20"/>
      <c r="L363" s="20"/>
      <c r="M363" s="20"/>
      <c r="N363" s="20"/>
      <c r="O363" s="20"/>
      <c r="P363" s="20"/>
      <c r="Q363" s="20"/>
      <c r="R363" s="20"/>
      <c r="S363" s="20"/>
      <c r="T363" s="20"/>
      <c r="U363" s="20"/>
    </row>
    <row r="364">
      <c r="A364" s="20"/>
      <c r="B364" s="20"/>
      <c r="C364" s="20"/>
      <c r="D364" s="20"/>
      <c r="E364" s="20"/>
      <c r="F364" s="20"/>
      <c r="G364" s="20"/>
      <c r="H364" s="20"/>
      <c r="I364" s="20"/>
      <c r="J364" s="20"/>
      <c r="K364" s="20"/>
      <c r="L364" s="20"/>
      <c r="M364" s="20"/>
      <c r="N364" s="20"/>
      <c r="O364" s="20"/>
      <c r="P364" s="20"/>
      <c r="Q364" s="20"/>
      <c r="R364" s="20"/>
      <c r="S364" s="20"/>
      <c r="T364" s="20"/>
      <c r="U364" s="20"/>
    </row>
    <row r="365">
      <c r="A365" s="20"/>
      <c r="B365" s="20"/>
      <c r="C365" s="20"/>
      <c r="D365" s="20"/>
      <c r="E365" s="20"/>
      <c r="F365" s="20"/>
      <c r="G365" s="20"/>
      <c r="H365" s="20"/>
      <c r="I365" s="20"/>
      <c r="J365" s="20"/>
      <c r="K365" s="20"/>
      <c r="L365" s="20"/>
      <c r="M365" s="20"/>
      <c r="N365" s="20"/>
      <c r="O365" s="20"/>
      <c r="P365" s="20"/>
      <c r="Q365" s="20"/>
      <c r="R365" s="20"/>
      <c r="S365" s="20"/>
      <c r="T365" s="20"/>
      <c r="U365" s="20"/>
    </row>
    <row r="366">
      <c r="A366" s="20"/>
      <c r="B366" s="20"/>
      <c r="C366" s="20"/>
      <c r="D366" s="20"/>
      <c r="E366" s="20"/>
      <c r="F366" s="20"/>
      <c r="G366" s="20"/>
      <c r="H366" s="20"/>
      <c r="I366" s="20"/>
      <c r="J366" s="20"/>
      <c r="K366" s="20"/>
      <c r="L366" s="20"/>
      <c r="M366" s="20"/>
      <c r="N366" s="20"/>
      <c r="O366" s="20"/>
      <c r="P366" s="20"/>
      <c r="Q366" s="20"/>
      <c r="R366" s="20"/>
      <c r="S366" s="20"/>
      <c r="T366" s="20"/>
      <c r="U366" s="20"/>
    </row>
    <row r="367">
      <c r="A367" s="20"/>
      <c r="B367" s="20"/>
      <c r="C367" s="20"/>
      <c r="D367" s="20"/>
      <c r="E367" s="20"/>
      <c r="F367" s="20"/>
      <c r="G367" s="20"/>
      <c r="H367" s="20"/>
      <c r="I367" s="20"/>
      <c r="J367" s="20"/>
      <c r="K367" s="20"/>
      <c r="L367" s="20"/>
      <c r="M367" s="20"/>
      <c r="N367" s="20"/>
      <c r="O367" s="20"/>
      <c r="P367" s="20"/>
      <c r="Q367" s="20"/>
      <c r="R367" s="20"/>
      <c r="S367" s="20"/>
      <c r="T367" s="20"/>
      <c r="U367" s="20"/>
    </row>
    <row r="368">
      <c r="A368" s="20"/>
      <c r="B368" s="20"/>
      <c r="C368" s="20"/>
      <c r="D368" s="20"/>
      <c r="E368" s="20"/>
      <c r="F368" s="20"/>
      <c r="G368" s="20"/>
      <c r="H368" s="20"/>
      <c r="I368" s="20"/>
      <c r="J368" s="20"/>
      <c r="K368" s="20"/>
      <c r="L368" s="20"/>
      <c r="M368" s="20"/>
      <c r="N368" s="20"/>
      <c r="O368" s="20"/>
      <c r="P368" s="20"/>
      <c r="Q368" s="20"/>
      <c r="R368" s="20"/>
      <c r="S368" s="20"/>
      <c r="T368" s="20"/>
      <c r="U368" s="20"/>
    </row>
    <row r="369">
      <c r="A369" s="20"/>
      <c r="B369" s="20"/>
      <c r="C369" s="20"/>
      <c r="D369" s="20"/>
      <c r="E369" s="20"/>
      <c r="F369" s="20"/>
      <c r="G369" s="20"/>
      <c r="H369" s="20"/>
      <c r="I369" s="20"/>
      <c r="J369" s="20"/>
      <c r="K369" s="20"/>
      <c r="L369" s="20"/>
      <c r="M369" s="20"/>
      <c r="N369" s="20"/>
      <c r="O369" s="20"/>
      <c r="P369" s="20"/>
      <c r="Q369" s="20"/>
      <c r="R369" s="20"/>
      <c r="S369" s="20"/>
      <c r="T369" s="20"/>
      <c r="U369" s="20"/>
    </row>
    <row r="370">
      <c r="A370" s="20"/>
      <c r="B370" s="20"/>
      <c r="C370" s="20"/>
      <c r="D370" s="20"/>
      <c r="E370" s="20"/>
      <c r="F370" s="20"/>
      <c r="G370" s="20"/>
      <c r="H370" s="20"/>
      <c r="I370" s="20"/>
      <c r="J370" s="20"/>
      <c r="K370" s="20"/>
      <c r="L370" s="20"/>
      <c r="M370" s="20"/>
      <c r="N370" s="20"/>
      <c r="O370" s="20"/>
      <c r="P370" s="20"/>
      <c r="Q370" s="20"/>
      <c r="R370" s="20"/>
      <c r="S370" s="20"/>
      <c r="T370" s="20"/>
      <c r="U370" s="20"/>
    </row>
    <row r="371">
      <c r="A371" s="20"/>
      <c r="B371" s="20"/>
      <c r="C371" s="20"/>
      <c r="D371" s="20"/>
      <c r="E371" s="20"/>
      <c r="F371" s="20"/>
      <c r="G371" s="20"/>
      <c r="H371" s="20"/>
      <c r="I371" s="20"/>
      <c r="J371" s="20"/>
      <c r="K371" s="20"/>
      <c r="L371" s="20"/>
      <c r="M371" s="20"/>
      <c r="N371" s="20"/>
      <c r="O371" s="20"/>
      <c r="P371" s="20"/>
      <c r="Q371" s="20"/>
      <c r="R371" s="20"/>
      <c r="S371" s="20"/>
      <c r="T371" s="20"/>
      <c r="U371" s="20"/>
    </row>
    <row r="372">
      <c r="A372" s="20"/>
      <c r="B372" s="20"/>
      <c r="C372" s="20"/>
      <c r="D372" s="20"/>
      <c r="E372" s="20"/>
      <c r="F372" s="20"/>
      <c r="G372" s="20"/>
      <c r="H372" s="20"/>
      <c r="I372" s="20"/>
      <c r="J372" s="20"/>
      <c r="K372" s="20"/>
      <c r="L372" s="20"/>
      <c r="M372" s="20"/>
      <c r="N372" s="20"/>
      <c r="O372" s="20"/>
      <c r="P372" s="20"/>
      <c r="Q372" s="20"/>
      <c r="R372" s="20"/>
      <c r="S372" s="20"/>
      <c r="T372" s="20"/>
      <c r="U372" s="20"/>
    </row>
    <row r="373">
      <c r="A373" s="20"/>
      <c r="B373" s="20"/>
      <c r="C373" s="20"/>
      <c r="D373" s="20"/>
      <c r="E373" s="20"/>
      <c r="F373" s="20"/>
      <c r="G373" s="20"/>
      <c r="H373" s="20"/>
      <c r="I373" s="20"/>
      <c r="J373" s="20"/>
      <c r="K373" s="20"/>
      <c r="L373" s="20"/>
      <c r="M373" s="20"/>
      <c r="N373" s="20"/>
      <c r="O373" s="20"/>
      <c r="P373" s="20"/>
      <c r="Q373" s="20"/>
      <c r="R373" s="20"/>
      <c r="S373" s="20"/>
      <c r="T373" s="20"/>
      <c r="U373" s="20"/>
    </row>
    <row r="374">
      <c r="A374" s="20"/>
      <c r="B374" s="20"/>
      <c r="C374" s="20"/>
      <c r="D374" s="20"/>
      <c r="E374" s="20"/>
      <c r="F374" s="20"/>
      <c r="G374" s="20"/>
      <c r="H374" s="20"/>
      <c r="I374" s="20"/>
      <c r="J374" s="20"/>
      <c r="K374" s="20"/>
      <c r="L374" s="20"/>
      <c r="M374" s="20"/>
      <c r="N374" s="20"/>
      <c r="O374" s="20"/>
      <c r="P374" s="20"/>
      <c r="Q374" s="20"/>
      <c r="R374" s="20"/>
      <c r="S374" s="20"/>
      <c r="T374" s="20"/>
      <c r="U374" s="20"/>
    </row>
    <row r="375">
      <c r="A375" s="20"/>
      <c r="B375" s="20"/>
      <c r="C375" s="20"/>
      <c r="D375" s="20"/>
      <c r="E375" s="20"/>
      <c r="F375" s="20"/>
      <c r="G375" s="20"/>
      <c r="H375" s="20"/>
      <c r="I375" s="20"/>
      <c r="J375" s="20"/>
      <c r="K375" s="20"/>
      <c r="L375" s="20"/>
      <c r="M375" s="20"/>
      <c r="N375" s="20"/>
      <c r="O375" s="20"/>
      <c r="P375" s="20"/>
      <c r="Q375" s="20"/>
      <c r="R375" s="20"/>
      <c r="S375" s="20"/>
      <c r="T375" s="20"/>
      <c r="U375" s="20"/>
    </row>
    <row r="376">
      <c r="A376" s="20"/>
      <c r="B376" s="20"/>
      <c r="C376" s="20"/>
      <c r="D376" s="20"/>
      <c r="E376" s="20"/>
      <c r="F376" s="20"/>
      <c r="G376" s="20"/>
      <c r="H376" s="20"/>
      <c r="I376" s="20"/>
      <c r="J376" s="20"/>
      <c r="K376" s="20"/>
      <c r="L376" s="20"/>
      <c r="M376" s="20"/>
      <c r="N376" s="20"/>
      <c r="O376" s="20"/>
      <c r="P376" s="20"/>
      <c r="Q376" s="20"/>
      <c r="R376" s="20"/>
      <c r="S376" s="20"/>
      <c r="T376" s="20"/>
      <c r="U376" s="20"/>
    </row>
    <row r="377">
      <c r="A377" s="20"/>
      <c r="B377" s="20"/>
      <c r="C377" s="20"/>
      <c r="D377" s="20"/>
      <c r="E377" s="20"/>
      <c r="F377" s="20"/>
      <c r="G377" s="20"/>
      <c r="H377" s="20"/>
      <c r="I377" s="20"/>
      <c r="J377" s="20"/>
      <c r="K377" s="20"/>
      <c r="L377" s="20"/>
      <c r="M377" s="20"/>
      <c r="N377" s="20"/>
      <c r="O377" s="20"/>
      <c r="P377" s="20"/>
      <c r="Q377" s="20"/>
      <c r="R377" s="20"/>
      <c r="S377" s="20"/>
      <c r="T377" s="20"/>
      <c r="U377" s="20"/>
    </row>
    <row r="378">
      <c r="A378" s="20"/>
      <c r="B378" s="20"/>
      <c r="C378" s="20"/>
      <c r="D378" s="20"/>
      <c r="E378" s="20"/>
      <c r="F378" s="20"/>
      <c r="G378" s="20"/>
      <c r="H378" s="20"/>
      <c r="I378" s="20"/>
      <c r="J378" s="20"/>
      <c r="K378" s="20"/>
      <c r="L378" s="20"/>
      <c r="M378" s="20"/>
      <c r="N378" s="20"/>
      <c r="O378" s="20"/>
      <c r="P378" s="20"/>
      <c r="Q378" s="20"/>
      <c r="R378" s="20"/>
      <c r="S378" s="20"/>
      <c r="T378" s="20"/>
      <c r="U378" s="20"/>
    </row>
    <row r="379">
      <c r="A379" s="20"/>
      <c r="B379" s="20"/>
      <c r="C379" s="20"/>
      <c r="D379" s="20"/>
      <c r="E379" s="20"/>
      <c r="F379" s="20"/>
      <c r="G379" s="20"/>
      <c r="H379" s="20"/>
      <c r="I379" s="20"/>
      <c r="J379" s="20"/>
      <c r="K379" s="20"/>
      <c r="L379" s="20"/>
      <c r="M379" s="20"/>
      <c r="N379" s="20"/>
      <c r="O379" s="20"/>
      <c r="P379" s="20"/>
      <c r="Q379" s="20"/>
      <c r="R379" s="20"/>
      <c r="S379" s="20"/>
      <c r="T379" s="20"/>
      <c r="U379" s="20"/>
    </row>
    <row r="380">
      <c r="A380" s="20"/>
      <c r="B380" s="20"/>
      <c r="C380" s="20"/>
      <c r="D380" s="20"/>
      <c r="E380" s="20"/>
      <c r="F380" s="20"/>
      <c r="G380" s="20"/>
      <c r="H380" s="20"/>
      <c r="I380" s="20"/>
      <c r="J380" s="20"/>
      <c r="K380" s="20"/>
      <c r="L380" s="20"/>
      <c r="M380" s="20"/>
      <c r="N380" s="20"/>
      <c r="O380" s="20"/>
      <c r="P380" s="20"/>
      <c r="Q380" s="20"/>
      <c r="R380" s="20"/>
      <c r="S380" s="20"/>
      <c r="T380" s="20"/>
      <c r="U380" s="20"/>
    </row>
    <row r="381">
      <c r="A381" s="20"/>
      <c r="B381" s="20"/>
      <c r="C381" s="20"/>
      <c r="D381" s="20"/>
      <c r="E381" s="20"/>
      <c r="F381" s="20"/>
      <c r="G381" s="20"/>
      <c r="H381" s="20"/>
      <c r="I381" s="20"/>
      <c r="J381" s="20"/>
      <c r="K381" s="20"/>
      <c r="L381" s="20"/>
      <c r="M381" s="20"/>
      <c r="N381" s="20"/>
      <c r="O381" s="20"/>
      <c r="P381" s="20"/>
      <c r="Q381" s="20"/>
      <c r="R381" s="20"/>
      <c r="S381" s="20"/>
      <c r="T381" s="20"/>
      <c r="U381" s="20"/>
    </row>
    <row r="382">
      <c r="A382" s="20"/>
      <c r="B382" s="20"/>
      <c r="C382" s="20"/>
      <c r="D382" s="20"/>
      <c r="E382" s="20"/>
      <c r="F382" s="20"/>
      <c r="G382" s="20"/>
      <c r="H382" s="20"/>
      <c r="I382" s="20"/>
      <c r="J382" s="20"/>
      <c r="K382" s="20"/>
      <c r="L382" s="20"/>
      <c r="M382" s="20"/>
      <c r="N382" s="20"/>
      <c r="O382" s="20"/>
      <c r="P382" s="20"/>
      <c r="Q382" s="20"/>
      <c r="R382" s="20"/>
      <c r="S382" s="20"/>
      <c r="T382" s="20"/>
      <c r="U382" s="20"/>
    </row>
    <row r="383">
      <c r="A383" s="20"/>
      <c r="B383" s="20"/>
      <c r="C383" s="20"/>
      <c r="D383" s="20"/>
      <c r="E383" s="20"/>
      <c r="F383" s="20"/>
      <c r="G383" s="20"/>
      <c r="H383" s="20"/>
      <c r="I383" s="20"/>
      <c r="J383" s="20"/>
      <c r="K383" s="20"/>
      <c r="L383" s="20"/>
      <c r="M383" s="20"/>
      <c r="N383" s="20"/>
      <c r="O383" s="20"/>
      <c r="P383" s="20"/>
      <c r="Q383" s="20"/>
      <c r="R383" s="20"/>
      <c r="S383" s="20"/>
      <c r="T383" s="20"/>
      <c r="U383" s="20"/>
    </row>
    <row r="384">
      <c r="A384" s="20"/>
      <c r="B384" s="20"/>
      <c r="C384" s="20"/>
      <c r="D384" s="20"/>
      <c r="E384" s="20"/>
      <c r="F384" s="20"/>
      <c r="G384" s="20"/>
      <c r="H384" s="20"/>
      <c r="I384" s="20"/>
      <c r="J384" s="20"/>
      <c r="K384" s="20"/>
      <c r="L384" s="20"/>
      <c r="M384" s="20"/>
      <c r="N384" s="20"/>
      <c r="O384" s="20"/>
      <c r="P384" s="20"/>
      <c r="Q384" s="20"/>
      <c r="R384" s="20"/>
      <c r="S384" s="20"/>
      <c r="T384" s="20"/>
      <c r="U384" s="20"/>
    </row>
    <row r="385">
      <c r="A385" s="20"/>
      <c r="B385" s="20"/>
      <c r="C385" s="20"/>
      <c r="D385" s="20"/>
      <c r="E385" s="20"/>
      <c r="F385" s="20"/>
      <c r="G385" s="20"/>
      <c r="H385" s="20"/>
      <c r="I385" s="20"/>
      <c r="J385" s="20"/>
      <c r="K385" s="20"/>
      <c r="L385" s="20"/>
      <c r="M385" s="20"/>
      <c r="N385" s="20"/>
      <c r="O385" s="20"/>
      <c r="P385" s="20"/>
      <c r="Q385" s="20"/>
      <c r="R385" s="20"/>
      <c r="S385" s="20"/>
      <c r="T385" s="20"/>
      <c r="U385" s="20"/>
    </row>
    <row r="386">
      <c r="A386" s="20"/>
      <c r="B386" s="20"/>
      <c r="C386" s="20"/>
      <c r="D386" s="20"/>
      <c r="E386" s="20"/>
      <c r="F386" s="20"/>
      <c r="G386" s="20"/>
      <c r="H386" s="20"/>
      <c r="I386" s="20"/>
      <c r="J386" s="20"/>
      <c r="K386" s="20"/>
      <c r="L386" s="20"/>
      <c r="M386" s="20"/>
      <c r="N386" s="20"/>
      <c r="O386" s="20"/>
      <c r="P386" s="20"/>
      <c r="Q386" s="20"/>
      <c r="R386" s="20"/>
      <c r="S386" s="20"/>
      <c r="T386" s="20"/>
      <c r="U386" s="20"/>
    </row>
    <row r="387">
      <c r="A387" s="20"/>
      <c r="B387" s="20"/>
      <c r="C387" s="20"/>
      <c r="D387" s="20"/>
      <c r="E387" s="20"/>
      <c r="F387" s="20"/>
      <c r="G387" s="20"/>
      <c r="H387" s="20"/>
      <c r="I387" s="20"/>
      <c r="J387" s="20"/>
      <c r="K387" s="20"/>
      <c r="L387" s="20"/>
      <c r="M387" s="20"/>
      <c r="N387" s="20"/>
      <c r="O387" s="20"/>
      <c r="P387" s="20"/>
      <c r="Q387" s="20"/>
      <c r="R387" s="20"/>
      <c r="S387" s="20"/>
      <c r="T387" s="20"/>
      <c r="U387" s="20"/>
    </row>
    <row r="388">
      <c r="A388" s="20"/>
      <c r="B388" s="20"/>
      <c r="C388" s="20"/>
      <c r="D388" s="20"/>
      <c r="E388" s="20"/>
      <c r="F388" s="20"/>
      <c r="G388" s="20"/>
      <c r="H388" s="20"/>
      <c r="I388" s="20"/>
      <c r="J388" s="20"/>
      <c r="K388" s="20"/>
      <c r="L388" s="20"/>
      <c r="M388" s="20"/>
      <c r="N388" s="20"/>
      <c r="O388" s="20"/>
      <c r="P388" s="20"/>
      <c r="Q388" s="20"/>
      <c r="R388" s="20"/>
      <c r="S388" s="20"/>
      <c r="T388" s="20"/>
      <c r="U388" s="20"/>
    </row>
    <row r="389">
      <c r="A389" s="20"/>
      <c r="B389" s="20"/>
      <c r="C389" s="20"/>
      <c r="D389" s="20"/>
      <c r="E389" s="20"/>
      <c r="F389" s="20"/>
      <c r="G389" s="20"/>
      <c r="H389" s="20"/>
      <c r="I389" s="20"/>
      <c r="J389" s="20"/>
      <c r="K389" s="20"/>
      <c r="L389" s="20"/>
      <c r="M389" s="20"/>
      <c r="N389" s="20"/>
      <c r="O389" s="20"/>
      <c r="P389" s="20"/>
      <c r="Q389" s="20"/>
      <c r="R389" s="20"/>
      <c r="S389" s="20"/>
      <c r="T389" s="20"/>
      <c r="U389" s="20"/>
    </row>
    <row r="390">
      <c r="A390" s="20"/>
      <c r="B390" s="20"/>
      <c r="C390" s="20"/>
      <c r="D390" s="20"/>
      <c r="E390" s="20"/>
      <c r="F390" s="20"/>
      <c r="G390" s="20"/>
      <c r="H390" s="20"/>
      <c r="I390" s="20"/>
      <c r="J390" s="20"/>
      <c r="K390" s="20"/>
      <c r="L390" s="20"/>
      <c r="M390" s="20"/>
      <c r="N390" s="20"/>
      <c r="O390" s="20"/>
      <c r="P390" s="20"/>
      <c r="Q390" s="20"/>
      <c r="R390" s="20"/>
      <c r="S390" s="20"/>
      <c r="T390" s="20"/>
      <c r="U390" s="20"/>
    </row>
    <row r="391">
      <c r="A391" s="20"/>
      <c r="B391" s="20"/>
      <c r="C391" s="20"/>
      <c r="D391" s="20"/>
      <c r="E391" s="20"/>
      <c r="F391" s="20"/>
      <c r="G391" s="20"/>
      <c r="H391" s="20"/>
      <c r="I391" s="20"/>
      <c r="J391" s="20"/>
      <c r="K391" s="20"/>
      <c r="L391" s="20"/>
      <c r="M391" s="20"/>
      <c r="N391" s="20"/>
      <c r="O391" s="20"/>
      <c r="P391" s="20"/>
      <c r="Q391" s="20"/>
      <c r="R391" s="20"/>
      <c r="S391" s="20"/>
      <c r="T391" s="20"/>
      <c r="U391" s="20"/>
    </row>
    <row r="392">
      <c r="A392" s="20"/>
      <c r="B392" s="20"/>
      <c r="C392" s="20"/>
      <c r="D392" s="20"/>
      <c r="E392" s="20"/>
      <c r="F392" s="20"/>
      <c r="G392" s="20"/>
      <c r="H392" s="20"/>
      <c r="I392" s="20"/>
      <c r="J392" s="20"/>
      <c r="K392" s="20"/>
      <c r="L392" s="20"/>
      <c r="M392" s="20"/>
      <c r="N392" s="20"/>
      <c r="O392" s="20"/>
      <c r="P392" s="20"/>
      <c r="Q392" s="20"/>
      <c r="R392" s="20"/>
      <c r="S392" s="20"/>
      <c r="T392" s="20"/>
      <c r="U392" s="20"/>
    </row>
    <row r="393">
      <c r="A393" s="20"/>
      <c r="B393" s="20"/>
      <c r="C393" s="20"/>
      <c r="D393" s="20"/>
      <c r="E393" s="20"/>
      <c r="F393" s="20"/>
      <c r="G393" s="20"/>
      <c r="H393" s="20"/>
      <c r="I393" s="20"/>
      <c r="J393" s="20"/>
      <c r="K393" s="20"/>
      <c r="L393" s="20"/>
      <c r="M393" s="20"/>
      <c r="N393" s="20"/>
      <c r="O393" s="20"/>
      <c r="P393" s="20"/>
      <c r="Q393" s="20"/>
      <c r="R393" s="20"/>
      <c r="S393" s="20"/>
      <c r="T393" s="20"/>
      <c r="U393" s="20"/>
    </row>
    <row r="394">
      <c r="A394" s="20"/>
      <c r="B394" s="20"/>
      <c r="C394" s="20"/>
      <c r="D394" s="20"/>
      <c r="E394" s="20"/>
      <c r="F394" s="20"/>
      <c r="G394" s="20"/>
      <c r="H394" s="20"/>
      <c r="I394" s="20"/>
      <c r="J394" s="20"/>
      <c r="K394" s="20"/>
      <c r="L394" s="20"/>
      <c r="M394" s="20"/>
      <c r="N394" s="20"/>
      <c r="O394" s="20"/>
      <c r="P394" s="20"/>
      <c r="Q394" s="20"/>
      <c r="R394" s="20"/>
      <c r="S394" s="20"/>
      <c r="T394" s="20"/>
      <c r="U394" s="20"/>
    </row>
    <row r="395">
      <c r="A395" s="20"/>
      <c r="B395" s="20"/>
      <c r="C395" s="20"/>
      <c r="D395" s="20"/>
      <c r="E395" s="20"/>
      <c r="F395" s="20"/>
      <c r="G395" s="20"/>
      <c r="H395" s="20"/>
      <c r="I395" s="20"/>
      <c r="J395" s="20"/>
      <c r="K395" s="20"/>
      <c r="L395" s="20"/>
      <c r="M395" s="20"/>
      <c r="N395" s="20"/>
      <c r="O395" s="20"/>
      <c r="P395" s="20"/>
      <c r="Q395" s="20"/>
      <c r="R395" s="20"/>
      <c r="S395" s="20"/>
      <c r="T395" s="20"/>
      <c r="U395" s="20"/>
    </row>
    <row r="396">
      <c r="A396" s="20"/>
      <c r="B396" s="20"/>
      <c r="C396" s="20"/>
      <c r="D396" s="20"/>
      <c r="E396" s="20"/>
      <c r="F396" s="20"/>
      <c r="G396" s="20"/>
      <c r="H396" s="20"/>
      <c r="I396" s="20"/>
      <c r="J396" s="20"/>
      <c r="K396" s="20"/>
      <c r="L396" s="20"/>
      <c r="M396" s="20"/>
      <c r="N396" s="20"/>
      <c r="O396" s="20"/>
      <c r="P396" s="20"/>
      <c r="Q396" s="20"/>
      <c r="R396" s="20"/>
      <c r="S396" s="20"/>
      <c r="T396" s="20"/>
      <c r="U396" s="20"/>
    </row>
    <row r="397">
      <c r="A397" s="20"/>
      <c r="B397" s="20"/>
      <c r="C397" s="20"/>
      <c r="D397" s="20"/>
      <c r="E397" s="20"/>
      <c r="F397" s="20"/>
      <c r="G397" s="20"/>
      <c r="H397" s="20"/>
      <c r="I397" s="20"/>
      <c r="J397" s="20"/>
      <c r="K397" s="20"/>
      <c r="L397" s="20"/>
      <c r="M397" s="20"/>
      <c r="N397" s="20"/>
      <c r="O397" s="20"/>
      <c r="P397" s="20"/>
      <c r="Q397" s="20"/>
      <c r="R397" s="20"/>
      <c r="S397" s="20"/>
      <c r="T397" s="20"/>
      <c r="U397" s="20"/>
    </row>
    <row r="398">
      <c r="A398" s="20"/>
      <c r="B398" s="20"/>
      <c r="C398" s="20"/>
      <c r="D398" s="20"/>
      <c r="E398" s="20"/>
      <c r="F398" s="20"/>
      <c r="G398" s="20"/>
      <c r="H398" s="20"/>
      <c r="I398" s="20"/>
      <c r="J398" s="20"/>
      <c r="K398" s="20"/>
      <c r="L398" s="20"/>
      <c r="M398" s="20"/>
      <c r="N398" s="20"/>
      <c r="O398" s="20"/>
      <c r="P398" s="20"/>
      <c r="Q398" s="20"/>
      <c r="R398" s="20"/>
      <c r="S398" s="20"/>
      <c r="T398" s="20"/>
      <c r="U398" s="20"/>
    </row>
    <row r="399">
      <c r="A399" s="20"/>
      <c r="B399" s="20"/>
      <c r="C399" s="20"/>
      <c r="D399" s="20"/>
      <c r="E399" s="20"/>
      <c r="F399" s="20"/>
      <c r="G399" s="20"/>
      <c r="H399" s="20"/>
      <c r="I399" s="20"/>
      <c r="J399" s="20"/>
      <c r="K399" s="20"/>
      <c r="L399" s="20"/>
      <c r="M399" s="20"/>
      <c r="N399" s="20"/>
      <c r="O399" s="20"/>
      <c r="P399" s="20"/>
      <c r="Q399" s="20"/>
      <c r="R399" s="20"/>
      <c r="S399" s="20"/>
      <c r="T399" s="20"/>
      <c r="U399" s="20"/>
    </row>
    <row r="400">
      <c r="A400" s="20"/>
      <c r="B400" s="20"/>
      <c r="C400" s="20"/>
      <c r="D400" s="20"/>
      <c r="E400" s="20"/>
      <c r="F400" s="20"/>
      <c r="G400" s="20"/>
      <c r="H400" s="20"/>
      <c r="I400" s="20"/>
      <c r="J400" s="20"/>
      <c r="K400" s="20"/>
      <c r="L400" s="20"/>
      <c r="M400" s="20"/>
      <c r="N400" s="20"/>
      <c r="O400" s="20"/>
      <c r="P400" s="20"/>
      <c r="Q400" s="20"/>
      <c r="R400" s="20"/>
      <c r="S400" s="20"/>
      <c r="T400" s="20"/>
      <c r="U400" s="20"/>
    </row>
    <row r="401">
      <c r="A401" s="20"/>
      <c r="B401" s="20"/>
      <c r="C401" s="20"/>
      <c r="D401" s="20"/>
      <c r="E401" s="20"/>
      <c r="F401" s="20"/>
      <c r="G401" s="20"/>
      <c r="H401" s="20"/>
      <c r="I401" s="20"/>
      <c r="J401" s="20"/>
      <c r="K401" s="20"/>
      <c r="L401" s="20"/>
      <c r="M401" s="20"/>
      <c r="N401" s="20"/>
      <c r="O401" s="20"/>
      <c r="P401" s="20"/>
      <c r="Q401" s="20"/>
      <c r="R401" s="20"/>
      <c r="S401" s="20"/>
      <c r="T401" s="20"/>
      <c r="U401" s="20"/>
    </row>
    <row r="402">
      <c r="A402" s="20"/>
      <c r="B402" s="20"/>
      <c r="C402" s="20"/>
      <c r="D402" s="20"/>
      <c r="E402" s="20"/>
      <c r="F402" s="20"/>
      <c r="G402" s="20"/>
      <c r="H402" s="20"/>
      <c r="I402" s="20"/>
      <c r="J402" s="20"/>
      <c r="K402" s="20"/>
      <c r="L402" s="20"/>
      <c r="M402" s="20"/>
      <c r="N402" s="20"/>
      <c r="O402" s="20"/>
      <c r="P402" s="20"/>
      <c r="Q402" s="20"/>
      <c r="R402" s="20"/>
      <c r="S402" s="20"/>
      <c r="T402" s="20"/>
      <c r="U402" s="20"/>
    </row>
    <row r="403">
      <c r="A403" s="20"/>
      <c r="B403" s="20"/>
      <c r="C403" s="20"/>
      <c r="D403" s="20"/>
      <c r="E403" s="20"/>
      <c r="F403" s="20"/>
      <c r="G403" s="20"/>
      <c r="H403" s="20"/>
      <c r="I403" s="20"/>
      <c r="J403" s="20"/>
      <c r="K403" s="20"/>
      <c r="L403" s="20"/>
      <c r="M403" s="20"/>
      <c r="N403" s="20"/>
      <c r="O403" s="20"/>
      <c r="P403" s="20"/>
      <c r="Q403" s="20"/>
      <c r="R403" s="20"/>
      <c r="S403" s="20"/>
      <c r="T403" s="20"/>
      <c r="U403" s="20"/>
    </row>
    <row r="404">
      <c r="A404" s="20"/>
      <c r="B404" s="20"/>
      <c r="C404" s="20"/>
      <c r="D404" s="20"/>
      <c r="E404" s="20"/>
      <c r="F404" s="20"/>
      <c r="G404" s="20"/>
      <c r="H404" s="20"/>
      <c r="I404" s="20"/>
      <c r="J404" s="20"/>
      <c r="K404" s="20"/>
      <c r="L404" s="20"/>
      <c r="M404" s="20"/>
      <c r="N404" s="20"/>
      <c r="O404" s="20"/>
      <c r="P404" s="20"/>
      <c r="Q404" s="20"/>
      <c r="R404" s="20"/>
      <c r="S404" s="20"/>
      <c r="T404" s="20"/>
      <c r="U404" s="20"/>
    </row>
    <row r="405">
      <c r="A405" s="20"/>
      <c r="B405" s="20"/>
      <c r="C405" s="20"/>
      <c r="D405" s="20"/>
      <c r="E405" s="20"/>
      <c r="F405" s="20"/>
      <c r="G405" s="20"/>
      <c r="H405" s="20"/>
      <c r="I405" s="20"/>
      <c r="J405" s="20"/>
      <c r="K405" s="20"/>
      <c r="L405" s="20"/>
      <c r="M405" s="20"/>
      <c r="N405" s="20"/>
      <c r="O405" s="20"/>
      <c r="P405" s="20"/>
      <c r="Q405" s="20"/>
      <c r="R405" s="20"/>
      <c r="S405" s="20"/>
      <c r="T405" s="20"/>
      <c r="U405" s="20"/>
    </row>
    <row r="406">
      <c r="A406" s="20"/>
      <c r="B406" s="20"/>
      <c r="C406" s="20"/>
      <c r="D406" s="20"/>
      <c r="E406" s="20"/>
      <c r="F406" s="20"/>
      <c r="G406" s="20"/>
      <c r="H406" s="20"/>
      <c r="I406" s="20"/>
      <c r="J406" s="20"/>
      <c r="K406" s="20"/>
      <c r="L406" s="20"/>
      <c r="M406" s="20"/>
      <c r="N406" s="20"/>
      <c r="O406" s="20"/>
      <c r="P406" s="20"/>
      <c r="Q406" s="20"/>
      <c r="R406" s="20"/>
      <c r="S406" s="20"/>
      <c r="T406" s="20"/>
      <c r="U406" s="20"/>
    </row>
    <row r="407">
      <c r="A407" s="20"/>
      <c r="B407" s="20"/>
      <c r="C407" s="20"/>
      <c r="D407" s="20"/>
      <c r="E407" s="20"/>
      <c r="F407" s="20"/>
      <c r="G407" s="20"/>
      <c r="H407" s="20"/>
      <c r="I407" s="20"/>
      <c r="J407" s="20"/>
      <c r="K407" s="20"/>
      <c r="L407" s="20"/>
      <c r="M407" s="20"/>
      <c r="N407" s="20"/>
      <c r="O407" s="20"/>
      <c r="P407" s="20"/>
      <c r="Q407" s="20"/>
      <c r="R407" s="20"/>
      <c r="S407" s="20"/>
      <c r="T407" s="20"/>
      <c r="U407" s="20"/>
    </row>
    <row r="408">
      <c r="A408" s="20"/>
      <c r="B408" s="20"/>
      <c r="C408" s="20"/>
      <c r="D408" s="20"/>
      <c r="E408" s="20"/>
      <c r="F408" s="20"/>
      <c r="G408" s="20"/>
      <c r="H408" s="20"/>
      <c r="I408" s="20"/>
      <c r="J408" s="20"/>
      <c r="K408" s="20"/>
      <c r="L408" s="20"/>
      <c r="M408" s="20"/>
      <c r="N408" s="20"/>
      <c r="O408" s="20"/>
      <c r="P408" s="20"/>
      <c r="Q408" s="20"/>
      <c r="R408" s="20"/>
      <c r="S408" s="20"/>
      <c r="T408" s="20"/>
      <c r="U408" s="20"/>
    </row>
    <row r="409">
      <c r="A409" s="20"/>
      <c r="B409" s="20"/>
      <c r="C409" s="20"/>
      <c r="D409" s="20"/>
      <c r="E409" s="20"/>
      <c r="F409" s="20"/>
      <c r="G409" s="20"/>
      <c r="H409" s="20"/>
      <c r="I409" s="20"/>
      <c r="J409" s="20"/>
      <c r="K409" s="20"/>
      <c r="L409" s="20"/>
      <c r="M409" s="20"/>
      <c r="N409" s="20"/>
      <c r="O409" s="20"/>
      <c r="P409" s="20"/>
      <c r="Q409" s="20"/>
      <c r="R409" s="20"/>
      <c r="S409" s="20"/>
      <c r="T409" s="20"/>
      <c r="U409" s="20"/>
    </row>
    <row r="410">
      <c r="A410" s="20"/>
      <c r="B410" s="20"/>
      <c r="C410" s="20"/>
      <c r="D410" s="20"/>
      <c r="E410" s="20"/>
      <c r="F410" s="20"/>
      <c r="G410" s="20"/>
      <c r="H410" s="20"/>
      <c r="I410" s="20"/>
      <c r="J410" s="20"/>
      <c r="K410" s="20"/>
      <c r="L410" s="20"/>
      <c r="M410" s="20"/>
      <c r="N410" s="20"/>
      <c r="O410" s="20"/>
      <c r="P410" s="20"/>
      <c r="Q410" s="20"/>
      <c r="R410" s="20"/>
      <c r="S410" s="20"/>
      <c r="T410" s="20"/>
      <c r="U410" s="20"/>
    </row>
    <row r="411">
      <c r="A411" s="20"/>
      <c r="B411" s="20"/>
      <c r="C411" s="20"/>
      <c r="D411" s="20"/>
      <c r="E411" s="20"/>
      <c r="F411" s="20"/>
      <c r="G411" s="20"/>
      <c r="H411" s="20"/>
      <c r="I411" s="20"/>
      <c r="J411" s="20"/>
      <c r="K411" s="20"/>
      <c r="L411" s="20"/>
      <c r="M411" s="20"/>
      <c r="N411" s="20"/>
      <c r="O411" s="20"/>
      <c r="P411" s="20"/>
      <c r="Q411" s="20"/>
      <c r="R411" s="20"/>
      <c r="S411" s="20"/>
      <c r="T411" s="20"/>
      <c r="U411" s="20"/>
    </row>
    <row r="412">
      <c r="A412" s="20"/>
      <c r="B412" s="20"/>
      <c r="C412" s="20"/>
      <c r="D412" s="20"/>
      <c r="E412" s="20"/>
      <c r="F412" s="20"/>
      <c r="G412" s="20"/>
      <c r="H412" s="20"/>
      <c r="I412" s="20"/>
      <c r="J412" s="20"/>
      <c r="K412" s="20"/>
      <c r="L412" s="20"/>
      <c r="M412" s="20"/>
      <c r="N412" s="20"/>
      <c r="O412" s="20"/>
      <c r="P412" s="20"/>
      <c r="Q412" s="20"/>
      <c r="R412" s="20"/>
      <c r="S412" s="20"/>
      <c r="T412" s="20"/>
      <c r="U412" s="20"/>
    </row>
    <row r="413">
      <c r="A413" s="20"/>
      <c r="B413" s="20"/>
      <c r="C413" s="20"/>
      <c r="D413" s="20"/>
      <c r="E413" s="20"/>
      <c r="F413" s="20"/>
      <c r="G413" s="20"/>
      <c r="H413" s="20"/>
      <c r="I413" s="20"/>
      <c r="J413" s="20"/>
      <c r="K413" s="20"/>
      <c r="L413" s="20"/>
      <c r="M413" s="20"/>
      <c r="N413" s="20"/>
      <c r="O413" s="20"/>
      <c r="P413" s="20"/>
      <c r="Q413" s="20"/>
      <c r="R413" s="20"/>
      <c r="S413" s="20"/>
      <c r="T413" s="20"/>
      <c r="U413" s="20"/>
    </row>
    <row r="414">
      <c r="A414" s="20"/>
      <c r="B414" s="20"/>
      <c r="C414" s="20"/>
      <c r="D414" s="20"/>
      <c r="E414" s="20"/>
      <c r="F414" s="20"/>
      <c r="G414" s="20"/>
      <c r="H414" s="20"/>
      <c r="I414" s="20"/>
      <c r="J414" s="20"/>
      <c r="K414" s="20"/>
      <c r="L414" s="20"/>
      <c r="M414" s="20"/>
      <c r="N414" s="20"/>
      <c r="O414" s="20"/>
      <c r="P414" s="20"/>
      <c r="Q414" s="20"/>
      <c r="R414" s="20"/>
      <c r="S414" s="20"/>
      <c r="T414" s="20"/>
      <c r="U414" s="20"/>
    </row>
    <row r="415">
      <c r="A415" s="20"/>
      <c r="B415" s="20"/>
      <c r="C415" s="20"/>
      <c r="D415" s="20"/>
      <c r="E415" s="20"/>
      <c r="F415" s="20"/>
      <c r="G415" s="20"/>
      <c r="H415" s="20"/>
      <c r="I415" s="20"/>
      <c r="J415" s="20"/>
      <c r="K415" s="20"/>
      <c r="L415" s="20"/>
      <c r="M415" s="20"/>
      <c r="N415" s="20"/>
      <c r="O415" s="20"/>
      <c r="P415" s="20"/>
      <c r="Q415" s="20"/>
      <c r="R415" s="20"/>
      <c r="S415" s="20"/>
      <c r="T415" s="20"/>
      <c r="U415" s="20"/>
    </row>
    <row r="416">
      <c r="A416" s="20"/>
      <c r="B416" s="20"/>
      <c r="C416" s="20"/>
      <c r="D416" s="20"/>
      <c r="E416" s="20"/>
      <c r="F416" s="20"/>
      <c r="G416" s="20"/>
      <c r="H416" s="20"/>
      <c r="I416" s="20"/>
      <c r="J416" s="20"/>
      <c r="K416" s="20"/>
      <c r="L416" s="20"/>
      <c r="M416" s="20"/>
      <c r="N416" s="20"/>
      <c r="O416" s="20"/>
      <c r="P416" s="20"/>
      <c r="Q416" s="20"/>
      <c r="R416" s="20"/>
      <c r="S416" s="20"/>
      <c r="T416" s="20"/>
      <c r="U416" s="20"/>
    </row>
    <row r="417">
      <c r="A417" s="20"/>
      <c r="B417" s="20"/>
      <c r="C417" s="20"/>
      <c r="D417" s="20"/>
      <c r="E417" s="20"/>
      <c r="F417" s="20"/>
      <c r="G417" s="20"/>
      <c r="H417" s="20"/>
      <c r="I417" s="20"/>
      <c r="J417" s="20"/>
      <c r="K417" s="20"/>
      <c r="L417" s="20"/>
      <c r="M417" s="20"/>
      <c r="N417" s="20"/>
      <c r="O417" s="20"/>
      <c r="P417" s="20"/>
      <c r="Q417" s="20"/>
      <c r="R417" s="20"/>
      <c r="S417" s="20"/>
      <c r="T417" s="20"/>
      <c r="U417" s="20"/>
    </row>
    <row r="418">
      <c r="A418" s="20"/>
      <c r="B418" s="20"/>
      <c r="C418" s="20"/>
      <c r="D418" s="20"/>
      <c r="E418" s="20"/>
      <c r="F418" s="20"/>
      <c r="G418" s="20"/>
      <c r="H418" s="20"/>
      <c r="I418" s="20"/>
      <c r="J418" s="20"/>
      <c r="K418" s="20"/>
      <c r="L418" s="20"/>
      <c r="M418" s="20"/>
      <c r="N418" s="20"/>
      <c r="O418" s="20"/>
      <c r="P418" s="20"/>
      <c r="Q418" s="20"/>
      <c r="R418" s="20"/>
      <c r="S418" s="20"/>
      <c r="T418" s="20"/>
      <c r="U418" s="20"/>
    </row>
    <row r="419">
      <c r="A419" s="20"/>
      <c r="B419" s="20"/>
      <c r="C419" s="20"/>
      <c r="D419" s="20"/>
      <c r="E419" s="20"/>
      <c r="F419" s="20"/>
      <c r="G419" s="20"/>
      <c r="H419" s="20"/>
      <c r="I419" s="20"/>
      <c r="J419" s="20"/>
      <c r="K419" s="20"/>
      <c r="L419" s="20"/>
      <c r="M419" s="20"/>
      <c r="N419" s="20"/>
      <c r="O419" s="20"/>
      <c r="P419" s="20"/>
      <c r="Q419" s="20"/>
      <c r="R419" s="20"/>
      <c r="S419" s="20"/>
      <c r="T419" s="20"/>
      <c r="U419" s="20"/>
    </row>
    <row r="420">
      <c r="A420" s="20"/>
      <c r="B420" s="20"/>
      <c r="C420" s="20"/>
      <c r="D420" s="20"/>
      <c r="E420" s="20"/>
      <c r="F420" s="20"/>
      <c r="G420" s="20"/>
      <c r="H420" s="20"/>
      <c r="I420" s="20"/>
      <c r="J420" s="20"/>
      <c r="K420" s="20"/>
      <c r="L420" s="20"/>
      <c r="M420" s="20"/>
      <c r="N420" s="20"/>
      <c r="O420" s="20"/>
      <c r="P420" s="20"/>
      <c r="Q420" s="20"/>
      <c r="R420" s="20"/>
      <c r="S420" s="20"/>
      <c r="T420" s="20"/>
      <c r="U420" s="20"/>
    </row>
    <row r="421">
      <c r="A421" s="20"/>
      <c r="B421" s="20"/>
      <c r="C421" s="20"/>
      <c r="D421" s="20"/>
      <c r="E421" s="20"/>
      <c r="F421" s="20"/>
      <c r="G421" s="20"/>
      <c r="H421" s="20"/>
      <c r="I421" s="20"/>
      <c r="J421" s="20"/>
      <c r="K421" s="20"/>
      <c r="L421" s="20"/>
      <c r="M421" s="20"/>
      <c r="N421" s="20"/>
      <c r="O421" s="20"/>
      <c r="P421" s="20"/>
      <c r="Q421" s="20"/>
      <c r="R421" s="20"/>
      <c r="S421" s="20"/>
      <c r="T421" s="20"/>
      <c r="U421" s="20"/>
    </row>
    <row r="422">
      <c r="A422" s="20"/>
      <c r="B422" s="20"/>
      <c r="C422" s="20"/>
      <c r="D422" s="20"/>
      <c r="E422" s="20"/>
      <c r="F422" s="20"/>
      <c r="G422" s="20"/>
      <c r="H422" s="20"/>
      <c r="I422" s="20"/>
      <c r="J422" s="20"/>
      <c r="K422" s="20"/>
      <c r="L422" s="20"/>
      <c r="M422" s="20"/>
      <c r="N422" s="20"/>
      <c r="O422" s="20"/>
      <c r="P422" s="20"/>
      <c r="Q422" s="20"/>
      <c r="R422" s="20"/>
      <c r="S422" s="20"/>
      <c r="T422" s="20"/>
      <c r="U422" s="20"/>
    </row>
    <row r="423">
      <c r="A423" s="20"/>
      <c r="B423" s="20"/>
      <c r="C423" s="20"/>
      <c r="D423" s="20"/>
      <c r="E423" s="20"/>
      <c r="F423" s="20"/>
      <c r="G423" s="20"/>
      <c r="H423" s="20"/>
      <c r="I423" s="20"/>
      <c r="J423" s="20"/>
      <c r="K423" s="20"/>
      <c r="L423" s="20"/>
      <c r="M423" s="20"/>
      <c r="N423" s="20"/>
      <c r="O423" s="20"/>
      <c r="P423" s="20"/>
      <c r="Q423" s="20"/>
      <c r="R423" s="20"/>
      <c r="S423" s="20"/>
      <c r="T423" s="20"/>
      <c r="U423" s="20"/>
    </row>
    <row r="424">
      <c r="A424" s="20"/>
      <c r="B424" s="20"/>
      <c r="C424" s="20"/>
      <c r="D424" s="20"/>
      <c r="E424" s="20"/>
      <c r="F424" s="20"/>
      <c r="G424" s="20"/>
      <c r="H424" s="20"/>
      <c r="I424" s="20"/>
      <c r="J424" s="20"/>
      <c r="K424" s="20"/>
      <c r="L424" s="20"/>
      <c r="M424" s="20"/>
      <c r="N424" s="20"/>
      <c r="O424" s="20"/>
      <c r="P424" s="20"/>
      <c r="Q424" s="20"/>
      <c r="R424" s="20"/>
      <c r="S424" s="20"/>
      <c r="T424" s="20"/>
      <c r="U424" s="20"/>
    </row>
    <row r="425">
      <c r="A425" s="20"/>
      <c r="B425" s="20"/>
      <c r="C425" s="20"/>
      <c r="D425" s="20"/>
      <c r="E425" s="20"/>
      <c r="F425" s="20"/>
      <c r="G425" s="20"/>
      <c r="H425" s="20"/>
      <c r="I425" s="20"/>
      <c r="J425" s="20"/>
      <c r="K425" s="20"/>
      <c r="L425" s="20"/>
      <c r="M425" s="20"/>
      <c r="N425" s="20"/>
      <c r="O425" s="20"/>
      <c r="P425" s="20"/>
      <c r="Q425" s="20"/>
      <c r="R425" s="20"/>
      <c r="S425" s="20"/>
      <c r="T425" s="20"/>
      <c r="U425" s="20"/>
    </row>
    <row r="426">
      <c r="A426" s="20"/>
      <c r="B426" s="20"/>
      <c r="C426" s="20"/>
      <c r="D426" s="20"/>
      <c r="E426" s="20"/>
      <c r="F426" s="20"/>
      <c r="G426" s="20"/>
      <c r="H426" s="20"/>
      <c r="I426" s="20"/>
      <c r="J426" s="20"/>
      <c r="K426" s="20"/>
      <c r="L426" s="20"/>
      <c r="M426" s="20"/>
      <c r="N426" s="20"/>
      <c r="O426" s="20"/>
      <c r="P426" s="20"/>
      <c r="Q426" s="20"/>
      <c r="R426" s="20"/>
      <c r="S426" s="20"/>
      <c r="T426" s="20"/>
      <c r="U426" s="20"/>
    </row>
    <row r="427">
      <c r="A427" s="20"/>
      <c r="B427" s="20"/>
      <c r="C427" s="20"/>
      <c r="D427" s="20"/>
      <c r="E427" s="20"/>
      <c r="F427" s="20"/>
      <c r="G427" s="20"/>
      <c r="H427" s="20"/>
      <c r="I427" s="20"/>
      <c r="J427" s="20"/>
      <c r="K427" s="20"/>
      <c r="L427" s="20"/>
      <c r="M427" s="20"/>
      <c r="N427" s="20"/>
      <c r="O427" s="20"/>
      <c r="P427" s="20"/>
      <c r="Q427" s="20"/>
      <c r="R427" s="20"/>
      <c r="S427" s="20"/>
      <c r="T427" s="20"/>
      <c r="U427" s="20"/>
    </row>
    <row r="428">
      <c r="A428" s="20"/>
      <c r="B428" s="20"/>
      <c r="C428" s="20"/>
      <c r="D428" s="20"/>
      <c r="E428" s="20"/>
      <c r="F428" s="20"/>
      <c r="G428" s="20"/>
      <c r="H428" s="20"/>
      <c r="I428" s="20"/>
      <c r="J428" s="20"/>
      <c r="K428" s="20"/>
      <c r="L428" s="20"/>
      <c r="M428" s="20"/>
      <c r="N428" s="20"/>
      <c r="O428" s="20"/>
      <c r="P428" s="20"/>
      <c r="Q428" s="20"/>
      <c r="R428" s="20"/>
      <c r="S428" s="20"/>
      <c r="T428" s="20"/>
      <c r="U428" s="20"/>
    </row>
    <row r="429">
      <c r="A429" s="20"/>
      <c r="B429" s="20"/>
      <c r="C429" s="20"/>
      <c r="D429" s="20"/>
      <c r="E429" s="20"/>
      <c r="F429" s="20"/>
      <c r="G429" s="20"/>
      <c r="H429" s="20"/>
      <c r="I429" s="20"/>
      <c r="J429" s="20"/>
      <c r="K429" s="20"/>
      <c r="L429" s="20"/>
      <c r="M429" s="20"/>
      <c r="N429" s="20"/>
      <c r="O429" s="20"/>
      <c r="P429" s="20"/>
      <c r="Q429" s="20"/>
      <c r="R429" s="20"/>
      <c r="S429" s="20"/>
      <c r="T429" s="20"/>
      <c r="U429" s="20"/>
    </row>
    <row r="430">
      <c r="A430" s="20"/>
      <c r="B430" s="20"/>
      <c r="C430" s="20"/>
      <c r="D430" s="20"/>
      <c r="E430" s="20"/>
      <c r="F430" s="20"/>
      <c r="G430" s="20"/>
      <c r="H430" s="20"/>
      <c r="I430" s="20"/>
      <c r="J430" s="20"/>
      <c r="K430" s="20"/>
      <c r="L430" s="20"/>
      <c r="M430" s="20"/>
      <c r="N430" s="20"/>
      <c r="O430" s="20"/>
      <c r="P430" s="20"/>
      <c r="Q430" s="20"/>
      <c r="R430" s="20"/>
      <c r="S430" s="20"/>
      <c r="T430" s="20"/>
      <c r="U430" s="20"/>
    </row>
    <row r="431">
      <c r="A431" s="20"/>
      <c r="B431" s="20"/>
      <c r="C431" s="20"/>
      <c r="D431" s="20"/>
      <c r="E431" s="20"/>
      <c r="F431" s="20"/>
      <c r="G431" s="20"/>
      <c r="H431" s="20"/>
      <c r="I431" s="20"/>
      <c r="J431" s="20"/>
      <c r="K431" s="20"/>
      <c r="L431" s="20"/>
      <c r="M431" s="20"/>
      <c r="N431" s="20"/>
      <c r="O431" s="20"/>
      <c r="P431" s="20"/>
      <c r="Q431" s="20"/>
      <c r="R431" s="20"/>
      <c r="S431" s="20"/>
      <c r="T431" s="20"/>
      <c r="U431" s="20"/>
    </row>
    <row r="432">
      <c r="A432" s="20"/>
      <c r="B432" s="20"/>
      <c r="C432" s="20"/>
      <c r="D432" s="20"/>
      <c r="E432" s="20"/>
      <c r="F432" s="20"/>
      <c r="G432" s="20"/>
      <c r="H432" s="20"/>
      <c r="I432" s="20"/>
      <c r="J432" s="20"/>
      <c r="K432" s="20"/>
      <c r="L432" s="20"/>
      <c r="M432" s="20"/>
      <c r="N432" s="20"/>
      <c r="O432" s="20"/>
      <c r="P432" s="20"/>
      <c r="Q432" s="20"/>
      <c r="R432" s="20"/>
      <c r="S432" s="20"/>
      <c r="T432" s="20"/>
      <c r="U432" s="20"/>
    </row>
    <row r="433">
      <c r="A433" s="20"/>
      <c r="B433" s="20"/>
      <c r="C433" s="20"/>
      <c r="D433" s="20"/>
      <c r="E433" s="20"/>
      <c r="F433" s="20"/>
      <c r="G433" s="20"/>
      <c r="H433" s="20"/>
      <c r="I433" s="20"/>
      <c r="J433" s="20"/>
      <c r="K433" s="20"/>
      <c r="L433" s="20"/>
      <c r="M433" s="20"/>
      <c r="N433" s="20"/>
      <c r="O433" s="20"/>
      <c r="P433" s="20"/>
      <c r="Q433" s="20"/>
      <c r="R433" s="20"/>
      <c r="S433" s="20"/>
      <c r="T433" s="20"/>
      <c r="U433" s="20"/>
    </row>
    <row r="434">
      <c r="A434" s="20"/>
      <c r="B434" s="20"/>
      <c r="C434" s="20"/>
      <c r="D434" s="20"/>
      <c r="E434" s="20"/>
      <c r="F434" s="20"/>
      <c r="G434" s="20"/>
      <c r="H434" s="20"/>
      <c r="I434" s="20"/>
      <c r="J434" s="20"/>
      <c r="K434" s="20"/>
      <c r="L434" s="20"/>
      <c r="M434" s="20"/>
      <c r="N434" s="20"/>
      <c r="O434" s="20"/>
      <c r="P434" s="20"/>
      <c r="Q434" s="20"/>
      <c r="R434" s="20"/>
      <c r="S434" s="20"/>
      <c r="T434" s="20"/>
      <c r="U434" s="20"/>
    </row>
    <row r="435">
      <c r="A435" s="20"/>
      <c r="B435" s="20"/>
      <c r="C435" s="20"/>
      <c r="D435" s="20"/>
      <c r="E435" s="20"/>
      <c r="F435" s="20"/>
      <c r="G435" s="20"/>
      <c r="H435" s="20"/>
      <c r="I435" s="20"/>
      <c r="J435" s="20"/>
      <c r="K435" s="20"/>
      <c r="L435" s="20"/>
      <c r="M435" s="20"/>
      <c r="N435" s="20"/>
      <c r="O435" s="20"/>
      <c r="P435" s="20"/>
      <c r="Q435" s="20"/>
      <c r="R435" s="20"/>
      <c r="S435" s="20"/>
      <c r="T435" s="20"/>
      <c r="U435" s="20"/>
    </row>
    <row r="436">
      <c r="A436" s="20"/>
      <c r="B436" s="20"/>
      <c r="C436" s="20"/>
      <c r="D436" s="20"/>
      <c r="E436" s="20"/>
      <c r="F436" s="20"/>
      <c r="G436" s="20"/>
      <c r="H436" s="20"/>
      <c r="I436" s="20"/>
      <c r="J436" s="20"/>
      <c r="K436" s="20"/>
      <c r="L436" s="20"/>
      <c r="M436" s="20"/>
      <c r="N436" s="20"/>
      <c r="O436" s="20"/>
      <c r="P436" s="20"/>
      <c r="Q436" s="20"/>
      <c r="R436" s="20"/>
      <c r="S436" s="20"/>
      <c r="T436" s="20"/>
      <c r="U436" s="20"/>
    </row>
    <row r="437">
      <c r="A437" s="20"/>
      <c r="B437" s="20"/>
      <c r="C437" s="20"/>
      <c r="D437" s="20"/>
      <c r="E437" s="20"/>
      <c r="F437" s="20"/>
      <c r="G437" s="20"/>
      <c r="H437" s="20"/>
      <c r="I437" s="20"/>
      <c r="J437" s="20"/>
      <c r="K437" s="20"/>
      <c r="L437" s="20"/>
      <c r="M437" s="20"/>
      <c r="N437" s="20"/>
      <c r="O437" s="20"/>
      <c r="P437" s="20"/>
      <c r="Q437" s="20"/>
      <c r="R437" s="20"/>
      <c r="S437" s="20"/>
      <c r="T437" s="20"/>
      <c r="U437" s="20"/>
    </row>
    <row r="438">
      <c r="A438" s="20"/>
      <c r="B438" s="20"/>
      <c r="C438" s="20"/>
      <c r="D438" s="20"/>
      <c r="E438" s="20"/>
      <c r="F438" s="20"/>
      <c r="G438" s="20"/>
      <c r="H438" s="20"/>
      <c r="I438" s="20"/>
      <c r="J438" s="20"/>
      <c r="K438" s="20"/>
      <c r="L438" s="20"/>
      <c r="M438" s="20"/>
      <c r="N438" s="20"/>
      <c r="O438" s="20"/>
      <c r="P438" s="20"/>
      <c r="Q438" s="20"/>
      <c r="R438" s="20"/>
      <c r="S438" s="20"/>
      <c r="T438" s="20"/>
      <c r="U438" s="20"/>
    </row>
    <row r="439">
      <c r="A439" s="20"/>
      <c r="B439" s="20"/>
      <c r="C439" s="20"/>
      <c r="D439" s="20"/>
      <c r="E439" s="20"/>
      <c r="F439" s="20"/>
      <c r="G439" s="20"/>
      <c r="H439" s="20"/>
      <c r="I439" s="20"/>
      <c r="J439" s="20"/>
      <c r="K439" s="20"/>
      <c r="L439" s="20"/>
      <c r="M439" s="20"/>
      <c r="N439" s="20"/>
      <c r="O439" s="20"/>
      <c r="P439" s="20"/>
      <c r="Q439" s="20"/>
      <c r="R439" s="20"/>
      <c r="S439" s="20"/>
      <c r="T439" s="20"/>
      <c r="U439" s="20"/>
    </row>
    <row r="440">
      <c r="A440" s="20"/>
      <c r="B440" s="20"/>
      <c r="C440" s="20"/>
      <c r="D440" s="20"/>
      <c r="E440" s="20"/>
      <c r="F440" s="20"/>
      <c r="G440" s="20"/>
      <c r="H440" s="20"/>
      <c r="I440" s="20"/>
      <c r="J440" s="20"/>
      <c r="K440" s="20"/>
      <c r="L440" s="20"/>
      <c r="M440" s="20"/>
      <c r="N440" s="20"/>
      <c r="O440" s="20"/>
      <c r="P440" s="20"/>
      <c r="Q440" s="20"/>
      <c r="R440" s="20"/>
      <c r="S440" s="20"/>
      <c r="T440" s="20"/>
      <c r="U440" s="20"/>
    </row>
    <row r="441">
      <c r="A441" s="20"/>
      <c r="B441" s="20"/>
      <c r="C441" s="20"/>
      <c r="D441" s="20"/>
      <c r="E441" s="20"/>
      <c r="F441" s="20"/>
      <c r="G441" s="20"/>
      <c r="H441" s="20"/>
      <c r="I441" s="20"/>
      <c r="J441" s="20"/>
      <c r="K441" s="20"/>
      <c r="L441" s="20"/>
      <c r="M441" s="20"/>
      <c r="N441" s="20"/>
      <c r="O441" s="20"/>
      <c r="P441" s="20"/>
      <c r="Q441" s="20"/>
      <c r="R441" s="20"/>
      <c r="S441" s="20"/>
      <c r="T441" s="20"/>
      <c r="U441" s="20"/>
    </row>
    <row r="442">
      <c r="A442" s="20"/>
      <c r="B442" s="20"/>
      <c r="C442" s="20"/>
      <c r="D442" s="20"/>
      <c r="E442" s="20"/>
      <c r="F442" s="20"/>
      <c r="G442" s="20"/>
      <c r="H442" s="20"/>
      <c r="I442" s="20"/>
      <c r="J442" s="20"/>
      <c r="K442" s="20"/>
      <c r="L442" s="20"/>
      <c r="M442" s="20"/>
      <c r="N442" s="20"/>
      <c r="O442" s="20"/>
      <c r="P442" s="20"/>
      <c r="Q442" s="20"/>
      <c r="R442" s="20"/>
      <c r="S442" s="20"/>
      <c r="T442" s="20"/>
      <c r="U442" s="20"/>
    </row>
    <row r="443">
      <c r="A443" s="20"/>
      <c r="B443" s="20"/>
      <c r="C443" s="20"/>
      <c r="D443" s="20"/>
      <c r="E443" s="20"/>
      <c r="F443" s="20"/>
      <c r="G443" s="20"/>
      <c r="H443" s="20"/>
      <c r="I443" s="20"/>
      <c r="J443" s="20"/>
      <c r="K443" s="20"/>
      <c r="L443" s="20"/>
      <c r="M443" s="20"/>
      <c r="N443" s="20"/>
      <c r="O443" s="20"/>
      <c r="P443" s="20"/>
      <c r="Q443" s="20"/>
      <c r="R443" s="20"/>
      <c r="S443" s="20"/>
      <c r="T443" s="20"/>
      <c r="U443" s="20"/>
    </row>
    <row r="444">
      <c r="A444" s="20"/>
      <c r="B444" s="20"/>
      <c r="C444" s="20"/>
      <c r="D444" s="20"/>
      <c r="E444" s="20"/>
      <c r="F444" s="20"/>
      <c r="G444" s="20"/>
      <c r="H444" s="20"/>
      <c r="I444" s="20"/>
      <c r="J444" s="20"/>
      <c r="K444" s="20"/>
      <c r="L444" s="20"/>
      <c r="M444" s="20"/>
      <c r="N444" s="20"/>
      <c r="O444" s="20"/>
      <c r="P444" s="20"/>
      <c r="Q444" s="20"/>
      <c r="R444" s="20"/>
      <c r="S444" s="20"/>
      <c r="T444" s="20"/>
      <c r="U444" s="20"/>
    </row>
    <row r="445">
      <c r="A445" s="20"/>
      <c r="B445" s="20"/>
      <c r="C445" s="20"/>
      <c r="D445" s="20"/>
      <c r="E445" s="20"/>
      <c r="F445" s="20"/>
      <c r="G445" s="20"/>
      <c r="H445" s="20"/>
      <c r="I445" s="20"/>
      <c r="J445" s="20"/>
      <c r="K445" s="20"/>
      <c r="L445" s="20"/>
      <c r="M445" s="20"/>
      <c r="N445" s="20"/>
      <c r="O445" s="20"/>
      <c r="P445" s="20"/>
      <c r="Q445" s="20"/>
      <c r="R445" s="20"/>
      <c r="S445" s="20"/>
      <c r="T445" s="20"/>
      <c r="U445" s="20"/>
    </row>
    <row r="446">
      <c r="A446" s="20"/>
      <c r="B446" s="20"/>
      <c r="C446" s="20"/>
      <c r="D446" s="20"/>
      <c r="E446" s="20"/>
      <c r="F446" s="20"/>
      <c r="G446" s="20"/>
      <c r="H446" s="20"/>
      <c r="I446" s="20"/>
      <c r="J446" s="20"/>
      <c r="K446" s="20"/>
      <c r="L446" s="20"/>
      <c r="M446" s="20"/>
      <c r="N446" s="20"/>
      <c r="O446" s="20"/>
      <c r="P446" s="20"/>
      <c r="Q446" s="20"/>
      <c r="R446" s="20"/>
      <c r="S446" s="20"/>
      <c r="T446" s="20"/>
      <c r="U446" s="20"/>
    </row>
    <row r="447">
      <c r="A447" s="20"/>
      <c r="B447" s="20"/>
      <c r="C447" s="20"/>
      <c r="D447" s="20"/>
      <c r="E447" s="20"/>
      <c r="F447" s="20"/>
      <c r="G447" s="20"/>
      <c r="H447" s="20"/>
      <c r="I447" s="20"/>
      <c r="J447" s="20"/>
      <c r="K447" s="20"/>
      <c r="L447" s="20"/>
      <c r="M447" s="20"/>
      <c r="N447" s="20"/>
      <c r="O447" s="20"/>
      <c r="P447" s="20"/>
      <c r="Q447" s="20"/>
      <c r="R447" s="20"/>
      <c r="S447" s="20"/>
      <c r="T447" s="20"/>
      <c r="U447" s="20"/>
    </row>
    <row r="448">
      <c r="A448" s="20"/>
      <c r="B448" s="20"/>
      <c r="C448" s="20"/>
      <c r="D448" s="20"/>
      <c r="E448" s="20"/>
      <c r="F448" s="20"/>
      <c r="G448" s="20"/>
      <c r="H448" s="20"/>
      <c r="I448" s="20"/>
      <c r="J448" s="20"/>
      <c r="K448" s="20"/>
      <c r="L448" s="20"/>
      <c r="M448" s="20"/>
      <c r="N448" s="20"/>
      <c r="O448" s="20"/>
      <c r="P448" s="20"/>
      <c r="Q448" s="20"/>
      <c r="R448" s="20"/>
      <c r="S448" s="20"/>
      <c r="T448" s="20"/>
      <c r="U448" s="20"/>
    </row>
    <row r="449">
      <c r="A449" s="20"/>
      <c r="B449" s="20"/>
      <c r="C449" s="20"/>
      <c r="D449" s="20"/>
      <c r="E449" s="20"/>
      <c r="F449" s="20"/>
      <c r="G449" s="20"/>
      <c r="H449" s="20"/>
      <c r="I449" s="20"/>
      <c r="J449" s="20"/>
      <c r="K449" s="20"/>
      <c r="L449" s="20"/>
      <c r="M449" s="20"/>
      <c r="N449" s="20"/>
      <c r="O449" s="20"/>
      <c r="P449" s="20"/>
      <c r="Q449" s="20"/>
      <c r="R449" s="20"/>
      <c r="S449" s="20"/>
      <c r="T449" s="20"/>
      <c r="U449" s="20"/>
    </row>
    <row r="450">
      <c r="A450" s="20"/>
      <c r="B450" s="20"/>
      <c r="C450" s="20"/>
      <c r="D450" s="20"/>
      <c r="E450" s="20"/>
      <c r="F450" s="20"/>
      <c r="G450" s="20"/>
      <c r="H450" s="20"/>
      <c r="I450" s="20"/>
      <c r="J450" s="20"/>
      <c r="K450" s="20"/>
      <c r="L450" s="20"/>
      <c r="M450" s="20"/>
      <c r="N450" s="20"/>
      <c r="O450" s="20"/>
      <c r="P450" s="20"/>
      <c r="Q450" s="20"/>
      <c r="R450" s="20"/>
      <c r="S450" s="20"/>
      <c r="T450" s="20"/>
      <c r="U450" s="20"/>
    </row>
    <row r="451">
      <c r="A451" s="20"/>
      <c r="B451" s="20"/>
      <c r="C451" s="20"/>
      <c r="D451" s="20"/>
      <c r="E451" s="20"/>
      <c r="F451" s="20"/>
      <c r="G451" s="20"/>
      <c r="H451" s="20"/>
      <c r="I451" s="20"/>
      <c r="J451" s="20"/>
      <c r="K451" s="20"/>
      <c r="L451" s="20"/>
      <c r="M451" s="20"/>
      <c r="N451" s="20"/>
      <c r="O451" s="20"/>
      <c r="P451" s="20"/>
      <c r="Q451" s="20"/>
      <c r="R451" s="20"/>
      <c r="S451" s="20"/>
      <c r="T451" s="20"/>
      <c r="U451" s="20"/>
    </row>
    <row r="452">
      <c r="A452" s="20"/>
      <c r="B452" s="20"/>
      <c r="C452" s="20"/>
      <c r="D452" s="20"/>
      <c r="E452" s="20"/>
      <c r="F452" s="20"/>
      <c r="G452" s="20"/>
      <c r="H452" s="20"/>
      <c r="I452" s="20"/>
      <c r="J452" s="20"/>
      <c r="K452" s="20"/>
      <c r="L452" s="20"/>
      <c r="M452" s="20"/>
      <c r="N452" s="20"/>
      <c r="O452" s="20"/>
      <c r="P452" s="20"/>
      <c r="Q452" s="20"/>
      <c r="R452" s="20"/>
      <c r="S452" s="20"/>
      <c r="T452" s="20"/>
      <c r="U452" s="20"/>
    </row>
    <row r="453">
      <c r="A453" s="20"/>
      <c r="B453" s="20"/>
      <c r="C453" s="20"/>
      <c r="D453" s="20"/>
      <c r="E453" s="20"/>
      <c r="F453" s="20"/>
      <c r="G453" s="20"/>
      <c r="H453" s="20"/>
      <c r="I453" s="20"/>
      <c r="J453" s="20"/>
      <c r="K453" s="20"/>
      <c r="L453" s="20"/>
      <c r="M453" s="20"/>
      <c r="N453" s="20"/>
      <c r="O453" s="20"/>
      <c r="P453" s="20"/>
      <c r="Q453" s="20"/>
      <c r="R453" s="20"/>
      <c r="S453" s="20"/>
      <c r="T453" s="20"/>
      <c r="U453" s="20"/>
    </row>
    <row r="454">
      <c r="A454" s="20"/>
      <c r="B454" s="20"/>
      <c r="C454" s="20"/>
      <c r="D454" s="20"/>
      <c r="E454" s="20"/>
      <c r="F454" s="20"/>
      <c r="G454" s="20"/>
      <c r="H454" s="20"/>
      <c r="I454" s="20"/>
      <c r="J454" s="20"/>
      <c r="K454" s="20"/>
      <c r="L454" s="20"/>
      <c r="M454" s="20"/>
      <c r="N454" s="20"/>
      <c r="O454" s="20"/>
      <c r="P454" s="20"/>
      <c r="Q454" s="20"/>
      <c r="R454" s="20"/>
      <c r="S454" s="20"/>
      <c r="T454" s="20"/>
      <c r="U454" s="20"/>
    </row>
    <row r="455">
      <c r="A455" s="20"/>
      <c r="B455" s="20"/>
      <c r="C455" s="20"/>
      <c r="D455" s="20"/>
      <c r="E455" s="20"/>
      <c r="F455" s="20"/>
      <c r="G455" s="20"/>
      <c r="H455" s="20"/>
      <c r="I455" s="20"/>
      <c r="J455" s="20"/>
      <c r="K455" s="20"/>
      <c r="L455" s="20"/>
      <c r="M455" s="20"/>
      <c r="N455" s="20"/>
      <c r="O455" s="20"/>
      <c r="P455" s="20"/>
      <c r="Q455" s="20"/>
      <c r="R455" s="20"/>
      <c r="S455" s="20"/>
      <c r="T455" s="20"/>
      <c r="U455" s="20"/>
    </row>
    <row r="456">
      <c r="A456" s="20"/>
      <c r="B456" s="20"/>
      <c r="C456" s="20"/>
      <c r="D456" s="20"/>
      <c r="E456" s="20"/>
      <c r="F456" s="20"/>
      <c r="G456" s="20"/>
      <c r="H456" s="20"/>
      <c r="I456" s="20"/>
      <c r="J456" s="20"/>
      <c r="K456" s="20"/>
      <c r="L456" s="20"/>
      <c r="M456" s="20"/>
      <c r="N456" s="20"/>
      <c r="O456" s="20"/>
      <c r="P456" s="20"/>
      <c r="Q456" s="20"/>
      <c r="R456" s="20"/>
      <c r="S456" s="20"/>
      <c r="T456" s="20"/>
      <c r="U456" s="20"/>
    </row>
    <row r="457">
      <c r="A457" s="20"/>
      <c r="B457" s="20"/>
      <c r="C457" s="20"/>
      <c r="D457" s="20"/>
      <c r="E457" s="20"/>
      <c r="F457" s="20"/>
      <c r="G457" s="20"/>
      <c r="H457" s="20"/>
      <c r="I457" s="20"/>
      <c r="J457" s="20"/>
      <c r="K457" s="20"/>
      <c r="L457" s="20"/>
      <c r="M457" s="20"/>
      <c r="N457" s="20"/>
      <c r="O457" s="20"/>
      <c r="P457" s="20"/>
      <c r="Q457" s="20"/>
      <c r="R457" s="20"/>
      <c r="S457" s="20"/>
      <c r="T457" s="20"/>
      <c r="U457" s="20"/>
    </row>
    <row r="458">
      <c r="A458" s="20"/>
      <c r="B458" s="20"/>
      <c r="C458" s="20"/>
      <c r="D458" s="20"/>
      <c r="E458" s="20"/>
      <c r="F458" s="20"/>
      <c r="G458" s="20"/>
      <c r="H458" s="20"/>
      <c r="I458" s="20"/>
      <c r="J458" s="20"/>
      <c r="K458" s="20"/>
      <c r="L458" s="20"/>
      <c r="M458" s="20"/>
      <c r="N458" s="20"/>
      <c r="O458" s="20"/>
      <c r="P458" s="20"/>
      <c r="Q458" s="20"/>
      <c r="R458" s="20"/>
      <c r="S458" s="20"/>
      <c r="T458" s="20"/>
      <c r="U458" s="20"/>
    </row>
    <row r="459">
      <c r="A459" s="20"/>
      <c r="B459" s="20"/>
      <c r="C459" s="20"/>
      <c r="D459" s="20"/>
      <c r="E459" s="20"/>
      <c r="F459" s="20"/>
      <c r="G459" s="20"/>
      <c r="H459" s="20"/>
      <c r="I459" s="20"/>
      <c r="J459" s="20"/>
      <c r="K459" s="20"/>
      <c r="L459" s="20"/>
      <c r="M459" s="20"/>
      <c r="N459" s="20"/>
      <c r="O459" s="20"/>
      <c r="P459" s="20"/>
      <c r="Q459" s="20"/>
      <c r="R459" s="20"/>
      <c r="S459" s="20"/>
      <c r="T459" s="20"/>
      <c r="U459" s="20"/>
    </row>
    <row r="460">
      <c r="A460" s="20"/>
      <c r="B460" s="20"/>
      <c r="C460" s="20"/>
      <c r="D460" s="20"/>
      <c r="E460" s="20"/>
      <c r="F460" s="20"/>
      <c r="G460" s="20"/>
      <c r="H460" s="20"/>
      <c r="I460" s="20"/>
      <c r="J460" s="20"/>
      <c r="K460" s="20"/>
      <c r="L460" s="20"/>
      <c r="M460" s="20"/>
      <c r="N460" s="20"/>
      <c r="O460" s="20"/>
      <c r="P460" s="20"/>
      <c r="Q460" s="20"/>
      <c r="R460" s="20"/>
      <c r="S460" s="20"/>
      <c r="T460" s="20"/>
      <c r="U460" s="20"/>
    </row>
    <row r="461">
      <c r="A461" s="20"/>
      <c r="B461" s="20"/>
      <c r="C461" s="20"/>
      <c r="D461" s="20"/>
      <c r="E461" s="20"/>
      <c r="F461" s="20"/>
      <c r="G461" s="20"/>
      <c r="H461" s="20"/>
      <c r="I461" s="20"/>
      <c r="J461" s="20"/>
      <c r="K461" s="20"/>
      <c r="L461" s="20"/>
      <c r="M461" s="20"/>
      <c r="N461" s="20"/>
      <c r="O461" s="20"/>
      <c r="P461" s="20"/>
      <c r="Q461" s="20"/>
      <c r="R461" s="20"/>
      <c r="S461" s="20"/>
      <c r="T461" s="20"/>
      <c r="U461" s="20"/>
    </row>
    <row r="462">
      <c r="A462" s="20"/>
      <c r="B462" s="20"/>
      <c r="C462" s="20"/>
      <c r="D462" s="20"/>
      <c r="E462" s="20"/>
      <c r="F462" s="20"/>
      <c r="G462" s="20"/>
      <c r="H462" s="20"/>
      <c r="I462" s="20"/>
      <c r="J462" s="20"/>
      <c r="K462" s="20"/>
      <c r="L462" s="20"/>
      <c r="M462" s="20"/>
      <c r="N462" s="20"/>
      <c r="O462" s="20"/>
      <c r="P462" s="20"/>
      <c r="Q462" s="20"/>
      <c r="R462" s="20"/>
      <c r="S462" s="20"/>
      <c r="T462" s="20"/>
      <c r="U462" s="20"/>
    </row>
    <row r="463">
      <c r="A463" s="20"/>
      <c r="B463" s="20"/>
      <c r="C463" s="20"/>
      <c r="D463" s="20"/>
      <c r="E463" s="20"/>
      <c r="F463" s="20"/>
      <c r="G463" s="20"/>
      <c r="H463" s="20"/>
      <c r="I463" s="20"/>
      <c r="J463" s="20"/>
      <c r="K463" s="20"/>
      <c r="L463" s="20"/>
      <c r="M463" s="20"/>
      <c r="N463" s="20"/>
      <c r="O463" s="20"/>
      <c r="P463" s="20"/>
      <c r="Q463" s="20"/>
      <c r="R463" s="20"/>
      <c r="S463" s="20"/>
      <c r="T463" s="20"/>
      <c r="U463" s="20"/>
    </row>
    <row r="464">
      <c r="A464" s="20"/>
      <c r="B464" s="20"/>
      <c r="C464" s="20"/>
      <c r="D464" s="20"/>
      <c r="E464" s="20"/>
      <c r="F464" s="20"/>
      <c r="G464" s="20"/>
      <c r="H464" s="20"/>
      <c r="I464" s="20"/>
      <c r="J464" s="20"/>
      <c r="K464" s="20"/>
      <c r="L464" s="20"/>
      <c r="M464" s="20"/>
      <c r="N464" s="20"/>
      <c r="O464" s="20"/>
      <c r="P464" s="20"/>
      <c r="Q464" s="20"/>
      <c r="R464" s="20"/>
      <c r="S464" s="20"/>
      <c r="T464" s="20"/>
      <c r="U464" s="20"/>
    </row>
    <row r="465">
      <c r="A465" s="20"/>
      <c r="B465" s="20"/>
      <c r="C465" s="20"/>
      <c r="D465" s="20"/>
      <c r="E465" s="20"/>
      <c r="F465" s="20"/>
      <c r="G465" s="20"/>
      <c r="H465" s="20"/>
      <c r="I465" s="20"/>
      <c r="J465" s="20"/>
      <c r="K465" s="20"/>
      <c r="L465" s="20"/>
      <c r="M465" s="20"/>
      <c r="N465" s="20"/>
      <c r="O465" s="20"/>
      <c r="P465" s="20"/>
      <c r="Q465" s="20"/>
      <c r="R465" s="20"/>
      <c r="S465" s="20"/>
      <c r="T465" s="20"/>
      <c r="U465" s="20"/>
    </row>
    <row r="466">
      <c r="A466" s="20"/>
      <c r="B466" s="20"/>
      <c r="C466" s="20"/>
      <c r="D466" s="20"/>
      <c r="E466" s="20"/>
      <c r="F466" s="20"/>
      <c r="G466" s="20"/>
      <c r="H466" s="20"/>
      <c r="I466" s="20"/>
      <c r="J466" s="20"/>
      <c r="K466" s="20"/>
      <c r="L466" s="20"/>
      <c r="M466" s="20"/>
      <c r="N466" s="20"/>
      <c r="O466" s="20"/>
      <c r="P466" s="20"/>
      <c r="Q466" s="20"/>
      <c r="R466" s="20"/>
      <c r="S466" s="20"/>
      <c r="T466" s="20"/>
      <c r="U466" s="20"/>
    </row>
    <row r="467">
      <c r="A467" s="20"/>
      <c r="B467" s="20"/>
      <c r="C467" s="20"/>
      <c r="D467" s="20"/>
      <c r="E467" s="20"/>
      <c r="F467" s="20"/>
      <c r="G467" s="20"/>
      <c r="H467" s="20"/>
      <c r="I467" s="20"/>
      <c r="J467" s="20"/>
      <c r="K467" s="20"/>
      <c r="L467" s="20"/>
      <c r="M467" s="20"/>
      <c r="N467" s="20"/>
      <c r="O467" s="20"/>
      <c r="P467" s="20"/>
      <c r="Q467" s="20"/>
      <c r="R467" s="20"/>
      <c r="S467" s="20"/>
      <c r="T467" s="20"/>
      <c r="U467" s="20"/>
    </row>
    <row r="468">
      <c r="A468" s="20"/>
      <c r="B468" s="20"/>
      <c r="C468" s="20"/>
      <c r="D468" s="20"/>
      <c r="E468" s="20"/>
      <c r="F468" s="20"/>
      <c r="G468" s="20"/>
      <c r="H468" s="20"/>
      <c r="I468" s="20"/>
      <c r="J468" s="20"/>
      <c r="K468" s="20"/>
      <c r="L468" s="20"/>
      <c r="M468" s="20"/>
      <c r="N468" s="20"/>
      <c r="O468" s="20"/>
      <c r="P468" s="20"/>
      <c r="Q468" s="20"/>
      <c r="R468" s="20"/>
      <c r="S468" s="20"/>
      <c r="T468" s="20"/>
      <c r="U468" s="20"/>
    </row>
    <row r="469">
      <c r="A469" s="20"/>
      <c r="B469" s="20"/>
      <c r="C469" s="20"/>
      <c r="D469" s="20"/>
      <c r="E469" s="20"/>
      <c r="F469" s="20"/>
      <c r="G469" s="20"/>
      <c r="H469" s="20"/>
      <c r="I469" s="20"/>
      <c r="J469" s="20"/>
      <c r="K469" s="20"/>
      <c r="L469" s="20"/>
      <c r="M469" s="20"/>
      <c r="N469" s="20"/>
      <c r="O469" s="20"/>
      <c r="P469" s="20"/>
      <c r="Q469" s="20"/>
      <c r="R469" s="20"/>
      <c r="S469" s="20"/>
      <c r="T469" s="20"/>
      <c r="U469" s="20"/>
    </row>
    <row r="470">
      <c r="A470" s="20"/>
      <c r="B470" s="20"/>
      <c r="C470" s="20"/>
      <c r="D470" s="20"/>
      <c r="E470" s="20"/>
      <c r="F470" s="20"/>
      <c r="G470" s="20"/>
      <c r="H470" s="20"/>
      <c r="I470" s="20"/>
      <c r="J470" s="20"/>
      <c r="K470" s="20"/>
      <c r="L470" s="20"/>
      <c r="M470" s="20"/>
      <c r="N470" s="20"/>
      <c r="O470" s="20"/>
      <c r="P470" s="20"/>
      <c r="Q470" s="20"/>
      <c r="R470" s="20"/>
      <c r="S470" s="20"/>
      <c r="T470" s="20"/>
      <c r="U470" s="20"/>
    </row>
    <row r="471">
      <c r="A471" s="20"/>
      <c r="B471" s="20"/>
      <c r="C471" s="20"/>
      <c r="D471" s="20"/>
      <c r="E471" s="20"/>
      <c r="F471" s="20"/>
      <c r="G471" s="20"/>
      <c r="H471" s="20"/>
      <c r="I471" s="20"/>
      <c r="J471" s="20"/>
      <c r="K471" s="20"/>
      <c r="L471" s="20"/>
      <c r="M471" s="20"/>
      <c r="N471" s="20"/>
      <c r="O471" s="20"/>
      <c r="P471" s="20"/>
      <c r="Q471" s="20"/>
      <c r="R471" s="20"/>
      <c r="S471" s="20"/>
      <c r="T471" s="20"/>
      <c r="U471" s="20"/>
    </row>
    <row r="472">
      <c r="A472" s="20"/>
      <c r="B472" s="20"/>
      <c r="C472" s="20"/>
      <c r="D472" s="20"/>
      <c r="E472" s="20"/>
      <c r="F472" s="20"/>
      <c r="G472" s="20"/>
      <c r="H472" s="20"/>
      <c r="I472" s="20"/>
      <c r="J472" s="20"/>
      <c r="K472" s="20"/>
      <c r="L472" s="20"/>
      <c r="M472" s="20"/>
      <c r="N472" s="20"/>
      <c r="O472" s="20"/>
      <c r="P472" s="20"/>
      <c r="Q472" s="20"/>
      <c r="R472" s="20"/>
      <c r="S472" s="20"/>
      <c r="T472" s="20"/>
      <c r="U472" s="20"/>
    </row>
    <row r="473">
      <c r="A473" s="20"/>
      <c r="B473" s="20"/>
      <c r="C473" s="20"/>
      <c r="D473" s="20"/>
      <c r="E473" s="20"/>
      <c r="F473" s="20"/>
      <c r="G473" s="20"/>
      <c r="H473" s="20"/>
      <c r="I473" s="20"/>
      <c r="J473" s="20"/>
      <c r="K473" s="20"/>
      <c r="L473" s="20"/>
      <c r="M473" s="20"/>
      <c r="N473" s="20"/>
      <c r="O473" s="20"/>
      <c r="P473" s="20"/>
      <c r="Q473" s="20"/>
      <c r="R473" s="20"/>
      <c r="S473" s="20"/>
      <c r="T473" s="20"/>
      <c r="U473" s="20"/>
    </row>
    <row r="474">
      <c r="A474" s="20"/>
      <c r="B474" s="20"/>
      <c r="C474" s="20"/>
      <c r="D474" s="20"/>
      <c r="E474" s="20"/>
      <c r="F474" s="20"/>
      <c r="G474" s="20"/>
      <c r="H474" s="20"/>
      <c r="I474" s="20"/>
      <c r="J474" s="20"/>
      <c r="K474" s="20"/>
      <c r="L474" s="20"/>
      <c r="M474" s="20"/>
      <c r="N474" s="20"/>
      <c r="O474" s="20"/>
      <c r="P474" s="20"/>
      <c r="Q474" s="20"/>
      <c r="R474" s="20"/>
      <c r="S474" s="20"/>
      <c r="T474" s="20"/>
      <c r="U474" s="20"/>
    </row>
    <row r="475">
      <c r="A475" s="20"/>
      <c r="B475" s="20"/>
      <c r="C475" s="20"/>
      <c r="D475" s="20"/>
      <c r="E475" s="20"/>
      <c r="F475" s="20"/>
      <c r="G475" s="20"/>
      <c r="H475" s="20"/>
      <c r="I475" s="20"/>
      <c r="J475" s="20"/>
      <c r="K475" s="20"/>
      <c r="L475" s="20"/>
      <c r="M475" s="20"/>
      <c r="N475" s="20"/>
      <c r="O475" s="20"/>
      <c r="P475" s="20"/>
      <c r="Q475" s="20"/>
      <c r="R475" s="20"/>
      <c r="S475" s="20"/>
      <c r="T475" s="20"/>
      <c r="U475" s="20"/>
    </row>
    <row r="476">
      <c r="A476" s="20"/>
      <c r="B476" s="20"/>
      <c r="C476" s="20"/>
      <c r="D476" s="20"/>
      <c r="E476" s="20"/>
      <c r="F476" s="20"/>
      <c r="G476" s="20"/>
      <c r="H476" s="20"/>
      <c r="I476" s="20"/>
      <c r="J476" s="20"/>
      <c r="K476" s="20"/>
      <c r="L476" s="20"/>
      <c r="M476" s="20"/>
      <c r="N476" s="20"/>
      <c r="O476" s="20"/>
      <c r="P476" s="20"/>
      <c r="Q476" s="20"/>
      <c r="R476" s="20"/>
      <c r="S476" s="20"/>
      <c r="T476" s="20"/>
      <c r="U476" s="20"/>
    </row>
    <row r="477">
      <c r="A477" s="20"/>
      <c r="B477" s="20"/>
      <c r="C477" s="20"/>
      <c r="D477" s="20"/>
      <c r="E477" s="20"/>
      <c r="F477" s="20"/>
      <c r="G477" s="20"/>
      <c r="H477" s="20"/>
      <c r="I477" s="20"/>
      <c r="J477" s="20"/>
      <c r="K477" s="20"/>
      <c r="L477" s="20"/>
      <c r="M477" s="20"/>
      <c r="N477" s="20"/>
      <c r="O477" s="20"/>
      <c r="P477" s="20"/>
      <c r="Q477" s="20"/>
      <c r="R477" s="20"/>
      <c r="S477" s="20"/>
      <c r="T477" s="20"/>
      <c r="U477" s="20"/>
    </row>
    <row r="478">
      <c r="A478" s="20"/>
      <c r="B478" s="20"/>
      <c r="C478" s="20"/>
      <c r="D478" s="20"/>
      <c r="E478" s="20"/>
      <c r="F478" s="20"/>
      <c r="G478" s="20"/>
      <c r="H478" s="20"/>
      <c r="I478" s="20"/>
      <c r="J478" s="20"/>
      <c r="K478" s="20"/>
      <c r="L478" s="20"/>
      <c r="M478" s="20"/>
      <c r="N478" s="20"/>
      <c r="O478" s="20"/>
      <c r="P478" s="20"/>
      <c r="Q478" s="20"/>
      <c r="R478" s="20"/>
      <c r="S478" s="20"/>
      <c r="T478" s="20"/>
      <c r="U478" s="20"/>
    </row>
    <row r="479">
      <c r="A479" s="20"/>
      <c r="B479" s="20"/>
      <c r="C479" s="20"/>
      <c r="D479" s="20"/>
      <c r="E479" s="20"/>
      <c r="F479" s="20"/>
      <c r="G479" s="20"/>
      <c r="H479" s="20"/>
      <c r="I479" s="20"/>
      <c r="J479" s="20"/>
      <c r="K479" s="20"/>
      <c r="L479" s="20"/>
      <c r="M479" s="20"/>
      <c r="N479" s="20"/>
      <c r="O479" s="20"/>
      <c r="P479" s="20"/>
      <c r="Q479" s="20"/>
      <c r="R479" s="20"/>
      <c r="S479" s="20"/>
      <c r="T479" s="20"/>
      <c r="U479" s="20"/>
    </row>
    <row r="480">
      <c r="A480" s="20"/>
      <c r="B480" s="20"/>
      <c r="C480" s="20"/>
      <c r="D480" s="20"/>
      <c r="E480" s="20"/>
      <c r="F480" s="20"/>
      <c r="G480" s="20"/>
      <c r="H480" s="20"/>
      <c r="I480" s="20"/>
      <c r="J480" s="20"/>
      <c r="K480" s="20"/>
      <c r="L480" s="20"/>
      <c r="M480" s="20"/>
      <c r="N480" s="20"/>
      <c r="O480" s="20"/>
      <c r="P480" s="20"/>
      <c r="Q480" s="20"/>
      <c r="R480" s="20"/>
      <c r="S480" s="20"/>
      <c r="T480" s="20"/>
      <c r="U480" s="20"/>
    </row>
    <row r="481">
      <c r="A481" s="20"/>
      <c r="B481" s="20"/>
      <c r="C481" s="20"/>
      <c r="D481" s="20"/>
      <c r="E481" s="20"/>
      <c r="F481" s="20"/>
      <c r="G481" s="20"/>
      <c r="H481" s="20"/>
      <c r="I481" s="20"/>
      <c r="J481" s="20"/>
      <c r="K481" s="20"/>
      <c r="L481" s="20"/>
      <c r="M481" s="20"/>
      <c r="N481" s="20"/>
      <c r="O481" s="20"/>
      <c r="P481" s="20"/>
      <c r="Q481" s="20"/>
      <c r="R481" s="20"/>
      <c r="S481" s="20"/>
      <c r="T481" s="20"/>
      <c r="U481" s="20"/>
    </row>
    <row r="482">
      <c r="A482" s="20"/>
      <c r="B482" s="20"/>
      <c r="C482" s="20"/>
      <c r="D482" s="20"/>
      <c r="E482" s="20"/>
      <c r="F482" s="20"/>
      <c r="G482" s="20"/>
      <c r="H482" s="20"/>
      <c r="I482" s="20"/>
      <c r="J482" s="20"/>
      <c r="K482" s="20"/>
      <c r="L482" s="20"/>
      <c r="M482" s="20"/>
      <c r="N482" s="20"/>
      <c r="O482" s="20"/>
      <c r="P482" s="20"/>
      <c r="Q482" s="20"/>
      <c r="R482" s="20"/>
      <c r="S482" s="20"/>
      <c r="T482" s="20"/>
      <c r="U482" s="20"/>
    </row>
    <row r="483">
      <c r="A483" s="20"/>
      <c r="B483" s="20"/>
      <c r="C483" s="20"/>
      <c r="D483" s="20"/>
      <c r="E483" s="20"/>
      <c r="F483" s="20"/>
      <c r="G483" s="20"/>
      <c r="H483" s="20"/>
      <c r="I483" s="20"/>
      <c r="J483" s="20"/>
      <c r="K483" s="20"/>
      <c r="L483" s="20"/>
      <c r="M483" s="20"/>
      <c r="N483" s="20"/>
      <c r="O483" s="20"/>
      <c r="P483" s="20"/>
      <c r="Q483" s="20"/>
      <c r="R483" s="20"/>
      <c r="S483" s="20"/>
      <c r="T483" s="20"/>
      <c r="U483" s="20"/>
    </row>
    <row r="484">
      <c r="A484" s="20"/>
      <c r="B484" s="20"/>
      <c r="C484" s="20"/>
      <c r="D484" s="20"/>
      <c r="E484" s="20"/>
      <c r="F484" s="20"/>
      <c r="G484" s="20"/>
      <c r="H484" s="20"/>
      <c r="I484" s="20"/>
      <c r="J484" s="20"/>
      <c r="K484" s="20"/>
      <c r="L484" s="20"/>
      <c r="M484" s="20"/>
      <c r="N484" s="20"/>
      <c r="O484" s="20"/>
      <c r="P484" s="20"/>
      <c r="Q484" s="20"/>
      <c r="R484" s="20"/>
      <c r="S484" s="20"/>
      <c r="T484" s="20"/>
      <c r="U484" s="20"/>
    </row>
    <row r="485">
      <c r="A485" s="20"/>
      <c r="B485" s="20"/>
      <c r="C485" s="20"/>
      <c r="D485" s="20"/>
      <c r="E485" s="20"/>
      <c r="F485" s="20"/>
      <c r="G485" s="20"/>
      <c r="H485" s="20"/>
      <c r="I485" s="20"/>
      <c r="J485" s="20"/>
      <c r="K485" s="20"/>
      <c r="L485" s="20"/>
      <c r="M485" s="20"/>
      <c r="N485" s="20"/>
      <c r="O485" s="20"/>
      <c r="P485" s="20"/>
      <c r="Q485" s="20"/>
      <c r="R485" s="20"/>
      <c r="S485" s="20"/>
      <c r="T485" s="20"/>
      <c r="U485" s="20"/>
    </row>
    <row r="486">
      <c r="A486" s="20"/>
      <c r="B486" s="20"/>
      <c r="C486" s="20"/>
      <c r="D486" s="20"/>
      <c r="E486" s="20"/>
      <c r="F486" s="20"/>
      <c r="G486" s="20"/>
      <c r="H486" s="20"/>
      <c r="I486" s="20"/>
      <c r="J486" s="20"/>
      <c r="K486" s="20"/>
      <c r="L486" s="20"/>
      <c r="M486" s="20"/>
      <c r="N486" s="20"/>
      <c r="O486" s="20"/>
      <c r="P486" s="20"/>
      <c r="Q486" s="20"/>
      <c r="R486" s="20"/>
      <c r="S486" s="20"/>
      <c r="T486" s="20"/>
      <c r="U486" s="20"/>
    </row>
    <row r="487">
      <c r="A487" s="20"/>
      <c r="B487" s="20"/>
      <c r="C487" s="20"/>
      <c r="D487" s="20"/>
      <c r="E487" s="20"/>
      <c r="F487" s="20"/>
      <c r="G487" s="20"/>
      <c r="H487" s="20"/>
      <c r="I487" s="20"/>
      <c r="J487" s="20"/>
      <c r="K487" s="20"/>
      <c r="L487" s="20"/>
      <c r="M487" s="20"/>
      <c r="N487" s="20"/>
      <c r="O487" s="20"/>
      <c r="P487" s="20"/>
      <c r="Q487" s="20"/>
      <c r="R487" s="20"/>
      <c r="S487" s="20"/>
      <c r="T487" s="20"/>
      <c r="U487" s="20"/>
    </row>
    <row r="488">
      <c r="A488" s="20"/>
      <c r="B488" s="20"/>
      <c r="C488" s="20"/>
      <c r="D488" s="20"/>
      <c r="E488" s="20"/>
      <c r="F488" s="20"/>
      <c r="G488" s="20"/>
      <c r="H488" s="20"/>
      <c r="I488" s="20"/>
      <c r="J488" s="20"/>
      <c r="K488" s="20"/>
      <c r="L488" s="20"/>
      <c r="M488" s="20"/>
      <c r="N488" s="20"/>
      <c r="O488" s="20"/>
      <c r="P488" s="20"/>
      <c r="Q488" s="20"/>
      <c r="R488" s="20"/>
      <c r="S488" s="20"/>
      <c r="T488" s="20"/>
      <c r="U488" s="20"/>
    </row>
    <row r="489">
      <c r="A489" s="20"/>
      <c r="B489" s="20"/>
      <c r="C489" s="20"/>
      <c r="D489" s="20"/>
      <c r="E489" s="20"/>
      <c r="F489" s="20"/>
      <c r="G489" s="20"/>
      <c r="H489" s="20"/>
      <c r="I489" s="20"/>
      <c r="J489" s="20"/>
      <c r="K489" s="20"/>
      <c r="L489" s="20"/>
      <c r="M489" s="20"/>
      <c r="N489" s="20"/>
      <c r="O489" s="20"/>
      <c r="P489" s="20"/>
      <c r="Q489" s="20"/>
      <c r="R489" s="20"/>
      <c r="S489" s="20"/>
      <c r="T489" s="20"/>
      <c r="U489" s="20"/>
    </row>
    <row r="490">
      <c r="A490" s="20"/>
      <c r="B490" s="20"/>
      <c r="C490" s="20"/>
      <c r="D490" s="20"/>
      <c r="E490" s="20"/>
      <c r="F490" s="20"/>
      <c r="G490" s="20"/>
      <c r="H490" s="20"/>
      <c r="I490" s="20"/>
      <c r="J490" s="20"/>
      <c r="K490" s="20"/>
      <c r="L490" s="20"/>
      <c r="M490" s="20"/>
      <c r="N490" s="20"/>
      <c r="O490" s="20"/>
      <c r="P490" s="20"/>
      <c r="Q490" s="20"/>
      <c r="R490" s="20"/>
      <c r="S490" s="20"/>
      <c r="T490" s="20"/>
      <c r="U490" s="20"/>
    </row>
    <row r="491">
      <c r="A491" s="20"/>
      <c r="B491" s="20"/>
      <c r="C491" s="20"/>
      <c r="D491" s="20"/>
      <c r="E491" s="20"/>
      <c r="F491" s="20"/>
      <c r="G491" s="20"/>
      <c r="H491" s="20"/>
      <c r="I491" s="20"/>
      <c r="J491" s="20"/>
      <c r="K491" s="20"/>
      <c r="L491" s="20"/>
      <c r="M491" s="20"/>
      <c r="N491" s="20"/>
      <c r="O491" s="20"/>
      <c r="P491" s="20"/>
      <c r="Q491" s="20"/>
      <c r="R491" s="20"/>
      <c r="S491" s="20"/>
      <c r="T491" s="20"/>
      <c r="U491" s="20"/>
    </row>
    <row r="492">
      <c r="A492" s="20"/>
      <c r="B492" s="20"/>
      <c r="C492" s="20"/>
      <c r="D492" s="20"/>
      <c r="E492" s="20"/>
      <c r="F492" s="20"/>
      <c r="G492" s="20"/>
      <c r="H492" s="20"/>
      <c r="I492" s="20"/>
      <c r="J492" s="20"/>
      <c r="K492" s="20"/>
      <c r="L492" s="20"/>
      <c r="M492" s="20"/>
      <c r="N492" s="20"/>
      <c r="O492" s="20"/>
      <c r="P492" s="20"/>
      <c r="Q492" s="20"/>
      <c r="R492" s="20"/>
      <c r="S492" s="20"/>
      <c r="T492" s="20"/>
      <c r="U492" s="20"/>
    </row>
    <row r="493">
      <c r="A493" s="20"/>
      <c r="B493" s="20"/>
      <c r="C493" s="20"/>
      <c r="D493" s="20"/>
      <c r="E493" s="20"/>
      <c r="F493" s="20"/>
      <c r="G493" s="20"/>
      <c r="H493" s="20"/>
      <c r="I493" s="20"/>
      <c r="J493" s="20"/>
      <c r="K493" s="20"/>
      <c r="L493" s="20"/>
      <c r="M493" s="20"/>
      <c r="N493" s="20"/>
      <c r="O493" s="20"/>
      <c r="P493" s="20"/>
      <c r="Q493" s="20"/>
      <c r="R493" s="20"/>
      <c r="S493" s="20"/>
      <c r="T493" s="20"/>
      <c r="U493" s="20"/>
    </row>
    <row r="494">
      <c r="A494" s="20"/>
      <c r="B494" s="20"/>
      <c r="C494" s="20"/>
      <c r="D494" s="20"/>
      <c r="E494" s="20"/>
      <c r="F494" s="20"/>
      <c r="G494" s="20"/>
      <c r="H494" s="20"/>
      <c r="I494" s="20"/>
      <c r="J494" s="20"/>
      <c r="K494" s="20"/>
      <c r="L494" s="20"/>
      <c r="M494" s="20"/>
      <c r="N494" s="20"/>
      <c r="O494" s="20"/>
      <c r="P494" s="20"/>
      <c r="Q494" s="20"/>
      <c r="R494" s="20"/>
      <c r="S494" s="20"/>
      <c r="T494" s="20"/>
      <c r="U494" s="20"/>
    </row>
    <row r="495">
      <c r="A495" s="20"/>
      <c r="B495" s="20"/>
      <c r="C495" s="20"/>
      <c r="D495" s="20"/>
      <c r="E495" s="20"/>
      <c r="F495" s="20"/>
      <c r="G495" s="20"/>
      <c r="H495" s="20"/>
      <c r="I495" s="20"/>
      <c r="J495" s="20"/>
      <c r="K495" s="20"/>
      <c r="L495" s="20"/>
      <c r="M495" s="20"/>
      <c r="N495" s="20"/>
      <c r="O495" s="20"/>
      <c r="P495" s="20"/>
      <c r="Q495" s="20"/>
      <c r="R495" s="20"/>
      <c r="S495" s="20"/>
      <c r="T495" s="20"/>
      <c r="U495" s="20"/>
    </row>
    <row r="496">
      <c r="A496" s="20"/>
      <c r="B496" s="20"/>
      <c r="C496" s="20"/>
      <c r="D496" s="20"/>
      <c r="E496" s="20"/>
      <c r="F496" s="20"/>
      <c r="G496" s="20"/>
      <c r="H496" s="20"/>
      <c r="I496" s="20"/>
      <c r="J496" s="20"/>
      <c r="K496" s="20"/>
      <c r="L496" s="20"/>
      <c r="M496" s="20"/>
      <c r="N496" s="20"/>
      <c r="O496" s="20"/>
      <c r="P496" s="20"/>
      <c r="Q496" s="20"/>
      <c r="R496" s="20"/>
      <c r="S496" s="20"/>
      <c r="T496" s="20"/>
      <c r="U496" s="20"/>
    </row>
    <row r="497">
      <c r="A497" s="20"/>
      <c r="B497" s="20"/>
      <c r="C497" s="20"/>
      <c r="D497" s="20"/>
      <c r="E497" s="20"/>
      <c r="F497" s="20"/>
      <c r="G497" s="20"/>
      <c r="H497" s="20"/>
      <c r="I497" s="20"/>
      <c r="J497" s="20"/>
      <c r="K497" s="20"/>
      <c r="L497" s="20"/>
      <c r="M497" s="20"/>
      <c r="N497" s="20"/>
      <c r="O497" s="20"/>
      <c r="P497" s="20"/>
      <c r="Q497" s="20"/>
      <c r="R497" s="20"/>
      <c r="S497" s="20"/>
      <c r="T497" s="20"/>
      <c r="U497" s="20"/>
    </row>
    <row r="498">
      <c r="A498" s="20"/>
      <c r="B498" s="20"/>
      <c r="C498" s="20"/>
      <c r="D498" s="20"/>
      <c r="E498" s="20"/>
      <c r="F498" s="20"/>
      <c r="G498" s="20"/>
      <c r="H498" s="20"/>
      <c r="I498" s="20"/>
      <c r="J498" s="20"/>
      <c r="K498" s="20"/>
      <c r="L498" s="20"/>
      <c r="M498" s="20"/>
      <c r="N498" s="20"/>
      <c r="O498" s="20"/>
      <c r="P498" s="20"/>
      <c r="Q498" s="20"/>
      <c r="R498" s="20"/>
      <c r="S498" s="20"/>
      <c r="T498" s="20"/>
      <c r="U498" s="20"/>
    </row>
    <row r="499">
      <c r="A499" s="20"/>
      <c r="B499" s="20"/>
      <c r="C499" s="20"/>
      <c r="D499" s="20"/>
      <c r="E499" s="20"/>
      <c r="F499" s="20"/>
      <c r="G499" s="20"/>
      <c r="H499" s="20"/>
      <c r="I499" s="20"/>
      <c r="J499" s="20"/>
      <c r="K499" s="20"/>
      <c r="L499" s="20"/>
      <c r="M499" s="20"/>
      <c r="N499" s="20"/>
      <c r="O499" s="20"/>
      <c r="P499" s="20"/>
      <c r="Q499" s="20"/>
      <c r="R499" s="20"/>
      <c r="S499" s="20"/>
      <c r="T499" s="20"/>
      <c r="U499" s="20"/>
    </row>
    <row r="500">
      <c r="A500" s="20"/>
      <c r="B500" s="20"/>
      <c r="C500" s="20"/>
      <c r="D500" s="20"/>
      <c r="E500" s="20"/>
      <c r="F500" s="20"/>
      <c r="G500" s="20"/>
      <c r="H500" s="20"/>
      <c r="I500" s="20"/>
      <c r="J500" s="20"/>
      <c r="K500" s="20"/>
      <c r="L500" s="20"/>
      <c r="M500" s="20"/>
      <c r="N500" s="20"/>
      <c r="O500" s="20"/>
      <c r="P500" s="20"/>
      <c r="Q500" s="20"/>
      <c r="R500" s="20"/>
      <c r="S500" s="20"/>
      <c r="T500" s="20"/>
      <c r="U500" s="20"/>
    </row>
    <row r="501">
      <c r="A501" s="20"/>
      <c r="B501" s="20"/>
      <c r="C501" s="20"/>
      <c r="D501" s="20"/>
      <c r="E501" s="20"/>
      <c r="F501" s="20"/>
      <c r="G501" s="20"/>
      <c r="H501" s="20"/>
      <c r="I501" s="20"/>
      <c r="J501" s="20"/>
      <c r="K501" s="20"/>
      <c r="L501" s="20"/>
      <c r="M501" s="20"/>
      <c r="N501" s="20"/>
      <c r="O501" s="20"/>
      <c r="P501" s="20"/>
      <c r="Q501" s="20"/>
      <c r="R501" s="20"/>
      <c r="S501" s="20"/>
      <c r="T501" s="20"/>
      <c r="U501" s="20"/>
    </row>
    <row r="502">
      <c r="A502" s="20"/>
      <c r="B502" s="20"/>
      <c r="C502" s="20"/>
      <c r="D502" s="20"/>
      <c r="E502" s="20"/>
      <c r="F502" s="20"/>
      <c r="G502" s="20"/>
      <c r="H502" s="20"/>
      <c r="I502" s="20"/>
      <c r="J502" s="20"/>
      <c r="K502" s="20"/>
      <c r="L502" s="20"/>
      <c r="M502" s="20"/>
      <c r="N502" s="20"/>
      <c r="O502" s="20"/>
      <c r="P502" s="20"/>
      <c r="Q502" s="20"/>
      <c r="R502" s="20"/>
      <c r="S502" s="20"/>
      <c r="T502" s="20"/>
      <c r="U502" s="20"/>
    </row>
    <row r="503">
      <c r="A503" s="20"/>
      <c r="B503" s="20"/>
      <c r="C503" s="20"/>
      <c r="D503" s="20"/>
      <c r="E503" s="20"/>
      <c r="F503" s="20"/>
      <c r="G503" s="20"/>
      <c r="H503" s="20"/>
      <c r="I503" s="20"/>
      <c r="J503" s="20"/>
      <c r="K503" s="20"/>
      <c r="L503" s="20"/>
      <c r="M503" s="20"/>
      <c r="N503" s="20"/>
      <c r="O503" s="20"/>
      <c r="P503" s="20"/>
      <c r="Q503" s="20"/>
      <c r="R503" s="20"/>
      <c r="S503" s="20"/>
      <c r="T503" s="20"/>
      <c r="U503" s="20"/>
    </row>
    <row r="504">
      <c r="A504" s="20"/>
      <c r="B504" s="20"/>
      <c r="C504" s="20"/>
      <c r="D504" s="20"/>
      <c r="E504" s="20"/>
      <c r="F504" s="20"/>
      <c r="G504" s="20"/>
      <c r="H504" s="20"/>
      <c r="I504" s="20"/>
      <c r="J504" s="20"/>
      <c r="K504" s="20"/>
      <c r="L504" s="20"/>
      <c r="M504" s="20"/>
      <c r="N504" s="20"/>
      <c r="O504" s="20"/>
      <c r="P504" s="20"/>
      <c r="Q504" s="20"/>
      <c r="R504" s="20"/>
      <c r="S504" s="20"/>
      <c r="T504" s="20"/>
      <c r="U504" s="20"/>
    </row>
    <row r="505">
      <c r="A505" s="20"/>
      <c r="B505" s="20"/>
      <c r="C505" s="20"/>
      <c r="D505" s="20"/>
      <c r="E505" s="20"/>
      <c r="F505" s="20"/>
      <c r="G505" s="20"/>
      <c r="H505" s="20"/>
      <c r="I505" s="20"/>
      <c r="J505" s="20"/>
      <c r="K505" s="20"/>
      <c r="L505" s="20"/>
      <c r="M505" s="20"/>
      <c r="N505" s="20"/>
      <c r="O505" s="20"/>
      <c r="P505" s="20"/>
      <c r="Q505" s="20"/>
      <c r="R505" s="20"/>
      <c r="S505" s="20"/>
      <c r="T505" s="20"/>
      <c r="U505" s="20"/>
    </row>
    <row r="506">
      <c r="A506" s="20"/>
      <c r="B506" s="20"/>
      <c r="C506" s="20"/>
      <c r="D506" s="20"/>
      <c r="E506" s="20"/>
      <c r="F506" s="20"/>
      <c r="G506" s="20"/>
      <c r="H506" s="20"/>
      <c r="I506" s="20"/>
      <c r="J506" s="20"/>
      <c r="K506" s="20"/>
      <c r="L506" s="20"/>
      <c r="M506" s="20"/>
      <c r="N506" s="20"/>
      <c r="O506" s="20"/>
      <c r="P506" s="20"/>
      <c r="Q506" s="20"/>
      <c r="R506" s="20"/>
      <c r="S506" s="20"/>
      <c r="T506" s="20"/>
      <c r="U506" s="20"/>
    </row>
    <row r="507">
      <c r="A507" s="20"/>
      <c r="B507" s="20"/>
      <c r="C507" s="20"/>
      <c r="D507" s="20"/>
      <c r="E507" s="20"/>
      <c r="F507" s="20"/>
      <c r="G507" s="20"/>
      <c r="H507" s="20"/>
      <c r="I507" s="20"/>
      <c r="J507" s="20"/>
      <c r="K507" s="20"/>
      <c r="L507" s="20"/>
      <c r="M507" s="20"/>
      <c r="N507" s="20"/>
      <c r="O507" s="20"/>
      <c r="P507" s="20"/>
      <c r="Q507" s="20"/>
      <c r="R507" s="20"/>
      <c r="S507" s="20"/>
      <c r="T507" s="20"/>
      <c r="U507" s="20"/>
    </row>
    <row r="508">
      <c r="A508" s="20"/>
      <c r="B508" s="20"/>
      <c r="C508" s="20"/>
      <c r="D508" s="20"/>
      <c r="E508" s="20"/>
      <c r="F508" s="20"/>
      <c r="G508" s="20"/>
      <c r="H508" s="20"/>
      <c r="I508" s="20"/>
      <c r="J508" s="20"/>
      <c r="K508" s="20"/>
      <c r="L508" s="20"/>
      <c r="M508" s="20"/>
      <c r="N508" s="20"/>
      <c r="O508" s="20"/>
      <c r="P508" s="20"/>
      <c r="Q508" s="20"/>
      <c r="R508" s="20"/>
      <c r="S508" s="20"/>
      <c r="T508" s="20"/>
      <c r="U508" s="20"/>
    </row>
    <row r="509">
      <c r="A509" s="20"/>
      <c r="B509" s="20"/>
      <c r="C509" s="20"/>
      <c r="D509" s="20"/>
      <c r="E509" s="20"/>
      <c r="F509" s="20"/>
      <c r="G509" s="20"/>
      <c r="H509" s="20"/>
      <c r="I509" s="20"/>
      <c r="J509" s="20"/>
      <c r="K509" s="20"/>
      <c r="L509" s="20"/>
      <c r="M509" s="20"/>
      <c r="N509" s="20"/>
      <c r="O509" s="20"/>
      <c r="P509" s="20"/>
      <c r="Q509" s="20"/>
      <c r="R509" s="20"/>
      <c r="S509" s="20"/>
      <c r="T509" s="20"/>
      <c r="U509" s="20"/>
    </row>
    <row r="510">
      <c r="A510" s="20"/>
      <c r="B510" s="20"/>
      <c r="C510" s="20"/>
      <c r="D510" s="20"/>
      <c r="E510" s="20"/>
      <c r="F510" s="20"/>
      <c r="G510" s="20"/>
      <c r="H510" s="20"/>
      <c r="I510" s="20"/>
      <c r="J510" s="20"/>
      <c r="K510" s="20"/>
      <c r="L510" s="20"/>
      <c r="M510" s="20"/>
      <c r="N510" s="20"/>
      <c r="O510" s="20"/>
      <c r="P510" s="20"/>
      <c r="Q510" s="20"/>
      <c r="R510" s="20"/>
      <c r="S510" s="20"/>
      <c r="T510" s="20"/>
      <c r="U510" s="20"/>
    </row>
    <row r="511">
      <c r="A511" s="20"/>
      <c r="B511" s="20"/>
      <c r="C511" s="20"/>
      <c r="D511" s="20"/>
      <c r="E511" s="20"/>
      <c r="F511" s="20"/>
      <c r="G511" s="20"/>
      <c r="H511" s="20"/>
      <c r="I511" s="20"/>
      <c r="J511" s="20"/>
      <c r="K511" s="20"/>
      <c r="L511" s="20"/>
      <c r="M511" s="20"/>
      <c r="N511" s="20"/>
      <c r="O511" s="20"/>
      <c r="P511" s="20"/>
      <c r="Q511" s="20"/>
      <c r="R511" s="20"/>
      <c r="S511" s="20"/>
      <c r="T511" s="20"/>
      <c r="U511" s="20"/>
    </row>
    <row r="512">
      <c r="A512" s="20"/>
      <c r="B512" s="20"/>
      <c r="C512" s="20"/>
      <c r="D512" s="20"/>
      <c r="E512" s="20"/>
      <c r="F512" s="20"/>
      <c r="G512" s="20"/>
      <c r="H512" s="20"/>
      <c r="I512" s="20"/>
      <c r="J512" s="20"/>
      <c r="K512" s="20"/>
      <c r="L512" s="20"/>
      <c r="M512" s="20"/>
      <c r="N512" s="20"/>
      <c r="O512" s="20"/>
      <c r="P512" s="20"/>
      <c r="Q512" s="20"/>
      <c r="R512" s="20"/>
      <c r="S512" s="20"/>
      <c r="T512" s="20"/>
      <c r="U512" s="20"/>
    </row>
    <row r="513">
      <c r="A513" s="20"/>
      <c r="B513" s="20"/>
      <c r="C513" s="20"/>
      <c r="D513" s="20"/>
      <c r="E513" s="20"/>
      <c r="F513" s="20"/>
      <c r="G513" s="20"/>
      <c r="H513" s="20"/>
      <c r="I513" s="20"/>
      <c r="J513" s="20"/>
      <c r="K513" s="20"/>
      <c r="L513" s="20"/>
      <c r="M513" s="20"/>
      <c r="N513" s="20"/>
      <c r="O513" s="20"/>
      <c r="P513" s="20"/>
      <c r="Q513" s="20"/>
      <c r="R513" s="20"/>
      <c r="S513" s="20"/>
      <c r="T513" s="20"/>
      <c r="U513" s="20"/>
    </row>
    <row r="514">
      <c r="A514" s="20"/>
      <c r="B514" s="20"/>
      <c r="C514" s="20"/>
      <c r="D514" s="20"/>
      <c r="E514" s="20"/>
      <c r="F514" s="20"/>
      <c r="G514" s="20"/>
      <c r="H514" s="20"/>
      <c r="I514" s="20"/>
      <c r="J514" s="20"/>
      <c r="K514" s="20"/>
      <c r="L514" s="20"/>
      <c r="M514" s="20"/>
      <c r="N514" s="20"/>
      <c r="O514" s="20"/>
      <c r="P514" s="20"/>
      <c r="Q514" s="20"/>
      <c r="R514" s="20"/>
      <c r="S514" s="20"/>
      <c r="T514" s="20"/>
      <c r="U514" s="20"/>
    </row>
    <row r="515">
      <c r="A515" s="20"/>
      <c r="B515" s="20"/>
      <c r="C515" s="20"/>
      <c r="D515" s="20"/>
      <c r="E515" s="20"/>
      <c r="F515" s="20"/>
      <c r="G515" s="20"/>
      <c r="H515" s="20"/>
      <c r="I515" s="20"/>
      <c r="J515" s="20"/>
      <c r="K515" s="20"/>
      <c r="L515" s="20"/>
      <c r="M515" s="20"/>
      <c r="N515" s="20"/>
      <c r="O515" s="20"/>
      <c r="P515" s="20"/>
      <c r="Q515" s="20"/>
      <c r="R515" s="20"/>
      <c r="S515" s="20"/>
      <c r="T515" s="20"/>
      <c r="U515" s="20"/>
    </row>
    <row r="516">
      <c r="A516" s="20"/>
      <c r="B516" s="20"/>
      <c r="C516" s="20"/>
      <c r="D516" s="20"/>
      <c r="E516" s="20"/>
      <c r="F516" s="20"/>
      <c r="G516" s="20"/>
      <c r="H516" s="20"/>
      <c r="I516" s="20"/>
      <c r="J516" s="20"/>
      <c r="K516" s="20"/>
      <c r="L516" s="20"/>
      <c r="M516" s="20"/>
      <c r="N516" s="20"/>
      <c r="O516" s="20"/>
      <c r="P516" s="20"/>
      <c r="Q516" s="20"/>
      <c r="R516" s="20"/>
      <c r="S516" s="20"/>
      <c r="T516" s="20"/>
      <c r="U516" s="20"/>
    </row>
    <row r="517">
      <c r="A517" s="20"/>
      <c r="B517" s="20"/>
      <c r="C517" s="20"/>
      <c r="D517" s="20"/>
      <c r="E517" s="20"/>
      <c r="F517" s="20"/>
      <c r="G517" s="20"/>
      <c r="H517" s="20"/>
      <c r="I517" s="20"/>
      <c r="J517" s="20"/>
      <c r="K517" s="20"/>
      <c r="L517" s="20"/>
      <c r="M517" s="20"/>
      <c r="N517" s="20"/>
      <c r="O517" s="20"/>
      <c r="P517" s="20"/>
      <c r="Q517" s="20"/>
      <c r="R517" s="20"/>
      <c r="S517" s="20"/>
      <c r="T517" s="20"/>
      <c r="U517" s="20"/>
    </row>
    <row r="518">
      <c r="A518" s="20"/>
      <c r="B518" s="20"/>
      <c r="C518" s="20"/>
      <c r="D518" s="20"/>
      <c r="E518" s="20"/>
      <c r="F518" s="20"/>
      <c r="G518" s="20"/>
      <c r="H518" s="20"/>
      <c r="I518" s="20"/>
      <c r="J518" s="20"/>
      <c r="K518" s="20"/>
      <c r="L518" s="20"/>
      <c r="M518" s="20"/>
      <c r="N518" s="20"/>
      <c r="O518" s="20"/>
      <c r="P518" s="20"/>
      <c r="Q518" s="20"/>
      <c r="R518" s="20"/>
      <c r="S518" s="20"/>
      <c r="T518" s="20"/>
      <c r="U518" s="20"/>
    </row>
    <row r="519">
      <c r="A519" s="20"/>
      <c r="B519" s="20"/>
      <c r="C519" s="20"/>
      <c r="D519" s="20"/>
      <c r="E519" s="20"/>
      <c r="F519" s="20"/>
      <c r="G519" s="20"/>
      <c r="H519" s="20"/>
      <c r="I519" s="20"/>
      <c r="J519" s="20"/>
      <c r="K519" s="20"/>
      <c r="L519" s="20"/>
      <c r="M519" s="20"/>
      <c r="N519" s="20"/>
      <c r="O519" s="20"/>
      <c r="P519" s="20"/>
      <c r="Q519" s="20"/>
      <c r="R519" s="20"/>
      <c r="S519" s="20"/>
      <c r="T519" s="20"/>
      <c r="U519" s="20"/>
    </row>
    <row r="520">
      <c r="A520" s="20"/>
      <c r="B520" s="20"/>
      <c r="C520" s="20"/>
      <c r="D520" s="20"/>
      <c r="E520" s="20"/>
      <c r="F520" s="20"/>
      <c r="G520" s="20"/>
      <c r="H520" s="20"/>
      <c r="I520" s="20"/>
      <c r="J520" s="20"/>
      <c r="K520" s="20"/>
      <c r="L520" s="20"/>
      <c r="M520" s="20"/>
      <c r="N520" s="20"/>
      <c r="O520" s="20"/>
      <c r="P520" s="20"/>
      <c r="Q520" s="20"/>
      <c r="R520" s="20"/>
      <c r="S520" s="20"/>
      <c r="T520" s="20"/>
      <c r="U520" s="20"/>
    </row>
    <row r="521">
      <c r="A521" s="20"/>
      <c r="B521" s="20"/>
      <c r="C521" s="20"/>
      <c r="D521" s="20"/>
      <c r="E521" s="20"/>
      <c r="F521" s="20"/>
      <c r="G521" s="20"/>
      <c r="H521" s="20"/>
      <c r="I521" s="20"/>
      <c r="J521" s="20"/>
      <c r="K521" s="20"/>
      <c r="L521" s="20"/>
      <c r="M521" s="20"/>
      <c r="N521" s="20"/>
      <c r="O521" s="20"/>
      <c r="P521" s="20"/>
      <c r="Q521" s="20"/>
      <c r="R521" s="20"/>
      <c r="S521" s="20"/>
      <c r="T521" s="20"/>
      <c r="U521" s="20"/>
    </row>
    <row r="522">
      <c r="A522" s="20"/>
      <c r="B522" s="20"/>
      <c r="C522" s="20"/>
      <c r="D522" s="20"/>
      <c r="E522" s="20"/>
      <c r="F522" s="20"/>
      <c r="G522" s="20"/>
      <c r="H522" s="20"/>
      <c r="I522" s="20"/>
      <c r="J522" s="20"/>
      <c r="K522" s="20"/>
      <c r="L522" s="20"/>
      <c r="M522" s="20"/>
      <c r="N522" s="20"/>
      <c r="O522" s="20"/>
      <c r="P522" s="20"/>
      <c r="Q522" s="20"/>
      <c r="R522" s="20"/>
      <c r="S522" s="20"/>
      <c r="T522" s="20"/>
      <c r="U522" s="20"/>
    </row>
    <row r="523">
      <c r="A523" s="20"/>
      <c r="B523" s="20"/>
      <c r="C523" s="20"/>
      <c r="D523" s="20"/>
      <c r="E523" s="20"/>
      <c r="F523" s="20"/>
      <c r="G523" s="20"/>
      <c r="H523" s="20"/>
      <c r="I523" s="20"/>
      <c r="J523" s="20"/>
      <c r="K523" s="20"/>
      <c r="L523" s="20"/>
      <c r="M523" s="20"/>
      <c r="N523" s="20"/>
      <c r="O523" s="20"/>
      <c r="P523" s="20"/>
      <c r="Q523" s="20"/>
      <c r="R523" s="20"/>
      <c r="S523" s="20"/>
      <c r="T523" s="20"/>
      <c r="U523" s="20"/>
    </row>
    <row r="524">
      <c r="A524" s="20"/>
      <c r="B524" s="20"/>
      <c r="C524" s="20"/>
      <c r="D524" s="20"/>
      <c r="E524" s="20"/>
      <c r="F524" s="20"/>
      <c r="G524" s="20"/>
      <c r="H524" s="20"/>
      <c r="I524" s="20"/>
      <c r="J524" s="20"/>
      <c r="K524" s="20"/>
      <c r="L524" s="20"/>
      <c r="M524" s="20"/>
      <c r="N524" s="20"/>
      <c r="O524" s="20"/>
      <c r="P524" s="20"/>
      <c r="Q524" s="20"/>
      <c r="R524" s="20"/>
      <c r="S524" s="20"/>
      <c r="T524" s="20"/>
      <c r="U524" s="20"/>
    </row>
    <row r="525">
      <c r="A525" s="20"/>
      <c r="B525" s="20"/>
      <c r="C525" s="20"/>
      <c r="D525" s="20"/>
      <c r="E525" s="20"/>
      <c r="F525" s="20"/>
      <c r="G525" s="20"/>
      <c r="H525" s="20"/>
      <c r="I525" s="20"/>
      <c r="J525" s="20"/>
      <c r="K525" s="20"/>
      <c r="L525" s="20"/>
      <c r="M525" s="20"/>
      <c r="N525" s="20"/>
      <c r="O525" s="20"/>
      <c r="P525" s="20"/>
      <c r="Q525" s="20"/>
      <c r="R525" s="20"/>
      <c r="S525" s="20"/>
      <c r="T525" s="20"/>
      <c r="U525" s="20"/>
    </row>
    <row r="526">
      <c r="A526" s="20"/>
      <c r="B526" s="20"/>
      <c r="C526" s="20"/>
      <c r="D526" s="20"/>
      <c r="E526" s="20"/>
      <c r="F526" s="20"/>
      <c r="G526" s="20"/>
      <c r="H526" s="20"/>
      <c r="I526" s="20"/>
      <c r="J526" s="20"/>
      <c r="K526" s="20"/>
      <c r="L526" s="20"/>
      <c r="M526" s="20"/>
      <c r="N526" s="20"/>
      <c r="O526" s="20"/>
      <c r="P526" s="20"/>
      <c r="Q526" s="20"/>
      <c r="R526" s="20"/>
      <c r="S526" s="20"/>
      <c r="T526" s="20"/>
      <c r="U526" s="20"/>
    </row>
    <row r="527">
      <c r="A527" s="20"/>
      <c r="B527" s="20"/>
      <c r="C527" s="20"/>
      <c r="D527" s="20"/>
      <c r="E527" s="20"/>
      <c r="F527" s="20"/>
      <c r="G527" s="20"/>
      <c r="H527" s="20"/>
      <c r="I527" s="20"/>
      <c r="J527" s="20"/>
      <c r="K527" s="20"/>
      <c r="L527" s="20"/>
      <c r="M527" s="20"/>
      <c r="N527" s="20"/>
      <c r="O527" s="20"/>
      <c r="P527" s="20"/>
      <c r="Q527" s="20"/>
      <c r="R527" s="20"/>
      <c r="S527" s="20"/>
      <c r="T527" s="20"/>
      <c r="U527" s="20"/>
    </row>
    <row r="528">
      <c r="A528" s="20"/>
      <c r="B528" s="20"/>
      <c r="C528" s="20"/>
      <c r="D528" s="20"/>
      <c r="E528" s="20"/>
      <c r="F528" s="20"/>
      <c r="G528" s="20"/>
      <c r="H528" s="20"/>
      <c r="I528" s="20"/>
      <c r="J528" s="20"/>
      <c r="K528" s="20"/>
      <c r="L528" s="20"/>
      <c r="M528" s="20"/>
      <c r="N528" s="20"/>
      <c r="O528" s="20"/>
      <c r="P528" s="20"/>
      <c r="Q528" s="20"/>
      <c r="R528" s="20"/>
      <c r="S528" s="20"/>
      <c r="T528" s="20"/>
      <c r="U528" s="20"/>
    </row>
    <row r="529">
      <c r="A529" s="20"/>
      <c r="B529" s="20"/>
      <c r="C529" s="20"/>
      <c r="D529" s="20"/>
      <c r="E529" s="20"/>
      <c r="F529" s="20"/>
      <c r="G529" s="20"/>
      <c r="H529" s="20"/>
      <c r="I529" s="20"/>
      <c r="J529" s="20"/>
      <c r="K529" s="20"/>
      <c r="L529" s="20"/>
      <c r="M529" s="20"/>
      <c r="N529" s="20"/>
      <c r="O529" s="20"/>
      <c r="P529" s="20"/>
      <c r="Q529" s="20"/>
      <c r="R529" s="20"/>
      <c r="S529" s="20"/>
      <c r="T529" s="20"/>
      <c r="U529" s="20"/>
    </row>
    <row r="530">
      <c r="A530" s="20"/>
      <c r="B530" s="20"/>
      <c r="C530" s="20"/>
      <c r="D530" s="20"/>
      <c r="E530" s="20"/>
      <c r="F530" s="20"/>
      <c r="G530" s="20"/>
      <c r="H530" s="20"/>
      <c r="I530" s="20"/>
      <c r="J530" s="20"/>
      <c r="K530" s="20"/>
      <c r="L530" s="20"/>
      <c r="M530" s="20"/>
      <c r="N530" s="20"/>
      <c r="O530" s="20"/>
      <c r="P530" s="20"/>
      <c r="Q530" s="20"/>
      <c r="R530" s="20"/>
      <c r="S530" s="20"/>
      <c r="T530" s="20"/>
      <c r="U530" s="20"/>
    </row>
    <row r="531">
      <c r="A531" s="20"/>
      <c r="B531" s="20"/>
      <c r="C531" s="20"/>
      <c r="D531" s="20"/>
      <c r="E531" s="20"/>
      <c r="F531" s="20"/>
      <c r="G531" s="20"/>
      <c r="H531" s="20"/>
      <c r="I531" s="20"/>
      <c r="J531" s="20"/>
      <c r="K531" s="20"/>
      <c r="L531" s="20"/>
      <c r="M531" s="20"/>
      <c r="N531" s="20"/>
      <c r="O531" s="20"/>
      <c r="P531" s="20"/>
      <c r="Q531" s="20"/>
      <c r="R531" s="20"/>
      <c r="S531" s="20"/>
      <c r="T531" s="20"/>
      <c r="U531" s="20"/>
    </row>
    <row r="532">
      <c r="A532" s="20"/>
      <c r="B532" s="20"/>
      <c r="C532" s="20"/>
      <c r="D532" s="20"/>
      <c r="E532" s="20"/>
      <c r="F532" s="20"/>
      <c r="G532" s="20"/>
      <c r="H532" s="20"/>
      <c r="I532" s="20"/>
      <c r="J532" s="20"/>
      <c r="K532" s="20"/>
      <c r="L532" s="20"/>
      <c r="M532" s="20"/>
      <c r="N532" s="20"/>
      <c r="O532" s="20"/>
      <c r="P532" s="20"/>
      <c r="Q532" s="20"/>
      <c r="R532" s="20"/>
      <c r="S532" s="20"/>
      <c r="T532" s="20"/>
      <c r="U532" s="20"/>
    </row>
    <row r="533">
      <c r="A533" s="20"/>
      <c r="B533" s="20"/>
      <c r="C533" s="20"/>
      <c r="D533" s="20"/>
      <c r="E533" s="20"/>
      <c r="F533" s="20"/>
      <c r="G533" s="20"/>
      <c r="H533" s="20"/>
      <c r="I533" s="20"/>
      <c r="J533" s="20"/>
      <c r="K533" s="20"/>
      <c r="L533" s="20"/>
      <c r="M533" s="20"/>
      <c r="N533" s="20"/>
      <c r="O533" s="20"/>
      <c r="P533" s="20"/>
      <c r="Q533" s="20"/>
      <c r="R533" s="20"/>
      <c r="S533" s="20"/>
      <c r="T533" s="20"/>
      <c r="U533" s="20"/>
    </row>
    <row r="534">
      <c r="A534" s="20"/>
      <c r="B534" s="20"/>
      <c r="C534" s="20"/>
      <c r="D534" s="20"/>
      <c r="E534" s="20"/>
      <c r="F534" s="20"/>
      <c r="G534" s="20"/>
      <c r="H534" s="20"/>
      <c r="I534" s="20"/>
      <c r="J534" s="20"/>
      <c r="K534" s="20"/>
      <c r="L534" s="20"/>
      <c r="M534" s="20"/>
      <c r="N534" s="20"/>
      <c r="O534" s="20"/>
      <c r="P534" s="20"/>
      <c r="Q534" s="20"/>
      <c r="R534" s="20"/>
      <c r="S534" s="20"/>
      <c r="T534" s="20"/>
      <c r="U534" s="20"/>
    </row>
    <row r="535">
      <c r="A535" s="20"/>
      <c r="B535" s="20"/>
      <c r="C535" s="20"/>
      <c r="D535" s="20"/>
      <c r="E535" s="20"/>
      <c r="F535" s="20"/>
      <c r="G535" s="20"/>
      <c r="H535" s="20"/>
      <c r="I535" s="20"/>
      <c r="J535" s="20"/>
      <c r="K535" s="20"/>
      <c r="L535" s="20"/>
      <c r="M535" s="20"/>
      <c r="N535" s="20"/>
      <c r="O535" s="20"/>
      <c r="P535" s="20"/>
      <c r="Q535" s="20"/>
      <c r="R535" s="20"/>
      <c r="S535" s="20"/>
      <c r="T535" s="20"/>
      <c r="U535" s="20"/>
    </row>
    <row r="536">
      <c r="A536" s="20"/>
      <c r="B536" s="20"/>
      <c r="C536" s="20"/>
      <c r="D536" s="20"/>
      <c r="E536" s="20"/>
      <c r="F536" s="20"/>
      <c r="G536" s="20"/>
      <c r="H536" s="20"/>
      <c r="I536" s="20"/>
      <c r="J536" s="20"/>
      <c r="K536" s="20"/>
      <c r="L536" s="20"/>
      <c r="M536" s="20"/>
      <c r="N536" s="20"/>
      <c r="O536" s="20"/>
      <c r="P536" s="20"/>
      <c r="Q536" s="20"/>
      <c r="R536" s="20"/>
      <c r="S536" s="20"/>
      <c r="T536" s="20"/>
      <c r="U536" s="20"/>
    </row>
    <row r="537">
      <c r="A537" s="20"/>
      <c r="B537" s="20"/>
      <c r="C537" s="20"/>
      <c r="D537" s="20"/>
      <c r="E537" s="20"/>
      <c r="F537" s="20"/>
      <c r="G537" s="20"/>
      <c r="H537" s="20"/>
      <c r="I537" s="20"/>
      <c r="J537" s="20"/>
      <c r="K537" s="20"/>
      <c r="L537" s="20"/>
      <c r="M537" s="20"/>
      <c r="N537" s="20"/>
      <c r="O537" s="20"/>
      <c r="P537" s="20"/>
      <c r="Q537" s="20"/>
      <c r="R537" s="20"/>
      <c r="S537" s="20"/>
      <c r="T537" s="20"/>
      <c r="U537" s="20"/>
    </row>
    <row r="538">
      <c r="A538" s="20"/>
      <c r="B538" s="20"/>
      <c r="C538" s="20"/>
      <c r="D538" s="20"/>
      <c r="E538" s="20"/>
      <c r="F538" s="20"/>
      <c r="G538" s="20"/>
      <c r="H538" s="20"/>
      <c r="I538" s="20"/>
      <c r="J538" s="20"/>
      <c r="K538" s="20"/>
      <c r="L538" s="20"/>
      <c r="M538" s="20"/>
      <c r="N538" s="20"/>
      <c r="O538" s="20"/>
      <c r="P538" s="20"/>
      <c r="Q538" s="20"/>
      <c r="R538" s="20"/>
      <c r="S538" s="20"/>
      <c r="T538" s="20"/>
      <c r="U538" s="20"/>
    </row>
    <row r="539">
      <c r="A539" s="20"/>
      <c r="B539" s="20"/>
      <c r="C539" s="20"/>
      <c r="D539" s="20"/>
      <c r="E539" s="20"/>
      <c r="F539" s="20"/>
      <c r="G539" s="20"/>
      <c r="H539" s="20"/>
      <c r="I539" s="20"/>
      <c r="J539" s="20"/>
      <c r="K539" s="20"/>
      <c r="L539" s="20"/>
      <c r="M539" s="20"/>
      <c r="N539" s="20"/>
      <c r="O539" s="20"/>
      <c r="P539" s="20"/>
      <c r="Q539" s="20"/>
      <c r="R539" s="20"/>
      <c r="S539" s="20"/>
      <c r="T539" s="20"/>
      <c r="U539" s="20"/>
    </row>
    <row r="540">
      <c r="A540" s="20"/>
      <c r="B540" s="20"/>
      <c r="C540" s="20"/>
      <c r="D540" s="20"/>
      <c r="E540" s="20"/>
      <c r="F540" s="20"/>
      <c r="G540" s="20"/>
      <c r="H540" s="20"/>
      <c r="I540" s="20"/>
      <c r="J540" s="20"/>
      <c r="K540" s="20"/>
      <c r="L540" s="20"/>
      <c r="M540" s="20"/>
      <c r="N540" s="20"/>
      <c r="O540" s="20"/>
      <c r="P540" s="20"/>
      <c r="Q540" s="20"/>
      <c r="R540" s="20"/>
      <c r="S540" s="20"/>
      <c r="T540" s="20"/>
      <c r="U540" s="20"/>
    </row>
    <row r="541">
      <c r="A541" s="20"/>
      <c r="B541" s="20"/>
      <c r="C541" s="20"/>
      <c r="D541" s="20"/>
      <c r="E541" s="20"/>
      <c r="F541" s="20"/>
      <c r="G541" s="20"/>
      <c r="H541" s="20"/>
      <c r="I541" s="20"/>
      <c r="J541" s="20"/>
      <c r="K541" s="20"/>
      <c r="L541" s="20"/>
      <c r="M541" s="20"/>
      <c r="N541" s="20"/>
      <c r="O541" s="20"/>
      <c r="P541" s="20"/>
      <c r="Q541" s="20"/>
      <c r="R541" s="20"/>
      <c r="S541" s="20"/>
      <c r="T541" s="20"/>
      <c r="U541" s="20"/>
    </row>
    <row r="542">
      <c r="A542" s="20"/>
      <c r="B542" s="20"/>
      <c r="C542" s="20"/>
      <c r="D542" s="20"/>
      <c r="E542" s="20"/>
      <c r="F542" s="20"/>
      <c r="G542" s="20"/>
      <c r="H542" s="20"/>
      <c r="I542" s="20"/>
      <c r="J542" s="20"/>
      <c r="K542" s="20"/>
      <c r="L542" s="20"/>
      <c r="M542" s="20"/>
      <c r="N542" s="20"/>
      <c r="O542" s="20"/>
      <c r="P542" s="20"/>
      <c r="Q542" s="20"/>
      <c r="R542" s="20"/>
      <c r="S542" s="20"/>
      <c r="T542" s="20"/>
      <c r="U542" s="20"/>
    </row>
    <row r="543">
      <c r="A543" s="20"/>
      <c r="B543" s="20"/>
      <c r="C543" s="20"/>
      <c r="D543" s="20"/>
      <c r="E543" s="20"/>
      <c r="F543" s="20"/>
      <c r="G543" s="20"/>
      <c r="H543" s="20"/>
      <c r="I543" s="20"/>
      <c r="J543" s="20"/>
      <c r="K543" s="20"/>
      <c r="L543" s="20"/>
      <c r="M543" s="20"/>
      <c r="N543" s="20"/>
      <c r="O543" s="20"/>
      <c r="P543" s="20"/>
      <c r="Q543" s="20"/>
      <c r="R543" s="20"/>
      <c r="S543" s="20"/>
      <c r="T543" s="20"/>
      <c r="U543" s="20"/>
    </row>
    <row r="544">
      <c r="A544" s="20"/>
      <c r="B544" s="20"/>
      <c r="C544" s="20"/>
      <c r="D544" s="20"/>
      <c r="E544" s="20"/>
      <c r="F544" s="20"/>
      <c r="G544" s="20"/>
      <c r="H544" s="20"/>
      <c r="I544" s="20"/>
      <c r="J544" s="20"/>
      <c r="K544" s="20"/>
      <c r="L544" s="20"/>
      <c r="M544" s="20"/>
      <c r="N544" s="20"/>
      <c r="O544" s="20"/>
      <c r="P544" s="20"/>
      <c r="Q544" s="20"/>
      <c r="R544" s="20"/>
      <c r="S544" s="20"/>
      <c r="T544" s="20"/>
      <c r="U544" s="20"/>
    </row>
    <row r="545">
      <c r="A545" s="20"/>
      <c r="B545" s="20"/>
      <c r="C545" s="20"/>
      <c r="D545" s="20"/>
      <c r="E545" s="20"/>
      <c r="F545" s="20"/>
      <c r="G545" s="20"/>
      <c r="H545" s="20"/>
      <c r="I545" s="20"/>
      <c r="J545" s="20"/>
      <c r="K545" s="20"/>
      <c r="L545" s="20"/>
      <c r="M545" s="20"/>
      <c r="N545" s="20"/>
      <c r="O545" s="20"/>
      <c r="P545" s="20"/>
      <c r="Q545" s="20"/>
      <c r="R545" s="20"/>
      <c r="S545" s="20"/>
      <c r="T545" s="20"/>
      <c r="U545" s="20"/>
    </row>
    <row r="546">
      <c r="A546" s="20"/>
      <c r="B546" s="20"/>
      <c r="C546" s="20"/>
      <c r="D546" s="20"/>
      <c r="E546" s="20"/>
      <c r="F546" s="20"/>
      <c r="G546" s="20"/>
      <c r="H546" s="20"/>
      <c r="I546" s="20"/>
      <c r="J546" s="20"/>
      <c r="K546" s="20"/>
      <c r="L546" s="20"/>
      <c r="M546" s="20"/>
      <c r="N546" s="20"/>
      <c r="O546" s="20"/>
      <c r="P546" s="20"/>
      <c r="Q546" s="20"/>
      <c r="R546" s="20"/>
      <c r="S546" s="20"/>
      <c r="T546" s="20"/>
      <c r="U546" s="20"/>
    </row>
    <row r="547">
      <c r="A547" s="20"/>
      <c r="B547" s="20"/>
      <c r="C547" s="20"/>
      <c r="D547" s="20"/>
      <c r="E547" s="20"/>
      <c r="F547" s="20"/>
      <c r="G547" s="20"/>
      <c r="H547" s="20"/>
      <c r="I547" s="20"/>
      <c r="J547" s="20"/>
      <c r="K547" s="20"/>
      <c r="L547" s="20"/>
      <c r="M547" s="20"/>
      <c r="N547" s="20"/>
      <c r="O547" s="20"/>
      <c r="P547" s="20"/>
      <c r="Q547" s="20"/>
      <c r="R547" s="20"/>
      <c r="S547" s="20"/>
      <c r="T547" s="20"/>
      <c r="U547" s="20"/>
    </row>
    <row r="548">
      <c r="A548" s="20"/>
      <c r="B548" s="20"/>
      <c r="C548" s="20"/>
      <c r="D548" s="20"/>
      <c r="E548" s="20"/>
      <c r="F548" s="20"/>
      <c r="G548" s="20"/>
      <c r="H548" s="20"/>
      <c r="I548" s="20"/>
      <c r="J548" s="20"/>
      <c r="K548" s="20"/>
      <c r="L548" s="20"/>
      <c r="M548" s="20"/>
      <c r="N548" s="20"/>
      <c r="O548" s="20"/>
      <c r="P548" s="20"/>
      <c r="Q548" s="20"/>
      <c r="R548" s="20"/>
      <c r="S548" s="20"/>
      <c r="T548" s="20"/>
      <c r="U548" s="20"/>
    </row>
    <row r="549">
      <c r="A549" s="20"/>
      <c r="B549" s="20"/>
      <c r="C549" s="20"/>
      <c r="D549" s="20"/>
      <c r="E549" s="20"/>
      <c r="F549" s="20"/>
      <c r="G549" s="20"/>
      <c r="H549" s="20"/>
      <c r="I549" s="20"/>
      <c r="J549" s="20"/>
      <c r="K549" s="20"/>
      <c r="L549" s="20"/>
      <c r="M549" s="20"/>
      <c r="N549" s="20"/>
      <c r="O549" s="20"/>
      <c r="P549" s="20"/>
      <c r="Q549" s="20"/>
      <c r="R549" s="20"/>
      <c r="S549" s="20"/>
      <c r="T549" s="20"/>
      <c r="U549" s="20"/>
    </row>
    <row r="550">
      <c r="A550" s="20"/>
      <c r="B550" s="20"/>
      <c r="C550" s="20"/>
      <c r="D550" s="20"/>
      <c r="E550" s="20"/>
      <c r="F550" s="20"/>
      <c r="G550" s="20"/>
      <c r="H550" s="20"/>
      <c r="I550" s="20"/>
      <c r="J550" s="20"/>
      <c r="K550" s="20"/>
      <c r="L550" s="20"/>
      <c r="M550" s="20"/>
      <c r="N550" s="20"/>
      <c r="O550" s="20"/>
      <c r="P550" s="20"/>
      <c r="Q550" s="20"/>
      <c r="R550" s="20"/>
      <c r="S550" s="20"/>
      <c r="T550" s="20"/>
      <c r="U550" s="20"/>
    </row>
    <row r="551">
      <c r="A551" s="20"/>
      <c r="B551" s="20"/>
      <c r="C551" s="20"/>
      <c r="D551" s="20"/>
      <c r="E551" s="20"/>
      <c r="F551" s="20"/>
      <c r="G551" s="20"/>
      <c r="H551" s="20"/>
      <c r="I551" s="20"/>
      <c r="J551" s="20"/>
      <c r="K551" s="20"/>
      <c r="L551" s="20"/>
      <c r="M551" s="20"/>
      <c r="N551" s="20"/>
      <c r="O551" s="20"/>
      <c r="P551" s="20"/>
      <c r="Q551" s="20"/>
      <c r="R551" s="20"/>
      <c r="S551" s="20"/>
      <c r="T551" s="20"/>
      <c r="U551" s="20"/>
    </row>
    <row r="552">
      <c r="A552" s="20"/>
      <c r="B552" s="20"/>
      <c r="C552" s="20"/>
      <c r="D552" s="20"/>
      <c r="E552" s="20"/>
      <c r="F552" s="20"/>
      <c r="G552" s="20"/>
      <c r="H552" s="20"/>
      <c r="I552" s="20"/>
      <c r="J552" s="20"/>
      <c r="K552" s="20"/>
      <c r="L552" s="20"/>
      <c r="M552" s="20"/>
      <c r="N552" s="20"/>
      <c r="O552" s="20"/>
      <c r="P552" s="20"/>
      <c r="Q552" s="20"/>
      <c r="R552" s="20"/>
      <c r="S552" s="20"/>
      <c r="T552" s="20"/>
      <c r="U552" s="20"/>
    </row>
    <row r="553">
      <c r="A553" s="20"/>
      <c r="B553" s="20"/>
      <c r="C553" s="20"/>
      <c r="D553" s="20"/>
      <c r="E553" s="20"/>
      <c r="F553" s="20"/>
      <c r="G553" s="20"/>
      <c r="H553" s="20"/>
      <c r="I553" s="20"/>
      <c r="J553" s="20"/>
      <c r="K553" s="20"/>
      <c r="L553" s="20"/>
      <c r="M553" s="20"/>
      <c r="N553" s="20"/>
      <c r="O553" s="20"/>
      <c r="P553" s="20"/>
      <c r="Q553" s="20"/>
      <c r="R553" s="20"/>
      <c r="S553" s="20"/>
      <c r="T553" s="20"/>
      <c r="U553" s="20"/>
    </row>
    <row r="554">
      <c r="A554" s="20"/>
      <c r="B554" s="20"/>
      <c r="C554" s="20"/>
      <c r="D554" s="20"/>
      <c r="E554" s="20"/>
      <c r="F554" s="20"/>
      <c r="G554" s="20"/>
      <c r="H554" s="20"/>
      <c r="I554" s="20"/>
      <c r="J554" s="20"/>
      <c r="K554" s="20"/>
      <c r="L554" s="20"/>
      <c r="M554" s="20"/>
      <c r="N554" s="20"/>
      <c r="O554" s="20"/>
      <c r="P554" s="20"/>
      <c r="Q554" s="20"/>
      <c r="R554" s="20"/>
      <c r="S554" s="20"/>
      <c r="T554" s="20"/>
      <c r="U554" s="20"/>
    </row>
    <row r="555">
      <c r="A555" s="20"/>
      <c r="B555" s="20"/>
      <c r="C555" s="20"/>
      <c r="D555" s="20"/>
      <c r="E555" s="20"/>
      <c r="F555" s="20"/>
      <c r="G555" s="20"/>
      <c r="H555" s="20"/>
      <c r="I555" s="20"/>
      <c r="J555" s="20"/>
      <c r="K555" s="20"/>
      <c r="L555" s="20"/>
      <c r="M555" s="20"/>
      <c r="N555" s="20"/>
      <c r="O555" s="20"/>
      <c r="P555" s="20"/>
      <c r="Q555" s="20"/>
      <c r="R555" s="20"/>
      <c r="S555" s="20"/>
      <c r="T555" s="20"/>
      <c r="U555" s="20"/>
    </row>
    <row r="556">
      <c r="A556" s="20"/>
      <c r="B556" s="20"/>
      <c r="C556" s="20"/>
      <c r="D556" s="20"/>
      <c r="E556" s="20"/>
      <c r="F556" s="20"/>
      <c r="G556" s="20"/>
      <c r="H556" s="20"/>
      <c r="I556" s="20"/>
      <c r="J556" s="20"/>
      <c r="K556" s="20"/>
      <c r="L556" s="20"/>
      <c r="M556" s="20"/>
      <c r="N556" s="20"/>
      <c r="O556" s="20"/>
      <c r="P556" s="20"/>
      <c r="Q556" s="20"/>
      <c r="R556" s="20"/>
      <c r="S556" s="20"/>
      <c r="T556" s="20"/>
      <c r="U556" s="20"/>
    </row>
    <row r="557">
      <c r="A557" s="20"/>
      <c r="B557" s="20"/>
      <c r="C557" s="20"/>
      <c r="D557" s="20"/>
      <c r="E557" s="20"/>
      <c r="F557" s="20"/>
      <c r="G557" s="20"/>
      <c r="H557" s="20"/>
      <c r="I557" s="20"/>
      <c r="J557" s="20"/>
      <c r="K557" s="20"/>
      <c r="L557" s="20"/>
      <c r="M557" s="20"/>
      <c r="N557" s="20"/>
      <c r="O557" s="20"/>
      <c r="P557" s="20"/>
      <c r="Q557" s="20"/>
      <c r="R557" s="20"/>
      <c r="S557" s="20"/>
      <c r="T557" s="20"/>
      <c r="U557" s="20"/>
    </row>
    <row r="558">
      <c r="A558" s="20"/>
      <c r="B558" s="20"/>
      <c r="C558" s="20"/>
      <c r="D558" s="20"/>
      <c r="E558" s="20"/>
      <c r="F558" s="20"/>
      <c r="G558" s="20"/>
      <c r="H558" s="20"/>
      <c r="I558" s="20"/>
      <c r="J558" s="20"/>
      <c r="K558" s="20"/>
      <c r="L558" s="20"/>
      <c r="M558" s="20"/>
      <c r="N558" s="20"/>
      <c r="O558" s="20"/>
      <c r="P558" s="20"/>
      <c r="Q558" s="20"/>
      <c r="R558" s="20"/>
      <c r="S558" s="20"/>
      <c r="T558" s="20"/>
      <c r="U558" s="20"/>
    </row>
    <row r="559">
      <c r="A559" s="20"/>
      <c r="B559" s="20"/>
      <c r="C559" s="20"/>
      <c r="D559" s="20"/>
      <c r="E559" s="20"/>
      <c r="F559" s="20"/>
      <c r="G559" s="20"/>
      <c r="H559" s="20"/>
      <c r="I559" s="20"/>
      <c r="J559" s="20"/>
      <c r="K559" s="20"/>
      <c r="L559" s="20"/>
      <c r="M559" s="20"/>
      <c r="N559" s="20"/>
      <c r="O559" s="20"/>
      <c r="P559" s="20"/>
      <c r="Q559" s="20"/>
      <c r="R559" s="20"/>
      <c r="S559" s="20"/>
      <c r="T559" s="20"/>
      <c r="U559" s="20"/>
    </row>
    <row r="560">
      <c r="A560" s="20"/>
      <c r="B560" s="20"/>
      <c r="C560" s="20"/>
      <c r="D560" s="20"/>
      <c r="E560" s="20"/>
      <c r="F560" s="20"/>
      <c r="G560" s="20"/>
      <c r="H560" s="20"/>
      <c r="I560" s="20"/>
      <c r="J560" s="20"/>
      <c r="K560" s="20"/>
      <c r="L560" s="20"/>
      <c r="M560" s="20"/>
      <c r="N560" s="20"/>
      <c r="O560" s="20"/>
      <c r="P560" s="20"/>
      <c r="Q560" s="20"/>
      <c r="R560" s="20"/>
      <c r="S560" s="20"/>
      <c r="T560" s="20"/>
      <c r="U560" s="20"/>
    </row>
    <row r="561">
      <c r="A561" s="20"/>
      <c r="B561" s="20"/>
      <c r="C561" s="20"/>
      <c r="D561" s="20"/>
      <c r="E561" s="20"/>
      <c r="F561" s="20"/>
      <c r="G561" s="20"/>
      <c r="H561" s="20"/>
      <c r="I561" s="20"/>
      <c r="J561" s="20"/>
      <c r="K561" s="20"/>
      <c r="L561" s="20"/>
      <c r="M561" s="20"/>
      <c r="N561" s="20"/>
      <c r="O561" s="20"/>
      <c r="P561" s="20"/>
      <c r="Q561" s="20"/>
      <c r="R561" s="20"/>
      <c r="S561" s="20"/>
      <c r="T561" s="20"/>
      <c r="U561" s="20"/>
    </row>
    <row r="562">
      <c r="A562" s="20"/>
      <c r="B562" s="20"/>
      <c r="C562" s="20"/>
      <c r="D562" s="20"/>
      <c r="E562" s="20"/>
      <c r="F562" s="20"/>
      <c r="G562" s="20"/>
      <c r="H562" s="20"/>
      <c r="I562" s="20"/>
      <c r="J562" s="20"/>
      <c r="K562" s="20"/>
      <c r="L562" s="20"/>
      <c r="M562" s="20"/>
      <c r="N562" s="20"/>
      <c r="O562" s="20"/>
      <c r="P562" s="20"/>
      <c r="Q562" s="20"/>
      <c r="R562" s="20"/>
      <c r="S562" s="20"/>
      <c r="T562" s="20"/>
      <c r="U562" s="20"/>
    </row>
    <row r="563">
      <c r="A563" s="20"/>
      <c r="B563" s="20"/>
      <c r="C563" s="20"/>
      <c r="D563" s="20"/>
      <c r="E563" s="20"/>
      <c r="F563" s="20"/>
      <c r="G563" s="20"/>
      <c r="H563" s="20"/>
      <c r="I563" s="20"/>
      <c r="J563" s="20"/>
      <c r="K563" s="20"/>
      <c r="L563" s="20"/>
      <c r="M563" s="20"/>
      <c r="N563" s="20"/>
      <c r="O563" s="20"/>
      <c r="P563" s="20"/>
      <c r="Q563" s="20"/>
      <c r="R563" s="20"/>
      <c r="S563" s="20"/>
      <c r="T563" s="20"/>
      <c r="U563" s="20"/>
    </row>
    <row r="564">
      <c r="A564" s="20"/>
      <c r="B564" s="20"/>
      <c r="C564" s="20"/>
      <c r="D564" s="20"/>
      <c r="E564" s="20"/>
      <c r="F564" s="20"/>
      <c r="G564" s="20"/>
      <c r="H564" s="20"/>
      <c r="I564" s="20"/>
      <c r="J564" s="20"/>
      <c r="K564" s="20"/>
      <c r="L564" s="20"/>
      <c r="M564" s="20"/>
      <c r="N564" s="20"/>
      <c r="O564" s="20"/>
      <c r="P564" s="20"/>
      <c r="Q564" s="20"/>
      <c r="R564" s="20"/>
      <c r="S564" s="20"/>
      <c r="T564" s="20"/>
      <c r="U564" s="20"/>
    </row>
    <row r="565">
      <c r="A565" s="20"/>
      <c r="B565" s="20"/>
      <c r="C565" s="20"/>
      <c r="D565" s="20"/>
      <c r="E565" s="20"/>
      <c r="F565" s="20"/>
      <c r="G565" s="20"/>
      <c r="H565" s="20"/>
      <c r="I565" s="20"/>
      <c r="J565" s="20"/>
      <c r="K565" s="20"/>
      <c r="L565" s="20"/>
      <c r="M565" s="20"/>
      <c r="N565" s="20"/>
      <c r="O565" s="20"/>
      <c r="P565" s="20"/>
      <c r="Q565" s="20"/>
      <c r="R565" s="20"/>
      <c r="S565" s="20"/>
      <c r="T565" s="20"/>
      <c r="U565" s="20"/>
    </row>
    <row r="566">
      <c r="A566" s="20"/>
      <c r="B566" s="20"/>
      <c r="C566" s="20"/>
      <c r="D566" s="20"/>
      <c r="E566" s="20"/>
      <c r="F566" s="20"/>
      <c r="G566" s="20"/>
      <c r="H566" s="20"/>
      <c r="I566" s="20"/>
      <c r="J566" s="20"/>
      <c r="K566" s="20"/>
      <c r="L566" s="20"/>
      <c r="M566" s="20"/>
      <c r="N566" s="20"/>
      <c r="O566" s="20"/>
      <c r="P566" s="20"/>
      <c r="Q566" s="20"/>
      <c r="R566" s="20"/>
      <c r="S566" s="20"/>
      <c r="T566" s="20"/>
      <c r="U566" s="20"/>
    </row>
    <row r="567">
      <c r="A567" s="20"/>
      <c r="B567" s="20"/>
      <c r="C567" s="20"/>
      <c r="D567" s="20"/>
      <c r="E567" s="20"/>
      <c r="F567" s="20"/>
      <c r="G567" s="20"/>
      <c r="H567" s="20"/>
      <c r="I567" s="20"/>
      <c r="J567" s="20"/>
      <c r="K567" s="20"/>
      <c r="L567" s="20"/>
      <c r="M567" s="20"/>
      <c r="N567" s="20"/>
      <c r="O567" s="20"/>
      <c r="P567" s="20"/>
      <c r="Q567" s="20"/>
      <c r="R567" s="20"/>
      <c r="S567" s="20"/>
      <c r="T567" s="20"/>
      <c r="U567" s="20"/>
    </row>
    <row r="568">
      <c r="A568" s="20"/>
      <c r="B568" s="20"/>
      <c r="C568" s="20"/>
      <c r="D568" s="20"/>
      <c r="E568" s="20"/>
      <c r="F568" s="20"/>
      <c r="G568" s="20"/>
      <c r="H568" s="20"/>
      <c r="I568" s="20"/>
      <c r="J568" s="20"/>
      <c r="K568" s="20"/>
      <c r="L568" s="20"/>
      <c r="M568" s="20"/>
      <c r="N568" s="20"/>
      <c r="O568" s="20"/>
      <c r="P568" s="20"/>
      <c r="Q568" s="20"/>
      <c r="R568" s="20"/>
      <c r="S568" s="20"/>
      <c r="T568" s="20"/>
      <c r="U568" s="20"/>
    </row>
    <row r="569">
      <c r="A569" s="20"/>
      <c r="B569" s="20"/>
      <c r="C569" s="20"/>
      <c r="D569" s="20"/>
      <c r="E569" s="20"/>
      <c r="F569" s="20"/>
      <c r="G569" s="20"/>
      <c r="H569" s="20"/>
      <c r="I569" s="20"/>
      <c r="J569" s="20"/>
      <c r="K569" s="20"/>
      <c r="L569" s="20"/>
      <c r="M569" s="20"/>
      <c r="N569" s="20"/>
      <c r="O569" s="20"/>
      <c r="P569" s="20"/>
      <c r="Q569" s="20"/>
      <c r="R569" s="20"/>
      <c r="S569" s="20"/>
      <c r="T569" s="20"/>
      <c r="U569" s="20"/>
    </row>
    <row r="570">
      <c r="A570" s="20"/>
      <c r="B570" s="20"/>
      <c r="C570" s="20"/>
      <c r="D570" s="20"/>
      <c r="E570" s="20"/>
      <c r="F570" s="20"/>
      <c r="G570" s="20"/>
      <c r="H570" s="20"/>
      <c r="I570" s="20"/>
      <c r="J570" s="20"/>
      <c r="K570" s="20"/>
      <c r="L570" s="20"/>
      <c r="M570" s="20"/>
      <c r="N570" s="20"/>
      <c r="O570" s="20"/>
      <c r="P570" s="20"/>
      <c r="Q570" s="20"/>
      <c r="R570" s="20"/>
      <c r="S570" s="20"/>
      <c r="T570" s="20"/>
      <c r="U570" s="20"/>
    </row>
    <row r="571">
      <c r="A571" s="20"/>
      <c r="B571" s="20"/>
      <c r="C571" s="20"/>
      <c r="D571" s="20"/>
      <c r="E571" s="20"/>
      <c r="F571" s="20"/>
      <c r="G571" s="20"/>
      <c r="H571" s="20"/>
      <c r="I571" s="20"/>
      <c r="J571" s="20"/>
      <c r="K571" s="20"/>
      <c r="L571" s="20"/>
      <c r="M571" s="20"/>
      <c r="N571" s="20"/>
      <c r="O571" s="20"/>
      <c r="P571" s="20"/>
      <c r="Q571" s="20"/>
      <c r="R571" s="20"/>
      <c r="S571" s="20"/>
      <c r="T571" s="20"/>
      <c r="U571" s="20"/>
    </row>
    <row r="572">
      <c r="A572" s="20"/>
      <c r="B572" s="20"/>
      <c r="C572" s="20"/>
      <c r="D572" s="20"/>
      <c r="E572" s="20"/>
      <c r="F572" s="20"/>
      <c r="G572" s="20"/>
      <c r="H572" s="20"/>
      <c r="I572" s="20"/>
      <c r="J572" s="20"/>
      <c r="K572" s="20"/>
      <c r="L572" s="20"/>
      <c r="M572" s="20"/>
      <c r="N572" s="20"/>
      <c r="O572" s="20"/>
      <c r="P572" s="20"/>
      <c r="Q572" s="20"/>
      <c r="R572" s="20"/>
      <c r="S572" s="20"/>
      <c r="T572" s="20"/>
      <c r="U572" s="20"/>
    </row>
    <row r="573">
      <c r="A573" s="20"/>
      <c r="B573" s="20"/>
      <c r="C573" s="20"/>
      <c r="D573" s="20"/>
      <c r="E573" s="20"/>
      <c r="F573" s="20"/>
      <c r="G573" s="20"/>
      <c r="H573" s="20"/>
      <c r="I573" s="20"/>
      <c r="J573" s="20"/>
      <c r="K573" s="20"/>
      <c r="L573" s="20"/>
      <c r="M573" s="20"/>
      <c r="N573" s="20"/>
      <c r="O573" s="20"/>
      <c r="P573" s="20"/>
      <c r="Q573" s="20"/>
      <c r="R573" s="20"/>
      <c r="S573" s="20"/>
      <c r="T573" s="20"/>
      <c r="U573" s="20"/>
    </row>
    <row r="574">
      <c r="A574" s="20"/>
      <c r="B574" s="20"/>
      <c r="C574" s="20"/>
      <c r="D574" s="20"/>
      <c r="E574" s="20"/>
      <c r="F574" s="20"/>
      <c r="G574" s="20"/>
      <c r="H574" s="20"/>
      <c r="I574" s="20"/>
      <c r="J574" s="20"/>
      <c r="K574" s="20"/>
      <c r="L574" s="20"/>
      <c r="M574" s="20"/>
      <c r="N574" s="20"/>
      <c r="O574" s="20"/>
      <c r="P574" s="20"/>
      <c r="Q574" s="20"/>
      <c r="R574" s="20"/>
      <c r="S574" s="20"/>
      <c r="T574" s="20"/>
      <c r="U574" s="20"/>
    </row>
    <row r="575">
      <c r="A575" s="20"/>
      <c r="B575" s="20"/>
      <c r="C575" s="20"/>
      <c r="D575" s="20"/>
      <c r="E575" s="20"/>
      <c r="F575" s="20"/>
      <c r="G575" s="20"/>
      <c r="H575" s="20"/>
      <c r="I575" s="20"/>
      <c r="J575" s="20"/>
      <c r="K575" s="20"/>
      <c r="L575" s="20"/>
      <c r="M575" s="20"/>
      <c r="N575" s="20"/>
      <c r="O575" s="20"/>
      <c r="P575" s="20"/>
      <c r="Q575" s="20"/>
      <c r="R575" s="20"/>
      <c r="S575" s="20"/>
      <c r="T575" s="20"/>
      <c r="U575" s="20"/>
    </row>
    <row r="576">
      <c r="A576" s="20"/>
      <c r="B576" s="20"/>
      <c r="C576" s="20"/>
      <c r="D576" s="20"/>
      <c r="E576" s="20"/>
      <c r="F576" s="20"/>
      <c r="G576" s="20"/>
      <c r="H576" s="20"/>
      <c r="I576" s="20"/>
      <c r="J576" s="20"/>
      <c r="K576" s="20"/>
      <c r="L576" s="20"/>
      <c r="M576" s="20"/>
      <c r="N576" s="20"/>
      <c r="O576" s="20"/>
      <c r="P576" s="20"/>
      <c r="Q576" s="20"/>
      <c r="R576" s="20"/>
      <c r="S576" s="20"/>
      <c r="T576" s="20"/>
      <c r="U576" s="20"/>
    </row>
    <row r="577">
      <c r="A577" s="20"/>
      <c r="B577" s="20"/>
      <c r="C577" s="20"/>
      <c r="D577" s="20"/>
      <c r="E577" s="20"/>
      <c r="F577" s="20"/>
      <c r="G577" s="20"/>
      <c r="H577" s="20"/>
      <c r="I577" s="20"/>
      <c r="J577" s="20"/>
      <c r="K577" s="20"/>
      <c r="L577" s="20"/>
      <c r="M577" s="20"/>
      <c r="N577" s="20"/>
      <c r="O577" s="20"/>
      <c r="P577" s="20"/>
      <c r="Q577" s="20"/>
      <c r="R577" s="20"/>
      <c r="S577" s="20"/>
      <c r="T577" s="20"/>
      <c r="U577" s="20"/>
    </row>
    <row r="578">
      <c r="A578" s="20"/>
      <c r="B578" s="20"/>
      <c r="C578" s="20"/>
      <c r="D578" s="20"/>
      <c r="E578" s="20"/>
      <c r="F578" s="20"/>
      <c r="G578" s="20"/>
      <c r="H578" s="20"/>
      <c r="I578" s="20"/>
      <c r="J578" s="20"/>
      <c r="K578" s="20"/>
      <c r="L578" s="20"/>
      <c r="M578" s="20"/>
      <c r="N578" s="20"/>
      <c r="O578" s="20"/>
      <c r="P578" s="20"/>
      <c r="Q578" s="20"/>
      <c r="R578" s="20"/>
      <c r="S578" s="20"/>
      <c r="T578" s="20"/>
      <c r="U578" s="20"/>
    </row>
    <row r="579">
      <c r="A579" s="20"/>
      <c r="B579" s="20"/>
      <c r="C579" s="20"/>
      <c r="D579" s="20"/>
      <c r="E579" s="20"/>
      <c r="F579" s="20"/>
      <c r="G579" s="20"/>
      <c r="H579" s="20"/>
      <c r="I579" s="20"/>
      <c r="J579" s="20"/>
      <c r="K579" s="20"/>
      <c r="L579" s="20"/>
      <c r="M579" s="20"/>
      <c r="N579" s="20"/>
      <c r="O579" s="20"/>
      <c r="P579" s="20"/>
      <c r="Q579" s="20"/>
      <c r="R579" s="20"/>
      <c r="S579" s="20"/>
      <c r="T579" s="20"/>
      <c r="U579" s="20"/>
    </row>
    <row r="580">
      <c r="A580" s="20"/>
      <c r="B580" s="20"/>
      <c r="C580" s="20"/>
      <c r="D580" s="20"/>
      <c r="E580" s="20"/>
      <c r="F580" s="20"/>
      <c r="G580" s="20"/>
      <c r="H580" s="20"/>
      <c r="I580" s="20"/>
      <c r="J580" s="20"/>
      <c r="K580" s="20"/>
      <c r="L580" s="20"/>
      <c r="M580" s="20"/>
      <c r="N580" s="20"/>
      <c r="O580" s="20"/>
      <c r="P580" s="20"/>
      <c r="Q580" s="20"/>
      <c r="R580" s="20"/>
      <c r="S580" s="20"/>
      <c r="T580" s="20"/>
      <c r="U580" s="20"/>
    </row>
    <row r="581">
      <c r="A581" s="20"/>
      <c r="B581" s="20"/>
      <c r="C581" s="20"/>
      <c r="D581" s="20"/>
      <c r="E581" s="20"/>
      <c r="F581" s="20"/>
      <c r="G581" s="20"/>
      <c r="H581" s="20"/>
      <c r="I581" s="20"/>
      <c r="J581" s="20"/>
      <c r="K581" s="20"/>
      <c r="L581" s="20"/>
      <c r="M581" s="20"/>
      <c r="N581" s="20"/>
      <c r="O581" s="20"/>
      <c r="P581" s="20"/>
      <c r="Q581" s="20"/>
      <c r="R581" s="20"/>
      <c r="S581" s="20"/>
      <c r="T581" s="20"/>
      <c r="U581" s="20"/>
    </row>
    <row r="582">
      <c r="A582" s="20"/>
      <c r="B582" s="20"/>
      <c r="C582" s="20"/>
      <c r="D582" s="20"/>
      <c r="E582" s="20"/>
      <c r="F582" s="20"/>
      <c r="G582" s="20"/>
      <c r="H582" s="20"/>
      <c r="I582" s="20"/>
      <c r="J582" s="20"/>
      <c r="K582" s="20"/>
      <c r="L582" s="20"/>
      <c r="M582" s="20"/>
      <c r="N582" s="20"/>
      <c r="O582" s="20"/>
      <c r="P582" s="20"/>
      <c r="Q582" s="20"/>
      <c r="R582" s="20"/>
      <c r="S582" s="20"/>
      <c r="T582" s="20"/>
      <c r="U582" s="20"/>
    </row>
    <row r="583">
      <c r="A583" s="20"/>
      <c r="B583" s="20"/>
      <c r="C583" s="20"/>
      <c r="D583" s="20"/>
      <c r="E583" s="20"/>
      <c r="F583" s="20"/>
      <c r="G583" s="20"/>
      <c r="H583" s="20"/>
      <c r="I583" s="20"/>
      <c r="J583" s="20"/>
      <c r="K583" s="20"/>
      <c r="L583" s="20"/>
      <c r="M583" s="20"/>
      <c r="N583" s="20"/>
      <c r="O583" s="20"/>
      <c r="P583" s="20"/>
      <c r="Q583" s="20"/>
      <c r="R583" s="20"/>
      <c r="S583" s="20"/>
      <c r="T583" s="20"/>
      <c r="U583" s="20"/>
    </row>
    <row r="584">
      <c r="A584" s="20"/>
      <c r="B584" s="20"/>
      <c r="C584" s="20"/>
      <c r="D584" s="20"/>
      <c r="E584" s="20"/>
      <c r="F584" s="20"/>
      <c r="G584" s="20"/>
      <c r="H584" s="20"/>
      <c r="I584" s="20"/>
      <c r="J584" s="20"/>
      <c r="K584" s="20"/>
      <c r="L584" s="20"/>
      <c r="M584" s="20"/>
      <c r="N584" s="20"/>
      <c r="O584" s="20"/>
      <c r="P584" s="20"/>
      <c r="Q584" s="20"/>
      <c r="R584" s="20"/>
      <c r="S584" s="20"/>
      <c r="T584" s="20"/>
      <c r="U584" s="20"/>
    </row>
    <row r="585">
      <c r="A585" s="20"/>
      <c r="B585" s="20"/>
      <c r="C585" s="20"/>
      <c r="D585" s="20"/>
      <c r="E585" s="20"/>
      <c r="F585" s="20"/>
      <c r="G585" s="20"/>
      <c r="H585" s="20"/>
      <c r="I585" s="20"/>
      <c r="J585" s="20"/>
      <c r="K585" s="20"/>
      <c r="L585" s="20"/>
      <c r="M585" s="20"/>
      <c r="N585" s="20"/>
      <c r="O585" s="20"/>
      <c r="P585" s="20"/>
      <c r="Q585" s="20"/>
      <c r="R585" s="20"/>
      <c r="S585" s="20"/>
      <c r="T585" s="20"/>
      <c r="U585" s="20"/>
    </row>
    <row r="586">
      <c r="A586" s="20"/>
      <c r="B586" s="20"/>
      <c r="C586" s="20"/>
      <c r="D586" s="20"/>
      <c r="E586" s="20"/>
      <c r="F586" s="20"/>
      <c r="G586" s="20"/>
      <c r="H586" s="20"/>
      <c r="I586" s="20"/>
      <c r="J586" s="20"/>
      <c r="K586" s="20"/>
      <c r="L586" s="20"/>
      <c r="M586" s="20"/>
      <c r="N586" s="20"/>
      <c r="O586" s="20"/>
      <c r="P586" s="20"/>
      <c r="Q586" s="20"/>
      <c r="R586" s="20"/>
      <c r="S586" s="20"/>
      <c r="T586" s="20"/>
      <c r="U586" s="20"/>
    </row>
    <row r="587">
      <c r="A587" s="20"/>
      <c r="B587" s="20"/>
      <c r="C587" s="20"/>
      <c r="D587" s="20"/>
      <c r="E587" s="20"/>
      <c r="F587" s="20"/>
      <c r="G587" s="20"/>
      <c r="H587" s="20"/>
      <c r="I587" s="20"/>
      <c r="J587" s="20"/>
      <c r="K587" s="20"/>
      <c r="L587" s="20"/>
      <c r="M587" s="20"/>
      <c r="N587" s="20"/>
      <c r="O587" s="20"/>
      <c r="P587" s="20"/>
      <c r="Q587" s="20"/>
      <c r="R587" s="20"/>
      <c r="S587" s="20"/>
      <c r="T587" s="20"/>
      <c r="U587" s="20"/>
    </row>
    <row r="588">
      <c r="A588" s="20"/>
      <c r="B588" s="20"/>
      <c r="C588" s="20"/>
      <c r="D588" s="20"/>
      <c r="E588" s="20"/>
      <c r="F588" s="20"/>
      <c r="G588" s="20"/>
      <c r="H588" s="20"/>
      <c r="I588" s="20"/>
      <c r="J588" s="20"/>
      <c r="K588" s="20"/>
      <c r="L588" s="20"/>
      <c r="M588" s="20"/>
      <c r="N588" s="20"/>
      <c r="O588" s="20"/>
      <c r="P588" s="20"/>
      <c r="Q588" s="20"/>
      <c r="R588" s="20"/>
      <c r="S588" s="20"/>
      <c r="T588" s="20"/>
      <c r="U588" s="20"/>
    </row>
    <row r="589">
      <c r="A589" s="20"/>
      <c r="B589" s="20"/>
      <c r="C589" s="20"/>
      <c r="D589" s="20"/>
      <c r="E589" s="20"/>
      <c r="F589" s="20"/>
      <c r="G589" s="20"/>
      <c r="H589" s="20"/>
      <c r="I589" s="20"/>
      <c r="J589" s="20"/>
      <c r="K589" s="20"/>
      <c r="L589" s="20"/>
      <c r="M589" s="20"/>
      <c r="N589" s="20"/>
      <c r="O589" s="20"/>
      <c r="P589" s="20"/>
      <c r="Q589" s="20"/>
      <c r="R589" s="20"/>
      <c r="S589" s="20"/>
      <c r="T589" s="20"/>
      <c r="U589" s="20"/>
    </row>
    <row r="590">
      <c r="A590" s="20"/>
      <c r="B590" s="20"/>
      <c r="C590" s="20"/>
      <c r="D590" s="20"/>
      <c r="E590" s="20"/>
      <c r="F590" s="20"/>
      <c r="G590" s="20"/>
      <c r="H590" s="20"/>
      <c r="I590" s="20"/>
      <c r="J590" s="20"/>
      <c r="K590" s="20"/>
      <c r="L590" s="20"/>
      <c r="M590" s="20"/>
      <c r="N590" s="20"/>
      <c r="O590" s="20"/>
      <c r="P590" s="20"/>
      <c r="Q590" s="20"/>
      <c r="R590" s="20"/>
      <c r="S590" s="20"/>
      <c r="T590" s="20"/>
      <c r="U590" s="20"/>
    </row>
    <row r="591">
      <c r="A591" s="20"/>
      <c r="B591" s="20"/>
      <c r="C591" s="20"/>
      <c r="D591" s="20"/>
      <c r="E591" s="20"/>
      <c r="F591" s="20"/>
      <c r="G591" s="20"/>
      <c r="H591" s="20"/>
      <c r="I591" s="20"/>
      <c r="J591" s="20"/>
      <c r="K591" s="20"/>
      <c r="L591" s="20"/>
      <c r="M591" s="20"/>
      <c r="N591" s="20"/>
      <c r="O591" s="20"/>
      <c r="P591" s="20"/>
      <c r="Q591" s="20"/>
      <c r="R591" s="20"/>
      <c r="S591" s="20"/>
      <c r="T591" s="20"/>
      <c r="U591" s="20"/>
    </row>
    <row r="592">
      <c r="A592" s="20"/>
      <c r="B592" s="20"/>
      <c r="C592" s="20"/>
      <c r="D592" s="20"/>
      <c r="E592" s="20"/>
      <c r="F592" s="20"/>
      <c r="G592" s="20"/>
      <c r="H592" s="20"/>
      <c r="I592" s="20"/>
      <c r="J592" s="20"/>
      <c r="K592" s="20"/>
      <c r="L592" s="20"/>
      <c r="M592" s="20"/>
      <c r="N592" s="20"/>
      <c r="O592" s="20"/>
      <c r="P592" s="20"/>
      <c r="Q592" s="20"/>
      <c r="R592" s="20"/>
      <c r="S592" s="20"/>
      <c r="T592" s="20"/>
      <c r="U592" s="20"/>
    </row>
    <row r="593">
      <c r="A593" s="20"/>
      <c r="B593" s="20"/>
      <c r="C593" s="20"/>
      <c r="D593" s="20"/>
      <c r="E593" s="20"/>
      <c r="F593" s="20"/>
      <c r="G593" s="20"/>
      <c r="H593" s="20"/>
      <c r="I593" s="20"/>
      <c r="J593" s="20"/>
      <c r="K593" s="20"/>
      <c r="L593" s="20"/>
      <c r="M593" s="20"/>
      <c r="N593" s="20"/>
      <c r="O593" s="20"/>
      <c r="P593" s="20"/>
      <c r="Q593" s="20"/>
      <c r="R593" s="20"/>
      <c r="S593" s="20"/>
      <c r="T593" s="20"/>
      <c r="U593" s="20"/>
    </row>
    <row r="594">
      <c r="A594" s="20"/>
      <c r="B594" s="20"/>
      <c r="C594" s="20"/>
      <c r="D594" s="20"/>
      <c r="E594" s="20"/>
      <c r="F594" s="20"/>
      <c r="G594" s="20"/>
      <c r="H594" s="20"/>
      <c r="I594" s="20"/>
      <c r="J594" s="20"/>
      <c r="K594" s="20"/>
      <c r="L594" s="20"/>
      <c r="M594" s="20"/>
      <c r="N594" s="20"/>
      <c r="O594" s="20"/>
      <c r="P594" s="20"/>
      <c r="Q594" s="20"/>
      <c r="R594" s="20"/>
      <c r="S594" s="20"/>
      <c r="T594" s="20"/>
      <c r="U594" s="20"/>
    </row>
    <row r="595">
      <c r="A595" s="20"/>
      <c r="B595" s="20"/>
      <c r="C595" s="20"/>
      <c r="D595" s="20"/>
      <c r="E595" s="20"/>
      <c r="F595" s="20"/>
      <c r="G595" s="20"/>
      <c r="H595" s="20"/>
      <c r="I595" s="20"/>
      <c r="J595" s="20"/>
      <c r="K595" s="20"/>
      <c r="L595" s="20"/>
      <c r="M595" s="20"/>
      <c r="N595" s="20"/>
      <c r="O595" s="20"/>
      <c r="P595" s="20"/>
      <c r="Q595" s="20"/>
      <c r="R595" s="20"/>
      <c r="S595" s="20"/>
      <c r="T595" s="20"/>
      <c r="U595" s="20"/>
    </row>
    <row r="596">
      <c r="A596" s="20"/>
      <c r="B596" s="20"/>
      <c r="C596" s="20"/>
      <c r="D596" s="20"/>
      <c r="E596" s="20"/>
      <c r="F596" s="20"/>
      <c r="G596" s="20"/>
      <c r="H596" s="20"/>
      <c r="I596" s="20"/>
      <c r="J596" s="20"/>
      <c r="K596" s="20"/>
      <c r="L596" s="20"/>
      <c r="M596" s="20"/>
      <c r="N596" s="20"/>
      <c r="O596" s="20"/>
      <c r="P596" s="20"/>
      <c r="Q596" s="20"/>
      <c r="R596" s="20"/>
      <c r="S596" s="20"/>
      <c r="T596" s="20"/>
      <c r="U596" s="20"/>
    </row>
    <row r="597">
      <c r="A597" s="20"/>
      <c r="B597" s="20"/>
      <c r="C597" s="20"/>
      <c r="D597" s="20"/>
      <c r="E597" s="20"/>
      <c r="F597" s="20"/>
      <c r="G597" s="20"/>
      <c r="H597" s="20"/>
      <c r="I597" s="20"/>
      <c r="J597" s="20"/>
      <c r="K597" s="20"/>
      <c r="L597" s="20"/>
      <c r="M597" s="20"/>
      <c r="N597" s="20"/>
      <c r="O597" s="20"/>
      <c r="P597" s="20"/>
      <c r="Q597" s="20"/>
      <c r="R597" s="20"/>
      <c r="S597" s="20"/>
      <c r="T597" s="20"/>
      <c r="U597" s="20"/>
    </row>
    <row r="598">
      <c r="A598" s="20"/>
      <c r="B598" s="20"/>
      <c r="C598" s="20"/>
      <c r="D598" s="20"/>
      <c r="E598" s="20"/>
      <c r="F598" s="20"/>
      <c r="G598" s="20"/>
      <c r="H598" s="20"/>
      <c r="I598" s="20"/>
      <c r="J598" s="20"/>
      <c r="K598" s="20"/>
      <c r="L598" s="20"/>
      <c r="M598" s="20"/>
      <c r="N598" s="20"/>
      <c r="O598" s="20"/>
      <c r="P598" s="20"/>
      <c r="Q598" s="20"/>
      <c r="R598" s="20"/>
      <c r="S598" s="20"/>
      <c r="T598" s="20"/>
      <c r="U598" s="20"/>
    </row>
    <row r="599">
      <c r="A599" s="20"/>
      <c r="B599" s="20"/>
      <c r="C599" s="20"/>
      <c r="D599" s="20"/>
      <c r="E599" s="20"/>
      <c r="F599" s="20"/>
      <c r="G599" s="20"/>
      <c r="H599" s="20"/>
      <c r="I599" s="20"/>
      <c r="J599" s="20"/>
      <c r="K599" s="20"/>
      <c r="L599" s="20"/>
      <c r="M599" s="20"/>
      <c r="N599" s="20"/>
      <c r="O599" s="20"/>
      <c r="P599" s="20"/>
      <c r="Q599" s="20"/>
      <c r="R599" s="20"/>
      <c r="S599" s="20"/>
      <c r="T599" s="20"/>
      <c r="U599" s="20"/>
    </row>
    <row r="600">
      <c r="A600" s="20"/>
      <c r="B600" s="20"/>
      <c r="C600" s="20"/>
      <c r="D600" s="20"/>
      <c r="E600" s="20"/>
      <c r="F600" s="20"/>
      <c r="G600" s="20"/>
      <c r="H600" s="20"/>
      <c r="I600" s="20"/>
      <c r="J600" s="20"/>
      <c r="K600" s="20"/>
      <c r="L600" s="20"/>
      <c r="M600" s="20"/>
      <c r="N600" s="20"/>
      <c r="O600" s="20"/>
      <c r="P600" s="20"/>
      <c r="Q600" s="20"/>
      <c r="R600" s="20"/>
      <c r="S600" s="20"/>
      <c r="T600" s="20"/>
      <c r="U600" s="20"/>
    </row>
    <row r="601">
      <c r="A601" s="20"/>
      <c r="B601" s="20"/>
      <c r="C601" s="20"/>
      <c r="D601" s="20"/>
      <c r="E601" s="20"/>
      <c r="F601" s="20"/>
      <c r="G601" s="20"/>
      <c r="H601" s="20"/>
      <c r="I601" s="20"/>
      <c r="J601" s="20"/>
      <c r="K601" s="20"/>
      <c r="L601" s="20"/>
      <c r="M601" s="20"/>
      <c r="N601" s="20"/>
      <c r="O601" s="20"/>
      <c r="P601" s="20"/>
      <c r="Q601" s="20"/>
      <c r="R601" s="20"/>
      <c r="S601" s="20"/>
      <c r="T601" s="20"/>
      <c r="U601" s="20"/>
    </row>
    <row r="602">
      <c r="A602" s="20"/>
      <c r="B602" s="20"/>
      <c r="C602" s="20"/>
      <c r="D602" s="20"/>
      <c r="E602" s="20"/>
      <c r="F602" s="20"/>
      <c r="G602" s="20"/>
      <c r="H602" s="20"/>
      <c r="I602" s="20"/>
      <c r="J602" s="20"/>
      <c r="K602" s="20"/>
      <c r="L602" s="20"/>
      <c r="M602" s="20"/>
      <c r="N602" s="20"/>
      <c r="O602" s="20"/>
      <c r="P602" s="20"/>
      <c r="Q602" s="20"/>
      <c r="R602" s="20"/>
      <c r="S602" s="20"/>
      <c r="T602" s="20"/>
      <c r="U602" s="20"/>
    </row>
    <row r="603">
      <c r="A603" s="20"/>
      <c r="B603" s="20"/>
      <c r="C603" s="20"/>
      <c r="D603" s="20"/>
      <c r="E603" s="20"/>
      <c r="F603" s="20"/>
      <c r="G603" s="20"/>
      <c r="H603" s="20"/>
      <c r="I603" s="20"/>
      <c r="J603" s="20"/>
      <c r="K603" s="20"/>
      <c r="L603" s="20"/>
      <c r="M603" s="20"/>
      <c r="N603" s="20"/>
      <c r="O603" s="20"/>
      <c r="P603" s="20"/>
      <c r="Q603" s="20"/>
      <c r="R603" s="20"/>
      <c r="S603" s="20"/>
      <c r="T603" s="20"/>
      <c r="U603" s="20"/>
    </row>
    <row r="604">
      <c r="A604" s="20"/>
      <c r="B604" s="20"/>
      <c r="C604" s="20"/>
      <c r="D604" s="20"/>
      <c r="E604" s="20"/>
      <c r="F604" s="20"/>
      <c r="G604" s="20"/>
      <c r="H604" s="20"/>
      <c r="I604" s="20"/>
      <c r="J604" s="20"/>
      <c r="K604" s="20"/>
      <c r="L604" s="20"/>
      <c r="M604" s="20"/>
      <c r="N604" s="20"/>
      <c r="O604" s="20"/>
      <c r="P604" s="20"/>
      <c r="Q604" s="20"/>
      <c r="R604" s="20"/>
      <c r="S604" s="20"/>
      <c r="T604" s="20"/>
      <c r="U604" s="20"/>
    </row>
    <row r="605">
      <c r="A605" s="20"/>
      <c r="B605" s="20"/>
      <c r="C605" s="20"/>
      <c r="D605" s="20"/>
      <c r="E605" s="20"/>
      <c r="F605" s="20"/>
      <c r="G605" s="20"/>
      <c r="H605" s="20"/>
      <c r="I605" s="20"/>
      <c r="J605" s="20"/>
      <c r="K605" s="20"/>
      <c r="L605" s="20"/>
      <c r="M605" s="20"/>
      <c r="N605" s="20"/>
      <c r="O605" s="20"/>
      <c r="P605" s="20"/>
      <c r="Q605" s="20"/>
      <c r="R605" s="20"/>
      <c r="S605" s="20"/>
      <c r="T605" s="20"/>
      <c r="U605" s="20"/>
    </row>
    <row r="606">
      <c r="A606" s="20"/>
      <c r="B606" s="20"/>
      <c r="C606" s="20"/>
      <c r="D606" s="20"/>
      <c r="E606" s="20"/>
      <c r="F606" s="20"/>
      <c r="G606" s="20"/>
      <c r="H606" s="20"/>
      <c r="I606" s="20"/>
      <c r="J606" s="20"/>
      <c r="K606" s="20"/>
      <c r="L606" s="20"/>
      <c r="M606" s="20"/>
      <c r="N606" s="20"/>
      <c r="O606" s="20"/>
      <c r="P606" s="20"/>
      <c r="Q606" s="20"/>
      <c r="R606" s="20"/>
      <c r="S606" s="20"/>
      <c r="T606" s="20"/>
      <c r="U606" s="20"/>
    </row>
    <row r="607">
      <c r="A607" s="20"/>
      <c r="B607" s="20"/>
      <c r="C607" s="20"/>
      <c r="D607" s="20"/>
      <c r="E607" s="20"/>
      <c r="F607" s="20"/>
      <c r="G607" s="20"/>
      <c r="H607" s="20"/>
      <c r="I607" s="20"/>
      <c r="J607" s="20"/>
      <c r="K607" s="20"/>
      <c r="L607" s="20"/>
      <c r="M607" s="20"/>
      <c r="N607" s="20"/>
      <c r="O607" s="20"/>
      <c r="P607" s="20"/>
      <c r="Q607" s="20"/>
      <c r="R607" s="20"/>
      <c r="S607" s="20"/>
      <c r="T607" s="20"/>
      <c r="U607" s="20"/>
    </row>
    <row r="608">
      <c r="A608" s="20"/>
      <c r="B608" s="20"/>
      <c r="C608" s="20"/>
      <c r="D608" s="20"/>
      <c r="E608" s="20"/>
      <c r="F608" s="20"/>
      <c r="G608" s="20"/>
      <c r="H608" s="20"/>
      <c r="I608" s="20"/>
      <c r="J608" s="20"/>
      <c r="K608" s="20"/>
      <c r="L608" s="20"/>
      <c r="M608" s="20"/>
      <c r="N608" s="20"/>
      <c r="O608" s="20"/>
      <c r="P608" s="20"/>
      <c r="Q608" s="20"/>
      <c r="R608" s="20"/>
      <c r="S608" s="20"/>
      <c r="T608" s="20"/>
      <c r="U608" s="20"/>
    </row>
    <row r="609">
      <c r="A609" s="20"/>
      <c r="B609" s="20"/>
      <c r="C609" s="20"/>
      <c r="D609" s="20"/>
      <c r="E609" s="20"/>
      <c r="F609" s="20"/>
      <c r="G609" s="20"/>
      <c r="H609" s="20"/>
      <c r="I609" s="20"/>
      <c r="J609" s="20"/>
      <c r="K609" s="20"/>
      <c r="L609" s="20"/>
      <c r="M609" s="20"/>
      <c r="N609" s="20"/>
      <c r="O609" s="20"/>
      <c r="P609" s="20"/>
      <c r="Q609" s="20"/>
      <c r="R609" s="20"/>
      <c r="S609" s="20"/>
      <c r="T609" s="20"/>
      <c r="U609" s="20"/>
    </row>
    <row r="610">
      <c r="A610" s="20"/>
      <c r="B610" s="20"/>
      <c r="C610" s="20"/>
      <c r="D610" s="20"/>
      <c r="E610" s="20"/>
      <c r="F610" s="20"/>
      <c r="G610" s="20"/>
      <c r="H610" s="20"/>
      <c r="I610" s="20"/>
      <c r="J610" s="20"/>
      <c r="K610" s="20"/>
      <c r="L610" s="20"/>
      <c r="M610" s="20"/>
      <c r="N610" s="20"/>
      <c r="O610" s="20"/>
      <c r="P610" s="20"/>
      <c r="Q610" s="20"/>
      <c r="R610" s="20"/>
      <c r="S610" s="20"/>
      <c r="T610" s="20"/>
      <c r="U610" s="20"/>
    </row>
    <row r="611">
      <c r="A611" s="20"/>
      <c r="B611" s="20"/>
      <c r="C611" s="20"/>
      <c r="D611" s="20"/>
      <c r="E611" s="20"/>
      <c r="F611" s="20"/>
      <c r="G611" s="20"/>
      <c r="H611" s="20"/>
      <c r="I611" s="20"/>
      <c r="J611" s="20"/>
      <c r="K611" s="20"/>
      <c r="L611" s="20"/>
      <c r="M611" s="20"/>
      <c r="N611" s="20"/>
      <c r="O611" s="20"/>
      <c r="P611" s="20"/>
      <c r="Q611" s="20"/>
      <c r="R611" s="20"/>
      <c r="S611" s="20"/>
      <c r="T611" s="20"/>
      <c r="U611" s="20"/>
    </row>
    <row r="612">
      <c r="A612" s="20"/>
      <c r="B612" s="20"/>
      <c r="C612" s="20"/>
      <c r="D612" s="20"/>
      <c r="E612" s="20"/>
      <c r="F612" s="20"/>
      <c r="G612" s="20"/>
      <c r="H612" s="20"/>
      <c r="I612" s="20"/>
      <c r="J612" s="20"/>
      <c r="K612" s="20"/>
      <c r="L612" s="20"/>
      <c r="M612" s="20"/>
      <c r="N612" s="20"/>
      <c r="O612" s="20"/>
      <c r="P612" s="20"/>
      <c r="Q612" s="20"/>
      <c r="R612" s="20"/>
      <c r="S612" s="20"/>
      <c r="T612" s="20"/>
      <c r="U612" s="20"/>
    </row>
    <row r="613">
      <c r="A613" s="20"/>
      <c r="B613" s="20"/>
      <c r="C613" s="20"/>
      <c r="D613" s="20"/>
      <c r="E613" s="20"/>
      <c r="F613" s="20"/>
      <c r="G613" s="20"/>
      <c r="H613" s="20"/>
      <c r="I613" s="20"/>
      <c r="J613" s="20"/>
      <c r="K613" s="20"/>
      <c r="L613" s="20"/>
      <c r="M613" s="20"/>
      <c r="N613" s="20"/>
      <c r="O613" s="20"/>
      <c r="P613" s="20"/>
      <c r="Q613" s="20"/>
      <c r="R613" s="20"/>
      <c r="S613" s="20"/>
      <c r="T613" s="20"/>
      <c r="U613" s="20"/>
    </row>
    <row r="614">
      <c r="A614" s="20"/>
      <c r="B614" s="20"/>
      <c r="C614" s="20"/>
      <c r="D614" s="20"/>
      <c r="E614" s="20"/>
      <c r="F614" s="20"/>
      <c r="G614" s="20"/>
      <c r="H614" s="20"/>
      <c r="I614" s="20"/>
      <c r="J614" s="20"/>
      <c r="K614" s="20"/>
      <c r="L614" s="20"/>
      <c r="M614" s="20"/>
      <c r="N614" s="20"/>
      <c r="O614" s="20"/>
      <c r="P614" s="20"/>
      <c r="Q614" s="20"/>
      <c r="R614" s="20"/>
      <c r="S614" s="20"/>
      <c r="T614" s="20"/>
      <c r="U614" s="20"/>
    </row>
    <row r="615">
      <c r="A615" s="20"/>
      <c r="B615" s="20"/>
      <c r="C615" s="20"/>
      <c r="D615" s="20"/>
      <c r="E615" s="20"/>
      <c r="F615" s="20"/>
      <c r="G615" s="20"/>
      <c r="H615" s="20"/>
      <c r="I615" s="20"/>
      <c r="J615" s="20"/>
      <c r="K615" s="20"/>
      <c r="L615" s="20"/>
      <c r="M615" s="20"/>
      <c r="N615" s="20"/>
      <c r="O615" s="20"/>
      <c r="P615" s="20"/>
      <c r="Q615" s="20"/>
      <c r="R615" s="20"/>
      <c r="S615" s="20"/>
      <c r="T615" s="20"/>
      <c r="U615" s="20"/>
    </row>
    <row r="616">
      <c r="A616" s="20"/>
      <c r="B616" s="20"/>
      <c r="C616" s="20"/>
      <c r="D616" s="20"/>
      <c r="E616" s="20"/>
      <c r="F616" s="20"/>
      <c r="G616" s="20"/>
      <c r="H616" s="20"/>
      <c r="I616" s="20"/>
      <c r="J616" s="20"/>
      <c r="K616" s="20"/>
      <c r="L616" s="20"/>
      <c r="M616" s="20"/>
      <c r="N616" s="20"/>
      <c r="O616" s="20"/>
      <c r="P616" s="20"/>
      <c r="Q616" s="20"/>
      <c r="R616" s="20"/>
      <c r="S616" s="20"/>
      <c r="T616" s="20"/>
      <c r="U616" s="20"/>
    </row>
    <row r="617">
      <c r="A617" s="20"/>
      <c r="B617" s="20"/>
      <c r="C617" s="20"/>
      <c r="D617" s="20"/>
      <c r="E617" s="20"/>
      <c r="F617" s="20"/>
      <c r="G617" s="20"/>
      <c r="H617" s="20"/>
      <c r="I617" s="20"/>
      <c r="J617" s="20"/>
      <c r="K617" s="20"/>
      <c r="L617" s="20"/>
      <c r="M617" s="20"/>
      <c r="N617" s="20"/>
      <c r="O617" s="20"/>
      <c r="P617" s="20"/>
      <c r="Q617" s="20"/>
      <c r="R617" s="20"/>
      <c r="S617" s="20"/>
      <c r="T617" s="20"/>
      <c r="U617" s="20"/>
    </row>
    <row r="618">
      <c r="A618" s="20"/>
      <c r="B618" s="20"/>
      <c r="C618" s="20"/>
      <c r="D618" s="20"/>
      <c r="E618" s="20"/>
      <c r="F618" s="20"/>
      <c r="G618" s="20"/>
      <c r="H618" s="20"/>
      <c r="I618" s="20"/>
      <c r="J618" s="20"/>
      <c r="K618" s="20"/>
      <c r="L618" s="20"/>
      <c r="M618" s="20"/>
      <c r="N618" s="20"/>
      <c r="O618" s="20"/>
      <c r="P618" s="20"/>
      <c r="Q618" s="20"/>
      <c r="R618" s="20"/>
      <c r="S618" s="20"/>
      <c r="T618" s="20"/>
      <c r="U618" s="20"/>
    </row>
    <row r="619">
      <c r="A619" s="20"/>
      <c r="B619" s="20"/>
      <c r="C619" s="20"/>
      <c r="D619" s="20"/>
      <c r="E619" s="20"/>
      <c r="F619" s="20"/>
      <c r="G619" s="20"/>
      <c r="H619" s="20"/>
      <c r="I619" s="20"/>
      <c r="J619" s="20"/>
      <c r="K619" s="20"/>
      <c r="L619" s="20"/>
      <c r="M619" s="20"/>
      <c r="N619" s="20"/>
      <c r="O619" s="20"/>
      <c r="P619" s="20"/>
      <c r="Q619" s="20"/>
      <c r="R619" s="20"/>
      <c r="S619" s="20"/>
      <c r="T619" s="20"/>
      <c r="U619" s="20"/>
    </row>
    <row r="620">
      <c r="A620" s="20"/>
      <c r="B620" s="20"/>
      <c r="C620" s="20"/>
      <c r="D620" s="20"/>
      <c r="E620" s="20"/>
      <c r="F620" s="20"/>
      <c r="G620" s="20"/>
      <c r="H620" s="20"/>
      <c r="I620" s="20"/>
      <c r="J620" s="20"/>
      <c r="K620" s="20"/>
      <c r="L620" s="20"/>
      <c r="M620" s="20"/>
      <c r="N620" s="20"/>
      <c r="O620" s="20"/>
      <c r="P620" s="20"/>
      <c r="Q620" s="20"/>
      <c r="R620" s="20"/>
      <c r="S620" s="20"/>
      <c r="T620" s="20"/>
      <c r="U620" s="20"/>
    </row>
    <row r="621">
      <c r="A621" s="20"/>
      <c r="B621" s="20"/>
      <c r="C621" s="20"/>
      <c r="D621" s="20"/>
      <c r="E621" s="20"/>
      <c r="F621" s="20"/>
      <c r="G621" s="20"/>
      <c r="H621" s="20"/>
      <c r="I621" s="20"/>
      <c r="J621" s="20"/>
      <c r="K621" s="20"/>
      <c r="L621" s="20"/>
      <c r="M621" s="20"/>
      <c r="N621" s="20"/>
      <c r="O621" s="20"/>
      <c r="P621" s="20"/>
      <c r="Q621" s="20"/>
      <c r="R621" s="20"/>
      <c r="S621" s="20"/>
      <c r="T621" s="20"/>
      <c r="U621" s="20"/>
    </row>
    <row r="622">
      <c r="A622" s="20"/>
      <c r="B622" s="20"/>
      <c r="C622" s="20"/>
      <c r="D622" s="20"/>
      <c r="E622" s="20"/>
      <c r="F622" s="20"/>
      <c r="G622" s="20"/>
      <c r="H622" s="20"/>
      <c r="I622" s="20"/>
      <c r="J622" s="20"/>
      <c r="K622" s="20"/>
      <c r="L622" s="20"/>
      <c r="M622" s="20"/>
      <c r="N622" s="20"/>
      <c r="O622" s="20"/>
      <c r="P622" s="20"/>
      <c r="Q622" s="20"/>
      <c r="R622" s="20"/>
      <c r="S622" s="20"/>
      <c r="T622" s="20"/>
      <c r="U622" s="20"/>
    </row>
    <row r="623">
      <c r="A623" s="20"/>
      <c r="B623" s="20"/>
      <c r="C623" s="20"/>
      <c r="D623" s="20"/>
      <c r="E623" s="20"/>
      <c r="F623" s="20"/>
      <c r="G623" s="20"/>
      <c r="H623" s="20"/>
      <c r="I623" s="20"/>
      <c r="J623" s="20"/>
      <c r="K623" s="20"/>
      <c r="L623" s="20"/>
      <c r="M623" s="20"/>
      <c r="N623" s="20"/>
      <c r="O623" s="20"/>
      <c r="P623" s="20"/>
      <c r="Q623" s="20"/>
      <c r="R623" s="20"/>
      <c r="S623" s="20"/>
      <c r="T623" s="20"/>
      <c r="U623" s="20"/>
    </row>
    <row r="624">
      <c r="A624" s="20"/>
      <c r="B624" s="20"/>
      <c r="C624" s="20"/>
      <c r="D624" s="20"/>
      <c r="E624" s="20"/>
      <c r="F624" s="20"/>
      <c r="G624" s="20"/>
      <c r="H624" s="20"/>
      <c r="I624" s="20"/>
      <c r="J624" s="20"/>
      <c r="K624" s="20"/>
      <c r="L624" s="20"/>
      <c r="M624" s="20"/>
      <c r="N624" s="20"/>
      <c r="O624" s="20"/>
      <c r="P624" s="20"/>
      <c r="Q624" s="20"/>
      <c r="R624" s="20"/>
      <c r="S624" s="20"/>
      <c r="T624" s="20"/>
      <c r="U624" s="20"/>
    </row>
    <row r="625">
      <c r="A625" s="20"/>
      <c r="B625" s="20"/>
      <c r="C625" s="20"/>
      <c r="D625" s="20"/>
      <c r="E625" s="20"/>
      <c r="F625" s="20"/>
      <c r="G625" s="20"/>
      <c r="H625" s="20"/>
      <c r="I625" s="20"/>
      <c r="J625" s="20"/>
      <c r="K625" s="20"/>
      <c r="L625" s="20"/>
      <c r="M625" s="20"/>
      <c r="N625" s="20"/>
      <c r="O625" s="20"/>
      <c r="P625" s="20"/>
      <c r="Q625" s="20"/>
      <c r="R625" s="20"/>
      <c r="S625" s="20"/>
      <c r="T625" s="20"/>
      <c r="U625" s="20"/>
    </row>
    <row r="626">
      <c r="A626" s="20"/>
      <c r="B626" s="20"/>
      <c r="C626" s="20"/>
      <c r="D626" s="20"/>
      <c r="E626" s="20"/>
      <c r="F626" s="20"/>
      <c r="G626" s="20"/>
      <c r="H626" s="20"/>
      <c r="I626" s="20"/>
      <c r="J626" s="20"/>
      <c r="K626" s="20"/>
      <c r="L626" s="20"/>
      <c r="M626" s="20"/>
      <c r="N626" s="20"/>
      <c r="O626" s="20"/>
      <c r="P626" s="20"/>
      <c r="Q626" s="20"/>
      <c r="R626" s="20"/>
      <c r="S626" s="20"/>
      <c r="T626" s="20"/>
      <c r="U626" s="20"/>
    </row>
    <row r="627">
      <c r="A627" s="20"/>
      <c r="B627" s="20"/>
      <c r="C627" s="20"/>
      <c r="D627" s="20"/>
      <c r="E627" s="20"/>
      <c r="F627" s="20"/>
      <c r="G627" s="20"/>
      <c r="H627" s="20"/>
      <c r="I627" s="20"/>
      <c r="J627" s="20"/>
      <c r="K627" s="20"/>
      <c r="L627" s="20"/>
      <c r="M627" s="20"/>
      <c r="N627" s="20"/>
      <c r="O627" s="20"/>
      <c r="P627" s="20"/>
      <c r="Q627" s="20"/>
      <c r="R627" s="20"/>
      <c r="S627" s="20"/>
      <c r="T627" s="20"/>
      <c r="U627" s="20"/>
    </row>
    <row r="628">
      <c r="A628" s="20"/>
      <c r="B628" s="20"/>
      <c r="C628" s="20"/>
      <c r="D628" s="20"/>
      <c r="E628" s="20"/>
      <c r="F628" s="20"/>
      <c r="G628" s="20"/>
      <c r="H628" s="20"/>
      <c r="I628" s="20"/>
      <c r="J628" s="20"/>
      <c r="K628" s="20"/>
      <c r="L628" s="20"/>
      <c r="M628" s="20"/>
      <c r="N628" s="20"/>
      <c r="O628" s="20"/>
      <c r="P628" s="20"/>
      <c r="Q628" s="20"/>
      <c r="R628" s="20"/>
      <c r="S628" s="20"/>
      <c r="T628" s="20"/>
      <c r="U628" s="20"/>
    </row>
    <row r="629">
      <c r="A629" s="20"/>
      <c r="B629" s="20"/>
      <c r="C629" s="20"/>
      <c r="D629" s="20"/>
      <c r="E629" s="20"/>
      <c r="F629" s="20"/>
      <c r="G629" s="20"/>
      <c r="H629" s="20"/>
      <c r="I629" s="20"/>
      <c r="J629" s="20"/>
      <c r="K629" s="20"/>
      <c r="L629" s="20"/>
      <c r="M629" s="20"/>
      <c r="N629" s="20"/>
      <c r="O629" s="20"/>
      <c r="P629" s="20"/>
      <c r="Q629" s="20"/>
      <c r="R629" s="20"/>
      <c r="S629" s="20"/>
      <c r="T629" s="20"/>
      <c r="U629" s="20"/>
    </row>
    <row r="630">
      <c r="A630" s="20"/>
      <c r="B630" s="20"/>
      <c r="C630" s="20"/>
      <c r="D630" s="20"/>
      <c r="E630" s="20"/>
      <c r="F630" s="20"/>
      <c r="G630" s="20"/>
      <c r="H630" s="20"/>
      <c r="I630" s="20"/>
      <c r="J630" s="20"/>
      <c r="K630" s="20"/>
      <c r="L630" s="20"/>
      <c r="M630" s="20"/>
      <c r="N630" s="20"/>
      <c r="O630" s="20"/>
      <c r="P630" s="20"/>
      <c r="Q630" s="20"/>
      <c r="R630" s="20"/>
      <c r="S630" s="20"/>
      <c r="T630" s="20"/>
      <c r="U630" s="20"/>
    </row>
    <row r="631">
      <c r="A631" s="20"/>
      <c r="B631" s="20"/>
      <c r="C631" s="20"/>
      <c r="D631" s="20"/>
      <c r="E631" s="20"/>
      <c r="F631" s="20"/>
      <c r="G631" s="20"/>
      <c r="H631" s="20"/>
      <c r="I631" s="20"/>
      <c r="J631" s="20"/>
      <c r="K631" s="20"/>
      <c r="L631" s="20"/>
      <c r="M631" s="20"/>
      <c r="N631" s="20"/>
      <c r="O631" s="20"/>
      <c r="P631" s="20"/>
      <c r="Q631" s="20"/>
      <c r="R631" s="20"/>
      <c r="S631" s="20"/>
      <c r="T631" s="20"/>
      <c r="U631" s="20"/>
    </row>
    <row r="632">
      <c r="A632" s="20"/>
      <c r="B632" s="20"/>
      <c r="C632" s="20"/>
      <c r="D632" s="20"/>
      <c r="E632" s="20"/>
      <c r="F632" s="20"/>
      <c r="G632" s="20"/>
      <c r="H632" s="20"/>
      <c r="I632" s="20"/>
      <c r="J632" s="20"/>
      <c r="K632" s="20"/>
      <c r="L632" s="20"/>
      <c r="M632" s="20"/>
      <c r="N632" s="20"/>
      <c r="O632" s="20"/>
      <c r="P632" s="20"/>
      <c r="Q632" s="20"/>
      <c r="R632" s="20"/>
      <c r="S632" s="20"/>
      <c r="T632" s="20"/>
      <c r="U632" s="20"/>
    </row>
    <row r="633">
      <c r="A633" s="20"/>
      <c r="B633" s="20"/>
      <c r="C633" s="20"/>
      <c r="D633" s="20"/>
      <c r="E633" s="20"/>
      <c r="F633" s="20"/>
      <c r="G633" s="20"/>
      <c r="H633" s="20"/>
      <c r="I633" s="20"/>
      <c r="J633" s="20"/>
      <c r="K633" s="20"/>
      <c r="L633" s="20"/>
      <c r="M633" s="20"/>
      <c r="N633" s="20"/>
      <c r="O633" s="20"/>
      <c r="P633" s="20"/>
      <c r="Q633" s="20"/>
      <c r="R633" s="20"/>
      <c r="S633" s="20"/>
      <c r="T633" s="20"/>
      <c r="U633" s="20"/>
    </row>
    <row r="634">
      <c r="A634" s="20"/>
      <c r="B634" s="20"/>
      <c r="C634" s="20"/>
      <c r="D634" s="20"/>
      <c r="E634" s="20"/>
      <c r="F634" s="20"/>
      <c r="G634" s="20"/>
      <c r="H634" s="20"/>
      <c r="I634" s="20"/>
      <c r="J634" s="20"/>
      <c r="K634" s="20"/>
      <c r="L634" s="20"/>
      <c r="M634" s="20"/>
      <c r="N634" s="20"/>
      <c r="O634" s="20"/>
      <c r="P634" s="20"/>
      <c r="Q634" s="20"/>
      <c r="R634" s="20"/>
      <c r="S634" s="20"/>
      <c r="T634" s="20"/>
      <c r="U634" s="20"/>
    </row>
    <row r="635">
      <c r="A635" s="20"/>
      <c r="B635" s="20"/>
      <c r="C635" s="20"/>
      <c r="D635" s="20"/>
      <c r="E635" s="20"/>
      <c r="F635" s="20"/>
      <c r="G635" s="20"/>
      <c r="H635" s="20"/>
      <c r="I635" s="20"/>
      <c r="J635" s="20"/>
      <c r="K635" s="20"/>
      <c r="L635" s="20"/>
      <c r="M635" s="20"/>
      <c r="N635" s="20"/>
      <c r="O635" s="20"/>
      <c r="P635" s="20"/>
      <c r="Q635" s="20"/>
      <c r="R635" s="20"/>
      <c r="S635" s="20"/>
      <c r="T635" s="20"/>
      <c r="U635" s="20"/>
    </row>
    <row r="636">
      <c r="A636" s="20"/>
      <c r="B636" s="20"/>
      <c r="C636" s="20"/>
      <c r="D636" s="20"/>
      <c r="E636" s="20"/>
      <c r="F636" s="20"/>
      <c r="G636" s="20"/>
      <c r="H636" s="20"/>
      <c r="I636" s="20"/>
      <c r="J636" s="20"/>
      <c r="K636" s="20"/>
      <c r="L636" s="20"/>
      <c r="M636" s="20"/>
      <c r="N636" s="20"/>
      <c r="O636" s="20"/>
      <c r="P636" s="20"/>
      <c r="Q636" s="20"/>
      <c r="R636" s="20"/>
      <c r="S636" s="20"/>
      <c r="T636" s="20"/>
      <c r="U636" s="20"/>
    </row>
    <row r="637">
      <c r="A637" s="20"/>
      <c r="B637" s="20"/>
      <c r="C637" s="20"/>
      <c r="D637" s="20"/>
      <c r="E637" s="20"/>
      <c r="F637" s="20"/>
      <c r="G637" s="20"/>
      <c r="H637" s="20"/>
      <c r="I637" s="20"/>
      <c r="J637" s="20"/>
      <c r="K637" s="20"/>
      <c r="L637" s="20"/>
      <c r="M637" s="20"/>
      <c r="N637" s="20"/>
      <c r="O637" s="20"/>
      <c r="P637" s="20"/>
      <c r="Q637" s="20"/>
      <c r="R637" s="20"/>
      <c r="S637" s="20"/>
      <c r="T637" s="20"/>
      <c r="U637" s="20"/>
    </row>
    <row r="638">
      <c r="A638" s="20"/>
      <c r="B638" s="20"/>
      <c r="C638" s="20"/>
      <c r="D638" s="20"/>
      <c r="E638" s="20"/>
      <c r="F638" s="20"/>
      <c r="G638" s="20"/>
      <c r="H638" s="20"/>
      <c r="I638" s="20"/>
      <c r="J638" s="20"/>
      <c r="K638" s="20"/>
      <c r="L638" s="20"/>
      <c r="M638" s="20"/>
      <c r="N638" s="20"/>
      <c r="O638" s="20"/>
      <c r="P638" s="20"/>
      <c r="Q638" s="20"/>
      <c r="R638" s="20"/>
      <c r="S638" s="20"/>
      <c r="T638" s="20"/>
      <c r="U638" s="20"/>
    </row>
    <row r="639">
      <c r="A639" s="20"/>
      <c r="B639" s="20"/>
      <c r="C639" s="20"/>
      <c r="D639" s="20"/>
      <c r="E639" s="20"/>
      <c r="F639" s="20"/>
      <c r="G639" s="20"/>
      <c r="H639" s="20"/>
      <c r="I639" s="20"/>
      <c r="J639" s="20"/>
      <c r="K639" s="20"/>
      <c r="L639" s="20"/>
      <c r="M639" s="20"/>
      <c r="N639" s="20"/>
      <c r="O639" s="20"/>
      <c r="P639" s="20"/>
      <c r="Q639" s="20"/>
      <c r="R639" s="20"/>
      <c r="S639" s="20"/>
      <c r="T639" s="20"/>
      <c r="U639" s="20"/>
    </row>
    <row r="640">
      <c r="A640" s="20"/>
      <c r="B640" s="20"/>
      <c r="C640" s="20"/>
      <c r="D640" s="20"/>
      <c r="E640" s="20"/>
      <c r="F640" s="20"/>
      <c r="G640" s="20"/>
      <c r="H640" s="20"/>
      <c r="I640" s="20"/>
      <c r="J640" s="20"/>
      <c r="K640" s="20"/>
      <c r="L640" s="20"/>
      <c r="M640" s="20"/>
      <c r="N640" s="20"/>
      <c r="O640" s="20"/>
      <c r="P640" s="20"/>
      <c r="Q640" s="20"/>
      <c r="R640" s="20"/>
      <c r="S640" s="20"/>
      <c r="T640" s="20"/>
      <c r="U640" s="20"/>
    </row>
    <row r="641">
      <c r="A641" s="20"/>
      <c r="B641" s="20"/>
      <c r="C641" s="20"/>
      <c r="D641" s="20"/>
      <c r="E641" s="20"/>
      <c r="F641" s="20"/>
      <c r="G641" s="20"/>
      <c r="H641" s="20"/>
      <c r="I641" s="20"/>
      <c r="J641" s="20"/>
      <c r="K641" s="20"/>
      <c r="L641" s="20"/>
      <c r="M641" s="20"/>
      <c r="N641" s="20"/>
      <c r="O641" s="20"/>
      <c r="P641" s="20"/>
      <c r="Q641" s="20"/>
      <c r="R641" s="20"/>
      <c r="S641" s="20"/>
      <c r="T641" s="20"/>
      <c r="U641" s="20"/>
    </row>
    <row r="642">
      <c r="A642" s="20"/>
      <c r="B642" s="20"/>
      <c r="C642" s="20"/>
      <c r="D642" s="20"/>
      <c r="E642" s="20"/>
      <c r="F642" s="20"/>
      <c r="G642" s="20"/>
      <c r="H642" s="20"/>
      <c r="I642" s="20"/>
      <c r="J642" s="20"/>
      <c r="K642" s="20"/>
      <c r="L642" s="20"/>
      <c r="M642" s="20"/>
      <c r="N642" s="20"/>
      <c r="O642" s="20"/>
      <c r="P642" s="20"/>
      <c r="Q642" s="20"/>
      <c r="R642" s="20"/>
      <c r="S642" s="20"/>
      <c r="T642" s="20"/>
      <c r="U642" s="20"/>
    </row>
    <row r="643">
      <c r="A643" s="20"/>
      <c r="B643" s="20"/>
      <c r="C643" s="20"/>
      <c r="D643" s="20"/>
      <c r="E643" s="20"/>
      <c r="F643" s="20"/>
      <c r="G643" s="20"/>
      <c r="H643" s="20"/>
      <c r="I643" s="20"/>
      <c r="J643" s="20"/>
      <c r="K643" s="20"/>
      <c r="L643" s="20"/>
      <c r="M643" s="20"/>
      <c r="N643" s="20"/>
      <c r="O643" s="20"/>
      <c r="P643" s="20"/>
      <c r="Q643" s="20"/>
      <c r="R643" s="20"/>
      <c r="S643" s="20"/>
      <c r="T643" s="20"/>
      <c r="U643" s="20"/>
    </row>
    <row r="644">
      <c r="A644" s="20"/>
      <c r="B644" s="20"/>
      <c r="C644" s="20"/>
      <c r="D644" s="20"/>
      <c r="E644" s="20"/>
      <c r="F644" s="20"/>
      <c r="G644" s="20"/>
      <c r="H644" s="20"/>
      <c r="I644" s="20"/>
      <c r="J644" s="20"/>
      <c r="K644" s="20"/>
      <c r="L644" s="20"/>
      <c r="M644" s="20"/>
      <c r="N644" s="20"/>
      <c r="O644" s="20"/>
      <c r="P644" s="20"/>
      <c r="Q644" s="20"/>
      <c r="R644" s="20"/>
      <c r="S644" s="20"/>
      <c r="T644" s="20"/>
      <c r="U644" s="20"/>
    </row>
    <row r="645">
      <c r="A645" s="20"/>
      <c r="B645" s="20"/>
      <c r="C645" s="20"/>
      <c r="D645" s="20"/>
      <c r="E645" s="20"/>
      <c r="F645" s="20"/>
      <c r="G645" s="20"/>
      <c r="H645" s="20"/>
      <c r="I645" s="20"/>
      <c r="J645" s="20"/>
      <c r="K645" s="20"/>
      <c r="L645" s="20"/>
      <c r="M645" s="20"/>
      <c r="N645" s="20"/>
      <c r="O645" s="20"/>
      <c r="P645" s="20"/>
      <c r="Q645" s="20"/>
      <c r="R645" s="20"/>
      <c r="S645" s="20"/>
      <c r="T645" s="20"/>
      <c r="U645" s="20"/>
    </row>
    <row r="646">
      <c r="A646" s="20"/>
      <c r="B646" s="20"/>
      <c r="C646" s="20"/>
      <c r="D646" s="20"/>
      <c r="E646" s="20"/>
      <c r="F646" s="20"/>
      <c r="G646" s="20"/>
      <c r="H646" s="20"/>
      <c r="I646" s="20"/>
      <c r="J646" s="20"/>
      <c r="K646" s="20"/>
      <c r="L646" s="20"/>
      <c r="M646" s="20"/>
      <c r="N646" s="20"/>
      <c r="O646" s="20"/>
      <c r="P646" s="20"/>
      <c r="Q646" s="20"/>
      <c r="R646" s="20"/>
      <c r="S646" s="20"/>
      <c r="T646" s="20"/>
      <c r="U646" s="20"/>
    </row>
    <row r="647">
      <c r="A647" s="20"/>
      <c r="B647" s="20"/>
      <c r="C647" s="20"/>
      <c r="D647" s="20"/>
      <c r="E647" s="20"/>
      <c r="F647" s="20"/>
      <c r="G647" s="20"/>
      <c r="H647" s="20"/>
      <c r="I647" s="20"/>
      <c r="J647" s="20"/>
      <c r="K647" s="20"/>
      <c r="L647" s="20"/>
      <c r="M647" s="20"/>
      <c r="N647" s="20"/>
      <c r="O647" s="20"/>
      <c r="P647" s="20"/>
      <c r="Q647" s="20"/>
      <c r="R647" s="20"/>
      <c r="S647" s="20"/>
      <c r="T647" s="20"/>
      <c r="U647" s="20"/>
    </row>
    <row r="648">
      <c r="A648" s="20"/>
      <c r="B648" s="20"/>
      <c r="C648" s="20"/>
      <c r="D648" s="20"/>
      <c r="E648" s="20"/>
      <c r="F648" s="20"/>
      <c r="G648" s="20"/>
      <c r="H648" s="20"/>
      <c r="I648" s="20"/>
      <c r="J648" s="20"/>
      <c r="K648" s="20"/>
      <c r="L648" s="20"/>
      <c r="M648" s="20"/>
      <c r="N648" s="20"/>
      <c r="O648" s="20"/>
      <c r="P648" s="20"/>
      <c r="Q648" s="20"/>
      <c r="R648" s="20"/>
      <c r="S648" s="20"/>
      <c r="T648" s="20"/>
      <c r="U648" s="20"/>
    </row>
    <row r="649">
      <c r="A649" s="20"/>
      <c r="B649" s="20"/>
      <c r="C649" s="20"/>
      <c r="D649" s="20"/>
      <c r="E649" s="20"/>
      <c r="F649" s="20"/>
      <c r="G649" s="20"/>
      <c r="H649" s="20"/>
      <c r="I649" s="20"/>
      <c r="J649" s="20"/>
      <c r="K649" s="20"/>
      <c r="L649" s="20"/>
      <c r="M649" s="20"/>
      <c r="N649" s="20"/>
      <c r="O649" s="20"/>
      <c r="P649" s="20"/>
      <c r="Q649" s="20"/>
      <c r="R649" s="20"/>
      <c r="S649" s="20"/>
      <c r="T649" s="20"/>
      <c r="U649" s="20"/>
    </row>
    <row r="650">
      <c r="A650" s="20"/>
      <c r="B650" s="20"/>
      <c r="C650" s="20"/>
      <c r="D650" s="20"/>
      <c r="E650" s="20"/>
      <c r="F650" s="20"/>
      <c r="G650" s="20"/>
      <c r="H650" s="20"/>
      <c r="I650" s="20"/>
      <c r="J650" s="20"/>
      <c r="K650" s="20"/>
      <c r="L650" s="20"/>
      <c r="M650" s="20"/>
      <c r="N650" s="20"/>
      <c r="O650" s="20"/>
      <c r="P650" s="20"/>
      <c r="Q650" s="20"/>
      <c r="R650" s="20"/>
      <c r="S650" s="20"/>
      <c r="T650" s="20"/>
      <c r="U650" s="20"/>
    </row>
    <row r="651">
      <c r="A651" s="20"/>
      <c r="B651" s="20"/>
      <c r="C651" s="20"/>
      <c r="D651" s="20"/>
      <c r="E651" s="20"/>
      <c r="F651" s="20"/>
      <c r="G651" s="20"/>
      <c r="H651" s="20"/>
      <c r="I651" s="20"/>
      <c r="J651" s="20"/>
      <c r="K651" s="20"/>
      <c r="L651" s="20"/>
      <c r="M651" s="20"/>
      <c r="N651" s="20"/>
      <c r="O651" s="20"/>
      <c r="P651" s="20"/>
      <c r="Q651" s="20"/>
      <c r="R651" s="20"/>
      <c r="S651" s="20"/>
      <c r="T651" s="20"/>
      <c r="U651" s="20"/>
    </row>
    <row r="652">
      <c r="A652" s="20"/>
      <c r="B652" s="20"/>
      <c r="C652" s="20"/>
      <c r="D652" s="20"/>
      <c r="E652" s="20"/>
      <c r="F652" s="20"/>
      <c r="G652" s="20"/>
      <c r="H652" s="20"/>
      <c r="I652" s="20"/>
      <c r="J652" s="20"/>
      <c r="K652" s="20"/>
      <c r="L652" s="20"/>
      <c r="M652" s="20"/>
      <c r="N652" s="20"/>
      <c r="O652" s="20"/>
      <c r="P652" s="20"/>
      <c r="Q652" s="20"/>
      <c r="R652" s="20"/>
      <c r="S652" s="20"/>
      <c r="T652" s="20"/>
      <c r="U652" s="20"/>
    </row>
    <row r="653">
      <c r="A653" s="20"/>
      <c r="B653" s="20"/>
      <c r="C653" s="20"/>
      <c r="D653" s="20"/>
      <c r="E653" s="20"/>
      <c r="F653" s="20"/>
      <c r="G653" s="20"/>
      <c r="H653" s="20"/>
      <c r="I653" s="20"/>
      <c r="J653" s="20"/>
      <c r="K653" s="20"/>
      <c r="L653" s="20"/>
      <c r="M653" s="20"/>
      <c r="N653" s="20"/>
      <c r="O653" s="20"/>
      <c r="P653" s="20"/>
      <c r="Q653" s="20"/>
      <c r="R653" s="20"/>
      <c r="S653" s="20"/>
      <c r="T653" s="20"/>
      <c r="U653" s="20"/>
    </row>
    <row r="654">
      <c r="A654" s="20"/>
      <c r="B654" s="20"/>
      <c r="C654" s="20"/>
      <c r="D654" s="20"/>
      <c r="E654" s="20"/>
      <c r="F654" s="20"/>
      <c r="G654" s="20"/>
      <c r="H654" s="20"/>
      <c r="I654" s="20"/>
      <c r="J654" s="20"/>
      <c r="K654" s="20"/>
      <c r="L654" s="20"/>
      <c r="M654" s="20"/>
      <c r="N654" s="20"/>
      <c r="O654" s="20"/>
      <c r="P654" s="20"/>
      <c r="Q654" s="20"/>
      <c r="R654" s="20"/>
      <c r="S654" s="20"/>
      <c r="T654" s="20"/>
      <c r="U654" s="20"/>
    </row>
    <row r="655">
      <c r="A655" s="20"/>
      <c r="B655" s="20"/>
      <c r="C655" s="20"/>
      <c r="D655" s="20"/>
      <c r="E655" s="20"/>
      <c r="F655" s="20"/>
      <c r="G655" s="20"/>
      <c r="H655" s="20"/>
      <c r="I655" s="20"/>
      <c r="J655" s="20"/>
      <c r="K655" s="20"/>
      <c r="L655" s="20"/>
      <c r="M655" s="20"/>
      <c r="N655" s="20"/>
      <c r="O655" s="20"/>
      <c r="P655" s="20"/>
      <c r="Q655" s="20"/>
      <c r="R655" s="20"/>
      <c r="S655" s="20"/>
      <c r="T655" s="20"/>
      <c r="U655" s="20"/>
    </row>
    <row r="656">
      <c r="A656" s="20"/>
      <c r="B656" s="20"/>
      <c r="C656" s="20"/>
      <c r="D656" s="20"/>
      <c r="E656" s="20"/>
      <c r="F656" s="20"/>
      <c r="G656" s="20"/>
      <c r="H656" s="20"/>
      <c r="I656" s="20"/>
      <c r="J656" s="20"/>
      <c r="K656" s="20"/>
      <c r="L656" s="20"/>
      <c r="M656" s="20"/>
      <c r="N656" s="20"/>
      <c r="O656" s="20"/>
      <c r="P656" s="20"/>
      <c r="Q656" s="20"/>
      <c r="R656" s="20"/>
      <c r="S656" s="20"/>
      <c r="T656" s="20"/>
      <c r="U656" s="20"/>
    </row>
    <row r="657">
      <c r="A657" s="20"/>
      <c r="B657" s="20"/>
      <c r="C657" s="20"/>
      <c r="D657" s="20"/>
      <c r="E657" s="20"/>
      <c r="F657" s="20"/>
      <c r="G657" s="20"/>
      <c r="H657" s="20"/>
      <c r="I657" s="20"/>
      <c r="J657" s="20"/>
      <c r="K657" s="20"/>
      <c r="L657" s="20"/>
      <c r="M657" s="20"/>
      <c r="N657" s="20"/>
      <c r="O657" s="20"/>
      <c r="P657" s="20"/>
      <c r="Q657" s="20"/>
      <c r="R657" s="20"/>
      <c r="S657" s="20"/>
      <c r="T657" s="20"/>
      <c r="U657" s="20"/>
    </row>
    <row r="658">
      <c r="A658" s="20"/>
      <c r="B658" s="20"/>
      <c r="C658" s="20"/>
      <c r="D658" s="20"/>
      <c r="E658" s="20"/>
      <c r="F658" s="20"/>
      <c r="G658" s="20"/>
      <c r="H658" s="20"/>
      <c r="I658" s="20"/>
      <c r="J658" s="20"/>
      <c r="K658" s="20"/>
      <c r="L658" s="20"/>
      <c r="M658" s="20"/>
      <c r="N658" s="20"/>
      <c r="O658" s="20"/>
      <c r="P658" s="20"/>
      <c r="Q658" s="20"/>
      <c r="R658" s="20"/>
      <c r="S658" s="20"/>
      <c r="T658" s="20"/>
      <c r="U658" s="20"/>
    </row>
    <row r="659">
      <c r="A659" s="20"/>
      <c r="B659" s="20"/>
      <c r="C659" s="20"/>
      <c r="D659" s="20"/>
      <c r="E659" s="20"/>
      <c r="F659" s="20"/>
      <c r="G659" s="20"/>
      <c r="H659" s="20"/>
      <c r="I659" s="20"/>
      <c r="J659" s="20"/>
      <c r="K659" s="20"/>
      <c r="L659" s="20"/>
      <c r="M659" s="20"/>
      <c r="N659" s="20"/>
      <c r="O659" s="20"/>
      <c r="P659" s="20"/>
      <c r="Q659" s="20"/>
      <c r="R659" s="20"/>
      <c r="S659" s="20"/>
      <c r="T659" s="20"/>
      <c r="U659" s="20"/>
    </row>
    <row r="660">
      <c r="A660" s="20"/>
      <c r="B660" s="20"/>
      <c r="C660" s="20"/>
      <c r="D660" s="20"/>
      <c r="E660" s="20"/>
      <c r="F660" s="20"/>
      <c r="G660" s="20"/>
      <c r="H660" s="20"/>
      <c r="I660" s="20"/>
      <c r="J660" s="20"/>
      <c r="K660" s="20"/>
      <c r="L660" s="20"/>
      <c r="M660" s="20"/>
      <c r="N660" s="20"/>
      <c r="O660" s="20"/>
      <c r="P660" s="20"/>
      <c r="Q660" s="20"/>
      <c r="R660" s="20"/>
      <c r="S660" s="20"/>
      <c r="T660" s="20"/>
      <c r="U660" s="20"/>
    </row>
    <row r="661">
      <c r="A661" s="20"/>
      <c r="B661" s="20"/>
      <c r="C661" s="20"/>
      <c r="D661" s="20"/>
      <c r="E661" s="20"/>
      <c r="F661" s="20"/>
      <c r="G661" s="20"/>
      <c r="H661" s="20"/>
      <c r="I661" s="20"/>
      <c r="J661" s="20"/>
      <c r="K661" s="20"/>
      <c r="L661" s="20"/>
      <c r="M661" s="20"/>
      <c r="N661" s="20"/>
      <c r="O661" s="20"/>
      <c r="P661" s="20"/>
      <c r="Q661" s="20"/>
      <c r="R661" s="20"/>
      <c r="S661" s="20"/>
      <c r="T661" s="20"/>
      <c r="U661" s="20"/>
    </row>
    <row r="662">
      <c r="A662" s="20"/>
      <c r="B662" s="20"/>
      <c r="C662" s="20"/>
      <c r="D662" s="20"/>
      <c r="E662" s="20"/>
      <c r="F662" s="20"/>
      <c r="G662" s="20"/>
      <c r="H662" s="20"/>
      <c r="I662" s="20"/>
      <c r="J662" s="20"/>
      <c r="K662" s="20"/>
      <c r="L662" s="20"/>
      <c r="M662" s="20"/>
      <c r="N662" s="20"/>
      <c r="O662" s="20"/>
      <c r="P662" s="20"/>
      <c r="Q662" s="20"/>
      <c r="R662" s="20"/>
      <c r="S662" s="20"/>
      <c r="T662" s="20"/>
      <c r="U662" s="20"/>
    </row>
    <row r="663">
      <c r="A663" s="20"/>
      <c r="B663" s="20"/>
      <c r="C663" s="20"/>
      <c r="D663" s="20"/>
      <c r="E663" s="20"/>
      <c r="F663" s="20"/>
      <c r="G663" s="20"/>
      <c r="H663" s="20"/>
      <c r="I663" s="20"/>
      <c r="J663" s="20"/>
      <c r="K663" s="20"/>
      <c r="L663" s="20"/>
      <c r="M663" s="20"/>
      <c r="N663" s="20"/>
      <c r="O663" s="20"/>
      <c r="P663" s="20"/>
      <c r="Q663" s="20"/>
      <c r="R663" s="20"/>
      <c r="S663" s="20"/>
      <c r="T663" s="20"/>
      <c r="U663" s="20"/>
    </row>
    <row r="664">
      <c r="A664" s="20"/>
      <c r="B664" s="20"/>
      <c r="C664" s="20"/>
      <c r="D664" s="20"/>
      <c r="E664" s="20"/>
      <c r="F664" s="20"/>
      <c r="G664" s="20"/>
      <c r="H664" s="20"/>
      <c r="I664" s="20"/>
      <c r="J664" s="20"/>
      <c r="K664" s="20"/>
      <c r="L664" s="20"/>
      <c r="M664" s="20"/>
      <c r="N664" s="20"/>
      <c r="O664" s="20"/>
      <c r="P664" s="20"/>
      <c r="Q664" s="20"/>
      <c r="R664" s="20"/>
      <c r="S664" s="20"/>
      <c r="T664" s="20"/>
      <c r="U664" s="20"/>
    </row>
    <row r="665">
      <c r="A665" s="20"/>
      <c r="B665" s="20"/>
      <c r="C665" s="20"/>
      <c r="D665" s="20"/>
      <c r="E665" s="20"/>
      <c r="F665" s="20"/>
      <c r="G665" s="20"/>
      <c r="H665" s="20"/>
      <c r="I665" s="20"/>
      <c r="J665" s="20"/>
      <c r="K665" s="20"/>
      <c r="L665" s="20"/>
      <c r="M665" s="20"/>
      <c r="N665" s="20"/>
      <c r="O665" s="20"/>
      <c r="P665" s="20"/>
      <c r="Q665" s="20"/>
      <c r="R665" s="20"/>
      <c r="S665" s="20"/>
      <c r="T665" s="20"/>
      <c r="U665" s="20"/>
    </row>
    <row r="666">
      <c r="A666" s="20"/>
      <c r="B666" s="20"/>
      <c r="C666" s="20"/>
      <c r="D666" s="20"/>
      <c r="E666" s="20"/>
      <c r="F666" s="20"/>
      <c r="G666" s="20"/>
      <c r="H666" s="20"/>
      <c r="I666" s="20"/>
      <c r="J666" s="20"/>
      <c r="K666" s="20"/>
      <c r="L666" s="20"/>
      <c r="M666" s="20"/>
      <c r="N666" s="20"/>
      <c r="O666" s="20"/>
      <c r="P666" s="20"/>
      <c r="Q666" s="20"/>
      <c r="R666" s="20"/>
      <c r="S666" s="20"/>
      <c r="T666" s="20"/>
      <c r="U666" s="20"/>
    </row>
    <row r="667">
      <c r="A667" s="20"/>
      <c r="B667" s="20"/>
      <c r="C667" s="20"/>
      <c r="D667" s="20"/>
      <c r="E667" s="20"/>
      <c r="F667" s="20"/>
      <c r="G667" s="20"/>
      <c r="H667" s="20"/>
      <c r="I667" s="20"/>
      <c r="J667" s="20"/>
      <c r="K667" s="20"/>
      <c r="L667" s="20"/>
      <c r="M667" s="20"/>
      <c r="N667" s="20"/>
      <c r="O667" s="20"/>
      <c r="P667" s="20"/>
      <c r="Q667" s="20"/>
      <c r="R667" s="20"/>
      <c r="S667" s="20"/>
      <c r="T667" s="20"/>
      <c r="U667" s="20"/>
    </row>
    <row r="668">
      <c r="A668" s="20"/>
      <c r="B668" s="20"/>
      <c r="C668" s="20"/>
      <c r="D668" s="20"/>
      <c r="E668" s="20"/>
      <c r="F668" s="20"/>
      <c r="G668" s="20"/>
      <c r="H668" s="20"/>
      <c r="I668" s="20"/>
      <c r="J668" s="20"/>
      <c r="K668" s="20"/>
      <c r="L668" s="20"/>
      <c r="M668" s="20"/>
      <c r="N668" s="20"/>
      <c r="O668" s="20"/>
      <c r="P668" s="20"/>
      <c r="Q668" s="20"/>
      <c r="R668" s="20"/>
      <c r="S668" s="20"/>
      <c r="T668" s="20"/>
      <c r="U668" s="20"/>
    </row>
    <row r="669">
      <c r="A669" s="20"/>
      <c r="B669" s="20"/>
      <c r="C669" s="20"/>
      <c r="D669" s="20"/>
      <c r="E669" s="20"/>
      <c r="F669" s="20"/>
      <c r="G669" s="20"/>
      <c r="H669" s="20"/>
      <c r="I669" s="20"/>
      <c r="J669" s="20"/>
      <c r="K669" s="20"/>
      <c r="L669" s="20"/>
      <c r="M669" s="20"/>
      <c r="N669" s="20"/>
      <c r="O669" s="20"/>
      <c r="P669" s="20"/>
      <c r="Q669" s="20"/>
      <c r="R669" s="20"/>
      <c r="S669" s="20"/>
      <c r="T669" s="20"/>
      <c r="U669" s="20"/>
    </row>
    <row r="670">
      <c r="A670" s="20"/>
      <c r="B670" s="20"/>
      <c r="C670" s="20"/>
      <c r="D670" s="20"/>
      <c r="E670" s="20"/>
      <c r="F670" s="20"/>
      <c r="G670" s="20"/>
      <c r="H670" s="20"/>
      <c r="I670" s="20"/>
      <c r="J670" s="20"/>
      <c r="K670" s="20"/>
      <c r="L670" s="20"/>
      <c r="M670" s="20"/>
      <c r="N670" s="20"/>
      <c r="O670" s="20"/>
      <c r="P670" s="20"/>
      <c r="Q670" s="20"/>
      <c r="R670" s="20"/>
      <c r="S670" s="20"/>
      <c r="T670" s="20"/>
      <c r="U670" s="20"/>
    </row>
    <row r="671">
      <c r="A671" s="20"/>
      <c r="B671" s="20"/>
      <c r="C671" s="20"/>
      <c r="D671" s="20"/>
      <c r="E671" s="20"/>
      <c r="F671" s="20"/>
      <c r="G671" s="20"/>
      <c r="H671" s="20"/>
      <c r="I671" s="20"/>
      <c r="J671" s="20"/>
      <c r="K671" s="20"/>
      <c r="L671" s="20"/>
      <c r="M671" s="20"/>
      <c r="N671" s="20"/>
      <c r="O671" s="20"/>
      <c r="P671" s="20"/>
      <c r="Q671" s="20"/>
      <c r="R671" s="20"/>
      <c r="S671" s="20"/>
      <c r="T671" s="20"/>
      <c r="U671" s="20"/>
    </row>
    <row r="672">
      <c r="A672" s="20"/>
      <c r="B672" s="20"/>
      <c r="C672" s="20"/>
      <c r="D672" s="20"/>
      <c r="E672" s="20"/>
      <c r="F672" s="20"/>
      <c r="G672" s="20"/>
      <c r="H672" s="20"/>
      <c r="I672" s="20"/>
      <c r="J672" s="20"/>
      <c r="K672" s="20"/>
      <c r="L672" s="20"/>
      <c r="M672" s="20"/>
      <c r="N672" s="20"/>
      <c r="O672" s="20"/>
      <c r="P672" s="20"/>
      <c r="Q672" s="20"/>
      <c r="R672" s="20"/>
      <c r="S672" s="20"/>
      <c r="T672" s="20"/>
      <c r="U672" s="20"/>
    </row>
    <row r="673">
      <c r="A673" s="20"/>
      <c r="B673" s="20"/>
      <c r="C673" s="20"/>
      <c r="D673" s="20"/>
      <c r="E673" s="20"/>
      <c r="F673" s="20"/>
      <c r="G673" s="20"/>
      <c r="H673" s="20"/>
      <c r="I673" s="20"/>
      <c r="J673" s="20"/>
      <c r="K673" s="20"/>
      <c r="L673" s="20"/>
      <c r="M673" s="20"/>
      <c r="N673" s="20"/>
      <c r="O673" s="20"/>
      <c r="P673" s="20"/>
      <c r="Q673" s="20"/>
      <c r="R673" s="20"/>
      <c r="S673" s="20"/>
      <c r="T673" s="20"/>
      <c r="U673" s="20"/>
    </row>
    <row r="674">
      <c r="A674" s="20"/>
      <c r="B674" s="20"/>
      <c r="C674" s="20"/>
      <c r="D674" s="20"/>
      <c r="E674" s="20"/>
      <c r="F674" s="20"/>
      <c r="G674" s="20"/>
      <c r="H674" s="20"/>
      <c r="I674" s="20"/>
      <c r="J674" s="20"/>
      <c r="K674" s="20"/>
      <c r="L674" s="20"/>
      <c r="M674" s="20"/>
      <c r="N674" s="20"/>
      <c r="O674" s="20"/>
      <c r="P674" s="20"/>
      <c r="Q674" s="20"/>
      <c r="R674" s="20"/>
      <c r="S674" s="20"/>
      <c r="T674" s="20"/>
      <c r="U674" s="20"/>
    </row>
    <row r="675">
      <c r="A675" s="20"/>
      <c r="B675" s="20"/>
      <c r="C675" s="20"/>
      <c r="D675" s="20"/>
      <c r="E675" s="20"/>
      <c r="F675" s="20"/>
      <c r="G675" s="20"/>
      <c r="H675" s="20"/>
      <c r="I675" s="20"/>
      <c r="J675" s="20"/>
      <c r="K675" s="20"/>
      <c r="L675" s="20"/>
      <c r="M675" s="20"/>
      <c r="N675" s="20"/>
      <c r="O675" s="20"/>
      <c r="P675" s="20"/>
      <c r="Q675" s="20"/>
      <c r="R675" s="20"/>
      <c r="S675" s="20"/>
      <c r="T675" s="20"/>
      <c r="U675" s="20"/>
    </row>
    <row r="676">
      <c r="A676" s="20"/>
      <c r="B676" s="20"/>
      <c r="C676" s="20"/>
      <c r="D676" s="20"/>
      <c r="E676" s="20"/>
      <c r="F676" s="20"/>
      <c r="G676" s="20"/>
      <c r="H676" s="20"/>
      <c r="I676" s="20"/>
      <c r="J676" s="20"/>
      <c r="K676" s="20"/>
      <c r="L676" s="20"/>
      <c r="M676" s="20"/>
      <c r="N676" s="20"/>
      <c r="O676" s="20"/>
      <c r="P676" s="20"/>
      <c r="Q676" s="20"/>
      <c r="R676" s="20"/>
      <c r="S676" s="20"/>
      <c r="T676" s="20"/>
      <c r="U676" s="20"/>
    </row>
    <row r="677">
      <c r="A677" s="20"/>
      <c r="B677" s="20"/>
      <c r="C677" s="20"/>
      <c r="D677" s="20"/>
      <c r="E677" s="20"/>
      <c r="F677" s="20"/>
      <c r="G677" s="20"/>
      <c r="H677" s="20"/>
      <c r="I677" s="20"/>
      <c r="J677" s="20"/>
      <c r="K677" s="20"/>
      <c r="L677" s="20"/>
      <c r="M677" s="20"/>
      <c r="N677" s="20"/>
      <c r="O677" s="20"/>
      <c r="P677" s="20"/>
      <c r="Q677" s="20"/>
      <c r="R677" s="20"/>
      <c r="S677" s="20"/>
      <c r="T677" s="20"/>
      <c r="U677" s="20"/>
    </row>
    <row r="678">
      <c r="A678" s="20"/>
      <c r="B678" s="20"/>
      <c r="C678" s="20"/>
      <c r="D678" s="20"/>
      <c r="E678" s="20"/>
      <c r="F678" s="20"/>
      <c r="G678" s="20"/>
      <c r="H678" s="20"/>
      <c r="I678" s="20"/>
      <c r="J678" s="20"/>
      <c r="K678" s="20"/>
      <c r="L678" s="20"/>
      <c r="M678" s="20"/>
      <c r="N678" s="20"/>
      <c r="O678" s="20"/>
      <c r="P678" s="20"/>
      <c r="Q678" s="20"/>
      <c r="R678" s="20"/>
      <c r="S678" s="20"/>
      <c r="T678" s="20"/>
      <c r="U678" s="20"/>
    </row>
    <row r="679">
      <c r="A679" s="20"/>
      <c r="B679" s="20"/>
      <c r="C679" s="20"/>
      <c r="D679" s="20"/>
      <c r="E679" s="20"/>
      <c r="F679" s="20"/>
      <c r="G679" s="20"/>
      <c r="H679" s="20"/>
      <c r="I679" s="20"/>
      <c r="J679" s="20"/>
      <c r="K679" s="20"/>
      <c r="L679" s="20"/>
      <c r="M679" s="20"/>
      <c r="N679" s="20"/>
      <c r="O679" s="20"/>
      <c r="P679" s="20"/>
      <c r="Q679" s="20"/>
      <c r="R679" s="20"/>
      <c r="S679" s="20"/>
      <c r="T679" s="20"/>
      <c r="U679" s="20"/>
    </row>
    <row r="680">
      <c r="A680" s="20"/>
      <c r="B680" s="20"/>
      <c r="C680" s="20"/>
      <c r="D680" s="20"/>
      <c r="E680" s="20"/>
      <c r="F680" s="20"/>
      <c r="G680" s="20"/>
      <c r="H680" s="20"/>
      <c r="I680" s="20"/>
      <c r="J680" s="20"/>
      <c r="K680" s="20"/>
      <c r="L680" s="20"/>
      <c r="M680" s="20"/>
      <c r="N680" s="20"/>
      <c r="O680" s="20"/>
      <c r="P680" s="20"/>
      <c r="Q680" s="20"/>
      <c r="R680" s="20"/>
      <c r="S680" s="20"/>
      <c r="T680" s="20"/>
      <c r="U680" s="20"/>
    </row>
    <row r="681">
      <c r="A681" s="20"/>
      <c r="B681" s="20"/>
      <c r="C681" s="20"/>
      <c r="D681" s="20"/>
      <c r="E681" s="20"/>
      <c r="F681" s="20"/>
      <c r="G681" s="20"/>
      <c r="H681" s="20"/>
      <c r="I681" s="20"/>
      <c r="J681" s="20"/>
      <c r="K681" s="20"/>
      <c r="L681" s="20"/>
      <c r="M681" s="20"/>
      <c r="N681" s="20"/>
      <c r="O681" s="20"/>
      <c r="P681" s="20"/>
      <c r="Q681" s="20"/>
      <c r="R681" s="20"/>
      <c r="S681" s="20"/>
      <c r="T681" s="20"/>
      <c r="U681" s="20"/>
    </row>
    <row r="682">
      <c r="A682" s="20"/>
      <c r="B682" s="20"/>
      <c r="C682" s="20"/>
      <c r="D682" s="20"/>
      <c r="E682" s="20"/>
      <c r="F682" s="20"/>
      <c r="G682" s="20"/>
      <c r="H682" s="20"/>
      <c r="I682" s="20"/>
      <c r="J682" s="20"/>
      <c r="K682" s="20"/>
      <c r="L682" s="20"/>
      <c r="M682" s="20"/>
      <c r="N682" s="20"/>
      <c r="O682" s="20"/>
      <c r="P682" s="20"/>
      <c r="Q682" s="20"/>
      <c r="R682" s="20"/>
      <c r="S682" s="20"/>
      <c r="T682" s="20"/>
      <c r="U682" s="20"/>
    </row>
    <row r="683">
      <c r="A683" s="20"/>
      <c r="B683" s="20"/>
      <c r="C683" s="20"/>
      <c r="D683" s="20"/>
      <c r="E683" s="20"/>
      <c r="F683" s="20"/>
      <c r="G683" s="20"/>
      <c r="H683" s="20"/>
      <c r="I683" s="20"/>
      <c r="J683" s="20"/>
      <c r="K683" s="20"/>
      <c r="L683" s="20"/>
      <c r="M683" s="20"/>
      <c r="N683" s="20"/>
      <c r="O683" s="20"/>
      <c r="P683" s="20"/>
      <c r="Q683" s="20"/>
      <c r="R683" s="20"/>
      <c r="S683" s="20"/>
      <c r="T683" s="20"/>
      <c r="U683" s="20"/>
    </row>
    <row r="684">
      <c r="A684" s="20"/>
      <c r="B684" s="20"/>
      <c r="C684" s="20"/>
      <c r="D684" s="20"/>
      <c r="E684" s="20"/>
      <c r="F684" s="20"/>
      <c r="G684" s="20"/>
      <c r="H684" s="20"/>
      <c r="I684" s="20"/>
      <c r="J684" s="20"/>
      <c r="K684" s="20"/>
      <c r="L684" s="20"/>
      <c r="M684" s="20"/>
      <c r="N684" s="20"/>
      <c r="O684" s="20"/>
      <c r="P684" s="20"/>
      <c r="Q684" s="20"/>
      <c r="R684" s="20"/>
      <c r="S684" s="20"/>
      <c r="T684" s="20"/>
      <c r="U684" s="20"/>
    </row>
    <row r="685">
      <c r="A685" s="20"/>
      <c r="B685" s="20"/>
      <c r="C685" s="20"/>
      <c r="D685" s="20"/>
      <c r="E685" s="20"/>
      <c r="F685" s="20"/>
      <c r="G685" s="20"/>
      <c r="H685" s="20"/>
      <c r="I685" s="20"/>
      <c r="J685" s="20"/>
      <c r="K685" s="20"/>
      <c r="L685" s="20"/>
      <c r="M685" s="20"/>
      <c r="N685" s="20"/>
      <c r="O685" s="20"/>
      <c r="P685" s="20"/>
      <c r="Q685" s="20"/>
      <c r="R685" s="20"/>
      <c r="S685" s="20"/>
      <c r="T685" s="20"/>
      <c r="U685" s="20"/>
    </row>
    <row r="686">
      <c r="A686" s="20"/>
      <c r="B686" s="20"/>
      <c r="C686" s="20"/>
      <c r="D686" s="20"/>
      <c r="E686" s="20"/>
      <c r="F686" s="20"/>
      <c r="G686" s="20"/>
      <c r="H686" s="20"/>
      <c r="I686" s="20"/>
      <c r="J686" s="20"/>
      <c r="K686" s="20"/>
      <c r="L686" s="20"/>
      <c r="M686" s="20"/>
      <c r="N686" s="20"/>
      <c r="O686" s="20"/>
      <c r="P686" s="20"/>
      <c r="Q686" s="20"/>
      <c r="R686" s="20"/>
      <c r="S686" s="20"/>
      <c r="T686" s="20"/>
      <c r="U686" s="20"/>
    </row>
    <row r="687">
      <c r="A687" s="20"/>
      <c r="B687" s="20"/>
      <c r="C687" s="20"/>
      <c r="D687" s="20"/>
      <c r="E687" s="20"/>
      <c r="F687" s="20"/>
      <c r="G687" s="20"/>
      <c r="H687" s="20"/>
      <c r="I687" s="20"/>
      <c r="J687" s="20"/>
      <c r="K687" s="20"/>
      <c r="L687" s="20"/>
      <c r="M687" s="20"/>
      <c r="N687" s="20"/>
      <c r="O687" s="20"/>
      <c r="P687" s="20"/>
      <c r="Q687" s="20"/>
      <c r="R687" s="20"/>
      <c r="S687" s="20"/>
      <c r="T687" s="20"/>
      <c r="U687" s="20"/>
    </row>
    <row r="688">
      <c r="A688" s="20"/>
      <c r="B688" s="20"/>
      <c r="C688" s="20"/>
      <c r="D688" s="20"/>
      <c r="E688" s="20"/>
      <c r="F688" s="20"/>
      <c r="G688" s="20"/>
      <c r="H688" s="20"/>
      <c r="I688" s="20"/>
      <c r="J688" s="20"/>
      <c r="K688" s="20"/>
      <c r="L688" s="20"/>
      <c r="M688" s="20"/>
      <c r="N688" s="20"/>
      <c r="O688" s="20"/>
      <c r="P688" s="20"/>
      <c r="Q688" s="20"/>
      <c r="R688" s="20"/>
      <c r="S688" s="20"/>
      <c r="T688" s="20"/>
      <c r="U688" s="20"/>
    </row>
    <row r="689">
      <c r="A689" s="20"/>
      <c r="B689" s="20"/>
      <c r="C689" s="20"/>
      <c r="D689" s="20"/>
      <c r="E689" s="20"/>
      <c r="F689" s="20"/>
      <c r="G689" s="20"/>
      <c r="H689" s="20"/>
      <c r="I689" s="20"/>
      <c r="J689" s="20"/>
      <c r="K689" s="20"/>
      <c r="L689" s="20"/>
      <c r="M689" s="20"/>
      <c r="N689" s="20"/>
      <c r="O689" s="20"/>
      <c r="P689" s="20"/>
      <c r="Q689" s="20"/>
      <c r="R689" s="20"/>
      <c r="S689" s="20"/>
      <c r="T689" s="20"/>
      <c r="U689" s="20"/>
    </row>
    <row r="690">
      <c r="A690" s="20"/>
      <c r="B690" s="20"/>
      <c r="C690" s="20"/>
      <c r="D690" s="20"/>
      <c r="E690" s="20"/>
      <c r="F690" s="20"/>
      <c r="G690" s="20"/>
      <c r="H690" s="20"/>
      <c r="I690" s="20"/>
      <c r="J690" s="20"/>
      <c r="K690" s="20"/>
      <c r="L690" s="20"/>
      <c r="M690" s="20"/>
      <c r="N690" s="20"/>
      <c r="O690" s="20"/>
      <c r="P690" s="20"/>
      <c r="Q690" s="20"/>
      <c r="R690" s="20"/>
      <c r="S690" s="20"/>
      <c r="T690" s="20"/>
      <c r="U690" s="20"/>
    </row>
    <row r="691">
      <c r="A691" s="20"/>
      <c r="B691" s="20"/>
      <c r="C691" s="20"/>
      <c r="D691" s="20"/>
      <c r="E691" s="20"/>
      <c r="F691" s="20"/>
      <c r="G691" s="20"/>
      <c r="H691" s="20"/>
      <c r="I691" s="20"/>
      <c r="J691" s="20"/>
      <c r="K691" s="20"/>
      <c r="L691" s="20"/>
      <c r="M691" s="20"/>
      <c r="N691" s="20"/>
      <c r="O691" s="20"/>
      <c r="P691" s="20"/>
      <c r="Q691" s="20"/>
      <c r="R691" s="20"/>
      <c r="S691" s="20"/>
      <c r="T691" s="20"/>
      <c r="U691" s="20"/>
    </row>
    <row r="692">
      <c r="A692" s="20"/>
      <c r="B692" s="20"/>
      <c r="C692" s="20"/>
      <c r="D692" s="20"/>
      <c r="E692" s="20"/>
      <c r="F692" s="20"/>
      <c r="G692" s="20"/>
      <c r="H692" s="20"/>
      <c r="I692" s="20"/>
      <c r="J692" s="20"/>
      <c r="K692" s="20"/>
      <c r="L692" s="20"/>
      <c r="M692" s="20"/>
      <c r="N692" s="20"/>
      <c r="O692" s="20"/>
      <c r="P692" s="20"/>
      <c r="Q692" s="20"/>
      <c r="R692" s="20"/>
      <c r="S692" s="20"/>
      <c r="T692" s="20"/>
      <c r="U692" s="20"/>
    </row>
    <row r="693">
      <c r="A693" s="20"/>
      <c r="B693" s="20"/>
      <c r="C693" s="20"/>
      <c r="D693" s="20"/>
      <c r="E693" s="20"/>
      <c r="F693" s="20"/>
      <c r="G693" s="20"/>
      <c r="H693" s="20"/>
      <c r="I693" s="20"/>
      <c r="J693" s="20"/>
      <c r="K693" s="20"/>
      <c r="L693" s="20"/>
      <c r="M693" s="20"/>
      <c r="N693" s="20"/>
      <c r="O693" s="20"/>
      <c r="P693" s="20"/>
      <c r="Q693" s="20"/>
      <c r="R693" s="20"/>
      <c r="S693" s="20"/>
      <c r="T693" s="20"/>
      <c r="U693" s="20"/>
    </row>
    <row r="694">
      <c r="A694" s="20"/>
      <c r="B694" s="20"/>
      <c r="C694" s="20"/>
      <c r="D694" s="20"/>
      <c r="E694" s="20"/>
      <c r="F694" s="20"/>
      <c r="G694" s="20"/>
      <c r="H694" s="20"/>
      <c r="I694" s="20"/>
      <c r="J694" s="20"/>
      <c r="K694" s="20"/>
      <c r="L694" s="20"/>
      <c r="M694" s="20"/>
      <c r="N694" s="20"/>
      <c r="O694" s="20"/>
      <c r="P694" s="20"/>
      <c r="Q694" s="20"/>
      <c r="R694" s="20"/>
      <c r="S694" s="20"/>
      <c r="T694" s="20"/>
      <c r="U694" s="20"/>
    </row>
    <row r="695">
      <c r="A695" s="20"/>
      <c r="B695" s="20"/>
      <c r="C695" s="20"/>
      <c r="D695" s="20"/>
      <c r="E695" s="20"/>
      <c r="F695" s="20"/>
      <c r="G695" s="20"/>
      <c r="H695" s="20"/>
      <c r="I695" s="20"/>
      <c r="J695" s="20"/>
      <c r="K695" s="20"/>
      <c r="L695" s="20"/>
      <c r="M695" s="20"/>
      <c r="N695" s="20"/>
      <c r="O695" s="20"/>
      <c r="P695" s="20"/>
      <c r="Q695" s="20"/>
      <c r="R695" s="20"/>
      <c r="S695" s="20"/>
      <c r="T695" s="20"/>
      <c r="U695" s="20"/>
    </row>
    <row r="696">
      <c r="A696" s="20"/>
      <c r="B696" s="20"/>
      <c r="C696" s="20"/>
      <c r="D696" s="20"/>
      <c r="E696" s="20"/>
      <c r="F696" s="20"/>
      <c r="G696" s="20"/>
      <c r="H696" s="20"/>
      <c r="I696" s="20"/>
      <c r="J696" s="20"/>
      <c r="K696" s="20"/>
      <c r="L696" s="20"/>
      <c r="M696" s="20"/>
      <c r="N696" s="20"/>
      <c r="O696" s="20"/>
      <c r="P696" s="20"/>
      <c r="Q696" s="20"/>
      <c r="R696" s="20"/>
      <c r="S696" s="20"/>
      <c r="T696" s="20"/>
      <c r="U696" s="20"/>
    </row>
    <row r="697">
      <c r="A697" s="20"/>
      <c r="B697" s="20"/>
      <c r="C697" s="20"/>
      <c r="D697" s="20"/>
      <c r="E697" s="20"/>
      <c r="F697" s="20"/>
      <c r="G697" s="20"/>
      <c r="H697" s="20"/>
      <c r="I697" s="20"/>
      <c r="J697" s="20"/>
      <c r="K697" s="20"/>
      <c r="L697" s="20"/>
      <c r="M697" s="20"/>
      <c r="N697" s="20"/>
      <c r="O697" s="20"/>
      <c r="P697" s="20"/>
      <c r="Q697" s="20"/>
      <c r="R697" s="20"/>
      <c r="S697" s="20"/>
      <c r="T697" s="20"/>
      <c r="U697" s="20"/>
    </row>
    <row r="698">
      <c r="A698" s="20"/>
      <c r="B698" s="20"/>
      <c r="C698" s="20"/>
      <c r="D698" s="20"/>
      <c r="E698" s="20"/>
      <c r="F698" s="20"/>
      <c r="G698" s="20"/>
      <c r="H698" s="20"/>
      <c r="I698" s="20"/>
      <c r="J698" s="20"/>
      <c r="K698" s="20"/>
      <c r="L698" s="20"/>
      <c r="M698" s="20"/>
      <c r="N698" s="20"/>
      <c r="O698" s="20"/>
      <c r="P698" s="20"/>
      <c r="Q698" s="20"/>
      <c r="R698" s="20"/>
      <c r="S698" s="20"/>
      <c r="T698" s="20"/>
      <c r="U698" s="20"/>
    </row>
    <row r="699">
      <c r="A699" s="20"/>
      <c r="B699" s="20"/>
      <c r="C699" s="20"/>
      <c r="D699" s="20"/>
      <c r="E699" s="20"/>
      <c r="F699" s="20"/>
      <c r="G699" s="20"/>
      <c r="H699" s="20"/>
      <c r="I699" s="20"/>
      <c r="J699" s="20"/>
      <c r="K699" s="20"/>
      <c r="L699" s="20"/>
      <c r="M699" s="20"/>
      <c r="N699" s="20"/>
      <c r="O699" s="20"/>
      <c r="P699" s="20"/>
      <c r="Q699" s="20"/>
      <c r="R699" s="20"/>
      <c r="S699" s="20"/>
      <c r="T699" s="20"/>
      <c r="U699" s="20"/>
    </row>
    <row r="700">
      <c r="A700" s="20"/>
      <c r="B700" s="20"/>
      <c r="C700" s="20"/>
      <c r="D700" s="20"/>
      <c r="E700" s="20"/>
      <c r="F700" s="20"/>
      <c r="G700" s="20"/>
      <c r="H700" s="20"/>
      <c r="I700" s="20"/>
      <c r="J700" s="20"/>
      <c r="K700" s="20"/>
      <c r="L700" s="20"/>
      <c r="M700" s="20"/>
      <c r="N700" s="20"/>
      <c r="O700" s="20"/>
      <c r="P700" s="20"/>
      <c r="Q700" s="20"/>
      <c r="R700" s="20"/>
      <c r="S700" s="20"/>
      <c r="T700" s="20"/>
      <c r="U700" s="20"/>
    </row>
    <row r="701">
      <c r="A701" s="20"/>
      <c r="B701" s="20"/>
      <c r="C701" s="20"/>
      <c r="D701" s="20"/>
      <c r="E701" s="20"/>
      <c r="F701" s="20"/>
      <c r="G701" s="20"/>
      <c r="H701" s="20"/>
      <c r="I701" s="20"/>
      <c r="J701" s="20"/>
      <c r="K701" s="20"/>
      <c r="L701" s="20"/>
      <c r="M701" s="20"/>
      <c r="N701" s="20"/>
      <c r="O701" s="20"/>
      <c r="P701" s="20"/>
      <c r="Q701" s="20"/>
      <c r="R701" s="20"/>
      <c r="S701" s="20"/>
      <c r="T701" s="20"/>
      <c r="U701" s="20"/>
    </row>
    <row r="702">
      <c r="A702" s="20"/>
      <c r="B702" s="20"/>
      <c r="C702" s="20"/>
      <c r="D702" s="20"/>
      <c r="E702" s="20"/>
      <c r="F702" s="20"/>
      <c r="G702" s="20"/>
      <c r="H702" s="20"/>
      <c r="I702" s="20"/>
      <c r="J702" s="20"/>
      <c r="K702" s="20"/>
      <c r="L702" s="20"/>
      <c r="M702" s="20"/>
      <c r="N702" s="20"/>
      <c r="O702" s="20"/>
      <c r="P702" s="20"/>
      <c r="Q702" s="20"/>
      <c r="R702" s="20"/>
      <c r="S702" s="20"/>
      <c r="T702" s="20"/>
      <c r="U702" s="20"/>
    </row>
    <row r="703">
      <c r="A703" s="20"/>
      <c r="B703" s="20"/>
      <c r="C703" s="20"/>
      <c r="D703" s="20"/>
      <c r="E703" s="20"/>
      <c r="F703" s="20"/>
      <c r="G703" s="20"/>
      <c r="H703" s="20"/>
      <c r="I703" s="20"/>
      <c r="J703" s="20"/>
      <c r="K703" s="20"/>
      <c r="L703" s="20"/>
      <c r="M703" s="20"/>
      <c r="N703" s="20"/>
      <c r="O703" s="20"/>
      <c r="P703" s="20"/>
      <c r="Q703" s="20"/>
      <c r="R703" s="20"/>
      <c r="S703" s="20"/>
      <c r="T703" s="20"/>
      <c r="U703" s="20"/>
    </row>
    <row r="704">
      <c r="A704" s="20"/>
      <c r="B704" s="20"/>
      <c r="C704" s="20"/>
      <c r="D704" s="20"/>
      <c r="E704" s="20"/>
      <c r="F704" s="20"/>
      <c r="G704" s="20"/>
      <c r="H704" s="20"/>
      <c r="I704" s="20"/>
      <c r="J704" s="20"/>
      <c r="K704" s="20"/>
      <c r="L704" s="20"/>
      <c r="M704" s="20"/>
      <c r="N704" s="20"/>
      <c r="O704" s="20"/>
      <c r="P704" s="20"/>
      <c r="Q704" s="20"/>
      <c r="R704" s="20"/>
      <c r="S704" s="20"/>
      <c r="T704" s="20"/>
      <c r="U704" s="20"/>
    </row>
    <row r="705">
      <c r="A705" s="20"/>
      <c r="B705" s="20"/>
      <c r="C705" s="20"/>
      <c r="D705" s="20"/>
      <c r="E705" s="20"/>
      <c r="F705" s="20"/>
      <c r="G705" s="20"/>
      <c r="H705" s="20"/>
      <c r="I705" s="20"/>
      <c r="J705" s="20"/>
      <c r="K705" s="20"/>
      <c r="L705" s="20"/>
      <c r="M705" s="20"/>
      <c r="N705" s="20"/>
      <c r="O705" s="20"/>
      <c r="P705" s="20"/>
      <c r="Q705" s="20"/>
      <c r="R705" s="20"/>
      <c r="S705" s="20"/>
      <c r="T705" s="20"/>
      <c r="U705" s="20"/>
    </row>
    <row r="706">
      <c r="A706" s="20"/>
      <c r="B706" s="20"/>
      <c r="C706" s="20"/>
      <c r="D706" s="20"/>
      <c r="E706" s="20"/>
      <c r="F706" s="20"/>
      <c r="G706" s="20"/>
      <c r="H706" s="20"/>
      <c r="I706" s="20"/>
      <c r="J706" s="20"/>
      <c r="K706" s="20"/>
      <c r="L706" s="20"/>
      <c r="M706" s="20"/>
      <c r="N706" s="20"/>
      <c r="O706" s="20"/>
      <c r="P706" s="20"/>
      <c r="Q706" s="20"/>
      <c r="R706" s="20"/>
      <c r="S706" s="20"/>
      <c r="T706" s="20"/>
      <c r="U706" s="20"/>
    </row>
    <row r="707">
      <c r="A707" s="20"/>
      <c r="B707" s="20"/>
      <c r="C707" s="20"/>
      <c r="D707" s="20"/>
      <c r="E707" s="20"/>
      <c r="F707" s="20"/>
      <c r="G707" s="20"/>
      <c r="H707" s="20"/>
      <c r="I707" s="20"/>
      <c r="J707" s="20"/>
      <c r="K707" s="20"/>
      <c r="L707" s="20"/>
      <c r="M707" s="20"/>
      <c r="N707" s="20"/>
      <c r="O707" s="20"/>
      <c r="P707" s="20"/>
      <c r="Q707" s="20"/>
      <c r="R707" s="20"/>
      <c r="S707" s="20"/>
      <c r="T707" s="20"/>
      <c r="U707" s="20"/>
    </row>
    <row r="708">
      <c r="A708" s="20"/>
      <c r="B708" s="20"/>
      <c r="C708" s="20"/>
      <c r="D708" s="20"/>
      <c r="E708" s="20"/>
      <c r="F708" s="20"/>
      <c r="G708" s="20"/>
      <c r="H708" s="20"/>
      <c r="I708" s="20"/>
      <c r="J708" s="20"/>
      <c r="K708" s="20"/>
      <c r="L708" s="20"/>
      <c r="M708" s="20"/>
      <c r="N708" s="20"/>
      <c r="O708" s="20"/>
      <c r="P708" s="20"/>
      <c r="Q708" s="20"/>
      <c r="R708" s="20"/>
      <c r="S708" s="20"/>
      <c r="T708" s="20"/>
      <c r="U708" s="20"/>
    </row>
    <row r="709">
      <c r="A709" s="20"/>
      <c r="B709" s="20"/>
      <c r="C709" s="20"/>
      <c r="D709" s="20"/>
      <c r="E709" s="20"/>
      <c r="F709" s="20"/>
      <c r="G709" s="20"/>
      <c r="H709" s="20"/>
      <c r="I709" s="20"/>
      <c r="J709" s="20"/>
      <c r="K709" s="20"/>
      <c r="L709" s="20"/>
      <c r="M709" s="20"/>
      <c r="N709" s="20"/>
      <c r="O709" s="20"/>
      <c r="P709" s="20"/>
      <c r="Q709" s="20"/>
      <c r="R709" s="20"/>
      <c r="S709" s="20"/>
      <c r="T709" s="20"/>
      <c r="U709" s="20"/>
    </row>
    <row r="710">
      <c r="A710" s="20"/>
      <c r="B710" s="20"/>
      <c r="C710" s="20"/>
      <c r="D710" s="20"/>
      <c r="E710" s="20"/>
      <c r="F710" s="20"/>
      <c r="G710" s="20"/>
      <c r="H710" s="20"/>
      <c r="I710" s="20"/>
      <c r="J710" s="20"/>
      <c r="K710" s="20"/>
      <c r="L710" s="20"/>
      <c r="M710" s="20"/>
      <c r="N710" s="20"/>
      <c r="O710" s="20"/>
      <c r="P710" s="20"/>
      <c r="Q710" s="20"/>
      <c r="R710" s="20"/>
      <c r="S710" s="20"/>
      <c r="T710" s="20"/>
      <c r="U710" s="20"/>
    </row>
    <row r="711">
      <c r="A711" s="20"/>
      <c r="B711" s="20"/>
      <c r="C711" s="20"/>
      <c r="D711" s="20"/>
      <c r="E711" s="20"/>
      <c r="F711" s="20"/>
      <c r="G711" s="20"/>
      <c r="H711" s="20"/>
      <c r="I711" s="20"/>
      <c r="J711" s="20"/>
      <c r="K711" s="20"/>
      <c r="L711" s="20"/>
      <c r="M711" s="20"/>
      <c r="N711" s="20"/>
      <c r="O711" s="20"/>
      <c r="P711" s="20"/>
      <c r="Q711" s="20"/>
      <c r="R711" s="20"/>
      <c r="S711" s="20"/>
      <c r="T711" s="20"/>
      <c r="U711" s="20"/>
    </row>
    <row r="712">
      <c r="A712" s="20"/>
      <c r="B712" s="20"/>
      <c r="C712" s="20"/>
      <c r="D712" s="20"/>
      <c r="E712" s="20"/>
      <c r="F712" s="20"/>
      <c r="G712" s="20"/>
      <c r="H712" s="20"/>
      <c r="I712" s="20"/>
      <c r="J712" s="20"/>
      <c r="K712" s="20"/>
      <c r="L712" s="20"/>
      <c r="M712" s="20"/>
      <c r="N712" s="20"/>
      <c r="O712" s="20"/>
      <c r="P712" s="20"/>
      <c r="Q712" s="20"/>
      <c r="R712" s="20"/>
      <c r="S712" s="20"/>
      <c r="T712" s="20"/>
      <c r="U712" s="20"/>
    </row>
    <row r="713">
      <c r="A713" s="20"/>
      <c r="B713" s="20"/>
      <c r="C713" s="20"/>
      <c r="D713" s="20"/>
      <c r="E713" s="20"/>
      <c r="F713" s="20"/>
      <c r="G713" s="20"/>
      <c r="H713" s="20"/>
      <c r="I713" s="20"/>
      <c r="J713" s="20"/>
      <c r="K713" s="20"/>
      <c r="L713" s="20"/>
      <c r="M713" s="20"/>
      <c r="N713" s="20"/>
      <c r="O713" s="20"/>
      <c r="P713" s="20"/>
      <c r="Q713" s="20"/>
      <c r="R713" s="20"/>
      <c r="S713" s="20"/>
      <c r="T713" s="20"/>
      <c r="U713" s="20"/>
    </row>
    <row r="714">
      <c r="A714" s="20"/>
      <c r="B714" s="20"/>
      <c r="C714" s="20"/>
      <c r="D714" s="20"/>
      <c r="E714" s="20"/>
      <c r="F714" s="20"/>
      <c r="G714" s="20"/>
      <c r="H714" s="20"/>
      <c r="I714" s="20"/>
      <c r="J714" s="20"/>
      <c r="K714" s="20"/>
      <c r="L714" s="20"/>
      <c r="M714" s="20"/>
      <c r="N714" s="20"/>
      <c r="O714" s="20"/>
      <c r="P714" s="20"/>
      <c r="Q714" s="20"/>
      <c r="R714" s="20"/>
      <c r="S714" s="20"/>
      <c r="T714" s="20"/>
      <c r="U714" s="20"/>
    </row>
    <row r="715">
      <c r="A715" s="20"/>
      <c r="B715" s="20"/>
      <c r="C715" s="20"/>
      <c r="D715" s="20"/>
      <c r="E715" s="20"/>
      <c r="F715" s="20"/>
      <c r="G715" s="20"/>
      <c r="H715" s="20"/>
      <c r="I715" s="20"/>
      <c r="J715" s="20"/>
      <c r="K715" s="20"/>
      <c r="L715" s="20"/>
      <c r="M715" s="20"/>
      <c r="N715" s="20"/>
      <c r="O715" s="20"/>
      <c r="P715" s="20"/>
      <c r="Q715" s="20"/>
      <c r="R715" s="20"/>
      <c r="S715" s="20"/>
      <c r="T715" s="20"/>
      <c r="U715" s="20"/>
    </row>
    <row r="716">
      <c r="A716" s="20"/>
      <c r="B716" s="20"/>
      <c r="C716" s="20"/>
      <c r="D716" s="20"/>
      <c r="E716" s="20"/>
      <c r="F716" s="20"/>
      <c r="G716" s="20"/>
      <c r="H716" s="20"/>
      <c r="I716" s="20"/>
      <c r="J716" s="20"/>
      <c r="K716" s="20"/>
      <c r="L716" s="20"/>
      <c r="M716" s="20"/>
      <c r="N716" s="20"/>
      <c r="O716" s="20"/>
      <c r="P716" s="20"/>
      <c r="Q716" s="20"/>
      <c r="R716" s="20"/>
      <c r="S716" s="20"/>
      <c r="T716" s="20"/>
      <c r="U716" s="20"/>
    </row>
    <row r="717">
      <c r="A717" s="20"/>
      <c r="B717" s="20"/>
      <c r="C717" s="20"/>
      <c r="D717" s="20"/>
      <c r="E717" s="20"/>
      <c r="F717" s="20"/>
      <c r="G717" s="20"/>
      <c r="H717" s="20"/>
      <c r="I717" s="20"/>
      <c r="J717" s="20"/>
      <c r="K717" s="20"/>
      <c r="L717" s="20"/>
      <c r="M717" s="20"/>
      <c r="N717" s="20"/>
      <c r="O717" s="20"/>
      <c r="P717" s="20"/>
      <c r="Q717" s="20"/>
      <c r="R717" s="20"/>
      <c r="S717" s="20"/>
      <c r="T717" s="20"/>
      <c r="U717" s="20"/>
    </row>
    <row r="718">
      <c r="A718" s="20"/>
      <c r="B718" s="20"/>
      <c r="C718" s="20"/>
      <c r="D718" s="20"/>
      <c r="E718" s="20"/>
      <c r="F718" s="20"/>
      <c r="G718" s="20"/>
      <c r="H718" s="20"/>
      <c r="I718" s="20"/>
      <c r="J718" s="20"/>
      <c r="K718" s="20"/>
      <c r="L718" s="20"/>
      <c r="M718" s="20"/>
      <c r="N718" s="20"/>
      <c r="O718" s="20"/>
      <c r="P718" s="20"/>
      <c r="Q718" s="20"/>
      <c r="R718" s="20"/>
      <c r="S718" s="20"/>
      <c r="T718" s="20"/>
      <c r="U718" s="20"/>
    </row>
    <row r="719">
      <c r="A719" s="20"/>
      <c r="B719" s="20"/>
      <c r="C719" s="20"/>
      <c r="D719" s="20"/>
      <c r="E719" s="20"/>
      <c r="F719" s="20"/>
      <c r="G719" s="20"/>
      <c r="H719" s="20"/>
      <c r="I719" s="20"/>
      <c r="J719" s="20"/>
      <c r="K719" s="20"/>
      <c r="L719" s="20"/>
      <c r="M719" s="20"/>
      <c r="N719" s="20"/>
      <c r="O719" s="20"/>
      <c r="P719" s="20"/>
      <c r="Q719" s="20"/>
      <c r="R719" s="20"/>
      <c r="S719" s="20"/>
      <c r="T719" s="20"/>
      <c r="U719" s="20"/>
    </row>
    <row r="720">
      <c r="A720" s="20"/>
      <c r="B720" s="20"/>
      <c r="C720" s="20"/>
      <c r="D720" s="20"/>
      <c r="E720" s="20"/>
      <c r="F720" s="20"/>
      <c r="G720" s="20"/>
      <c r="H720" s="20"/>
      <c r="I720" s="20"/>
      <c r="J720" s="20"/>
      <c r="K720" s="20"/>
      <c r="L720" s="20"/>
      <c r="M720" s="20"/>
      <c r="N720" s="20"/>
      <c r="O720" s="20"/>
      <c r="P720" s="20"/>
      <c r="Q720" s="20"/>
      <c r="R720" s="20"/>
      <c r="S720" s="20"/>
      <c r="T720" s="20"/>
      <c r="U720" s="20"/>
    </row>
    <row r="721">
      <c r="A721" s="20"/>
      <c r="B721" s="20"/>
      <c r="C721" s="20"/>
      <c r="D721" s="20"/>
      <c r="E721" s="20"/>
      <c r="F721" s="20"/>
      <c r="G721" s="20"/>
      <c r="H721" s="20"/>
      <c r="I721" s="20"/>
      <c r="J721" s="20"/>
      <c r="K721" s="20"/>
      <c r="L721" s="20"/>
      <c r="M721" s="20"/>
      <c r="N721" s="20"/>
      <c r="O721" s="20"/>
      <c r="P721" s="20"/>
      <c r="Q721" s="20"/>
      <c r="R721" s="20"/>
      <c r="S721" s="20"/>
      <c r="T721" s="20"/>
      <c r="U721" s="20"/>
    </row>
    <row r="722">
      <c r="A722" s="20"/>
      <c r="B722" s="20"/>
      <c r="C722" s="20"/>
      <c r="D722" s="20"/>
      <c r="E722" s="20"/>
      <c r="F722" s="20"/>
      <c r="G722" s="20"/>
      <c r="H722" s="20"/>
      <c r="I722" s="20"/>
      <c r="J722" s="20"/>
      <c r="K722" s="20"/>
      <c r="L722" s="20"/>
      <c r="M722" s="20"/>
      <c r="N722" s="20"/>
      <c r="O722" s="20"/>
      <c r="P722" s="20"/>
      <c r="Q722" s="20"/>
      <c r="R722" s="20"/>
      <c r="S722" s="20"/>
      <c r="T722" s="20"/>
      <c r="U722" s="20"/>
    </row>
    <row r="723">
      <c r="A723" s="20"/>
      <c r="B723" s="20"/>
      <c r="C723" s="20"/>
      <c r="D723" s="20"/>
      <c r="E723" s="20"/>
      <c r="F723" s="20"/>
      <c r="G723" s="20"/>
      <c r="H723" s="20"/>
      <c r="I723" s="20"/>
      <c r="J723" s="20"/>
      <c r="K723" s="20"/>
      <c r="L723" s="20"/>
      <c r="M723" s="20"/>
      <c r="N723" s="20"/>
      <c r="O723" s="20"/>
      <c r="P723" s="20"/>
      <c r="Q723" s="20"/>
      <c r="R723" s="20"/>
      <c r="S723" s="20"/>
      <c r="T723" s="20"/>
      <c r="U723" s="20"/>
    </row>
    <row r="724">
      <c r="A724" s="20"/>
      <c r="B724" s="20"/>
      <c r="C724" s="20"/>
      <c r="D724" s="20"/>
      <c r="E724" s="20"/>
      <c r="F724" s="20"/>
      <c r="G724" s="20"/>
      <c r="H724" s="20"/>
      <c r="I724" s="20"/>
      <c r="J724" s="20"/>
      <c r="K724" s="20"/>
      <c r="L724" s="20"/>
      <c r="M724" s="20"/>
      <c r="N724" s="20"/>
      <c r="O724" s="20"/>
      <c r="P724" s="20"/>
      <c r="Q724" s="20"/>
      <c r="R724" s="20"/>
      <c r="S724" s="20"/>
      <c r="T724" s="20"/>
      <c r="U724" s="20"/>
    </row>
    <row r="725">
      <c r="A725" s="20"/>
      <c r="B725" s="20"/>
      <c r="C725" s="20"/>
      <c r="D725" s="20"/>
      <c r="E725" s="20"/>
      <c r="F725" s="20"/>
      <c r="G725" s="20"/>
      <c r="H725" s="20"/>
      <c r="I725" s="20"/>
      <c r="J725" s="20"/>
      <c r="K725" s="20"/>
      <c r="L725" s="20"/>
      <c r="M725" s="20"/>
      <c r="N725" s="20"/>
      <c r="O725" s="20"/>
      <c r="P725" s="20"/>
      <c r="Q725" s="20"/>
      <c r="R725" s="20"/>
      <c r="S725" s="20"/>
      <c r="T725" s="20"/>
      <c r="U725" s="20"/>
    </row>
    <row r="726">
      <c r="A726" s="20"/>
      <c r="B726" s="20"/>
      <c r="C726" s="20"/>
      <c r="D726" s="20"/>
      <c r="E726" s="20"/>
      <c r="F726" s="20"/>
      <c r="G726" s="20"/>
      <c r="H726" s="20"/>
      <c r="I726" s="20"/>
      <c r="J726" s="20"/>
      <c r="K726" s="20"/>
      <c r="L726" s="20"/>
      <c r="M726" s="20"/>
      <c r="N726" s="20"/>
      <c r="O726" s="20"/>
      <c r="P726" s="20"/>
      <c r="Q726" s="20"/>
      <c r="R726" s="20"/>
      <c r="S726" s="20"/>
      <c r="T726" s="20"/>
      <c r="U726" s="20"/>
    </row>
    <row r="727">
      <c r="A727" s="20"/>
      <c r="B727" s="20"/>
      <c r="C727" s="20"/>
      <c r="D727" s="20"/>
      <c r="E727" s="20"/>
      <c r="F727" s="20"/>
      <c r="G727" s="20"/>
      <c r="H727" s="20"/>
      <c r="I727" s="20"/>
      <c r="J727" s="20"/>
      <c r="K727" s="20"/>
      <c r="L727" s="20"/>
      <c r="M727" s="20"/>
      <c r="N727" s="20"/>
      <c r="O727" s="20"/>
      <c r="P727" s="20"/>
      <c r="Q727" s="20"/>
      <c r="R727" s="20"/>
      <c r="S727" s="20"/>
      <c r="T727" s="20"/>
      <c r="U727" s="20"/>
    </row>
    <row r="728">
      <c r="A728" s="20"/>
      <c r="B728" s="20"/>
      <c r="C728" s="20"/>
      <c r="D728" s="20"/>
      <c r="E728" s="20"/>
      <c r="F728" s="20"/>
      <c r="G728" s="20"/>
      <c r="H728" s="20"/>
      <c r="I728" s="20"/>
      <c r="J728" s="20"/>
      <c r="K728" s="20"/>
      <c r="L728" s="20"/>
      <c r="M728" s="20"/>
      <c r="N728" s="20"/>
      <c r="O728" s="20"/>
      <c r="P728" s="20"/>
      <c r="Q728" s="20"/>
      <c r="R728" s="20"/>
      <c r="S728" s="20"/>
      <c r="T728" s="20"/>
      <c r="U728" s="20"/>
    </row>
    <row r="729">
      <c r="A729" s="20"/>
      <c r="B729" s="20"/>
      <c r="C729" s="20"/>
      <c r="D729" s="20"/>
      <c r="E729" s="20"/>
      <c r="F729" s="20"/>
      <c r="G729" s="20"/>
      <c r="H729" s="20"/>
      <c r="I729" s="20"/>
      <c r="J729" s="20"/>
      <c r="K729" s="20"/>
      <c r="L729" s="20"/>
      <c r="M729" s="20"/>
      <c r="N729" s="20"/>
      <c r="O729" s="20"/>
      <c r="P729" s="20"/>
      <c r="Q729" s="20"/>
      <c r="R729" s="20"/>
      <c r="S729" s="20"/>
      <c r="T729" s="20"/>
      <c r="U729" s="20"/>
    </row>
    <row r="730">
      <c r="A730" s="20"/>
      <c r="B730" s="20"/>
      <c r="C730" s="20"/>
      <c r="D730" s="20"/>
      <c r="E730" s="20"/>
      <c r="F730" s="20"/>
      <c r="G730" s="20"/>
      <c r="H730" s="20"/>
      <c r="I730" s="20"/>
      <c r="J730" s="20"/>
      <c r="K730" s="20"/>
      <c r="L730" s="20"/>
      <c r="M730" s="20"/>
      <c r="N730" s="20"/>
      <c r="O730" s="20"/>
      <c r="P730" s="20"/>
      <c r="Q730" s="20"/>
      <c r="R730" s="20"/>
      <c r="S730" s="20"/>
      <c r="T730" s="20"/>
      <c r="U730" s="20"/>
    </row>
    <row r="731">
      <c r="A731" s="20"/>
      <c r="B731" s="20"/>
      <c r="C731" s="20"/>
      <c r="D731" s="20"/>
      <c r="E731" s="20"/>
      <c r="F731" s="20"/>
      <c r="G731" s="20"/>
      <c r="H731" s="20"/>
      <c r="I731" s="20"/>
      <c r="J731" s="20"/>
      <c r="K731" s="20"/>
      <c r="L731" s="20"/>
      <c r="M731" s="20"/>
      <c r="N731" s="20"/>
      <c r="O731" s="20"/>
      <c r="P731" s="20"/>
      <c r="Q731" s="20"/>
      <c r="R731" s="20"/>
      <c r="S731" s="20"/>
      <c r="T731" s="20"/>
      <c r="U731" s="20"/>
    </row>
    <row r="732">
      <c r="A732" s="20"/>
      <c r="B732" s="20"/>
      <c r="C732" s="20"/>
      <c r="D732" s="20"/>
      <c r="E732" s="20"/>
      <c r="F732" s="20"/>
      <c r="G732" s="20"/>
      <c r="H732" s="20"/>
      <c r="I732" s="20"/>
      <c r="J732" s="20"/>
      <c r="K732" s="20"/>
      <c r="L732" s="20"/>
      <c r="M732" s="20"/>
      <c r="N732" s="20"/>
      <c r="O732" s="20"/>
      <c r="P732" s="20"/>
      <c r="Q732" s="20"/>
      <c r="R732" s="20"/>
      <c r="S732" s="20"/>
      <c r="T732" s="20"/>
      <c r="U732" s="20"/>
    </row>
    <row r="733">
      <c r="A733" s="20"/>
      <c r="B733" s="20"/>
      <c r="C733" s="20"/>
      <c r="D733" s="20"/>
      <c r="E733" s="20"/>
      <c r="F733" s="20"/>
      <c r="G733" s="20"/>
      <c r="H733" s="20"/>
      <c r="I733" s="20"/>
      <c r="J733" s="20"/>
      <c r="K733" s="20"/>
      <c r="L733" s="20"/>
      <c r="M733" s="20"/>
      <c r="N733" s="20"/>
      <c r="O733" s="20"/>
      <c r="P733" s="20"/>
      <c r="Q733" s="20"/>
      <c r="R733" s="20"/>
      <c r="S733" s="20"/>
      <c r="T733" s="20"/>
      <c r="U733" s="20"/>
    </row>
    <row r="734">
      <c r="A734" s="20"/>
      <c r="B734" s="20"/>
      <c r="C734" s="20"/>
      <c r="D734" s="20"/>
      <c r="E734" s="20"/>
      <c r="F734" s="20"/>
      <c r="G734" s="20"/>
      <c r="H734" s="20"/>
      <c r="I734" s="20"/>
      <c r="J734" s="20"/>
      <c r="K734" s="20"/>
      <c r="L734" s="20"/>
      <c r="M734" s="20"/>
      <c r="N734" s="20"/>
      <c r="O734" s="20"/>
      <c r="P734" s="20"/>
      <c r="Q734" s="20"/>
      <c r="R734" s="20"/>
      <c r="S734" s="20"/>
      <c r="T734" s="20"/>
      <c r="U734" s="20"/>
    </row>
    <row r="735">
      <c r="A735" s="20"/>
      <c r="B735" s="20"/>
      <c r="C735" s="20"/>
      <c r="D735" s="20"/>
      <c r="E735" s="20"/>
      <c r="F735" s="20"/>
      <c r="G735" s="20"/>
      <c r="H735" s="20"/>
      <c r="I735" s="20"/>
      <c r="J735" s="20"/>
      <c r="K735" s="20"/>
      <c r="L735" s="20"/>
      <c r="M735" s="20"/>
      <c r="N735" s="20"/>
      <c r="O735" s="20"/>
      <c r="P735" s="20"/>
      <c r="Q735" s="20"/>
      <c r="R735" s="20"/>
      <c r="S735" s="20"/>
      <c r="T735" s="20"/>
      <c r="U735" s="20"/>
    </row>
    <row r="736">
      <c r="A736" s="20"/>
      <c r="B736" s="20"/>
      <c r="C736" s="20"/>
      <c r="D736" s="20"/>
      <c r="E736" s="20"/>
      <c r="F736" s="20"/>
      <c r="G736" s="20"/>
      <c r="H736" s="20"/>
      <c r="I736" s="20"/>
      <c r="J736" s="20"/>
      <c r="K736" s="20"/>
      <c r="L736" s="20"/>
      <c r="M736" s="20"/>
      <c r="N736" s="20"/>
      <c r="O736" s="20"/>
      <c r="P736" s="20"/>
      <c r="Q736" s="20"/>
      <c r="R736" s="20"/>
      <c r="S736" s="20"/>
      <c r="T736" s="20"/>
      <c r="U736" s="20"/>
    </row>
    <row r="737">
      <c r="A737" s="20"/>
      <c r="B737" s="20"/>
      <c r="C737" s="20"/>
      <c r="D737" s="20"/>
      <c r="E737" s="20"/>
      <c r="F737" s="20"/>
      <c r="G737" s="20"/>
      <c r="H737" s="20"/>
      <c r="I737" s="20"/>
      <c r="J737" s="20"/>
      <c r="K737" s="20"/>
      <c r="L737" s="20"/>
      <c r="M737" s="20"/>
      <c r="N737" s="20"/>
      <c r="O737" s="20"/>
      <c r="P737" s="20"/>
      <c r="Q737" s="20"/>
      <c r="R737" s="20"/>
      <c r="S737" s="20"/>
      <c r="T737" s="20"/>
      <c r="U737" s="20"/>
    </row>
    <row r="738">
      <c r="A738" s="20"/>
      <c r="B738" s="20"/>
      <c r="C738" s="20"/>
      <c r="D738" s="20"/>
      <c r="E738" s="20"/>
      <c r="F738" s="20"/>
      <c r="G738" s="20"/>
      <c r="H738" s="20"/>
      <c r="I738" s="20"/>
      <c r="J738" s="20"/>
      <c r="K738" s="20"/>
      <c r="L738" s="20"/>
      <c r="M738" s="20"/>
      <c r="N738" s="20"/>
      <c r="O738" s="20"/>
      <c r="P738" s="20"/>
      <c r="Q738" s="20"/>
      <c r="R738" s="20"/>
      <c r="S738" s="20"/>
      <c r="T738" s="20"/>
      <c r="U738" s="20"/>
    </row>
    <row r="739">
      <c r="A739" s="20"/>
      <c r="B739" s="20"/>
      <c r="C739" s="20"/>
      <c r="D739" s="20"/>
      <c r="E739" s="20"/>
      <c r="F739" s="20"/>
      <c r="G739" s="20"/>
      <c r="H739" s="20"/>
      <c r="I739" s="20"/>
      <c r="J739" s="20"/>
      <c r="K739" s="20"/>
      <c r="L739" s="20"/>
      <c r="M739" s="20"/>
      <c r="N739" s="20"/>
      <c r="O739" s="20"/>
      <c r="P739" s="20"/>
      <c r="Q739" s="20"/>
      <c r="R739" s="20"/>
      <c r="S739" s="20"/>
      <c r="T739" s="20"/>
      <c r="U739" s="20"/>
    </row>
    <row r="740">
      <c r="A740" s="20"/>
      <c r="B740" s="20"/>
      <c r="C740" s="20"/>
      <c r="D740" s="20"/>
      <c r="E740" s="20"/>
      <c r="F740" s="20"/>
      <c r="G740" s="20"/>
      <c r="H740" s="20"/>
      <c r="I740" s="20"/>
      <c r="J740" s="20"/>
      <c r="K740" s="20"/>
      <c r="L740" s="20"/>
      <c r="M740" s="20"/>
      <c r="N740" s="20"/>
      <c r="O740" s="20"/>
      <c r="P740" s="20"/>
      <c r="Q740" s="20"/>
      <c r="R740" s="20"/>
      <c r="S740" s="20"/>
      <c r="T740" s="20"/>
      <c r="U740" s="20"/>
    </row>
    <row r="741">
      <c r="A741" s="20"/>
      <c r="B741" s="20"/>
      <c r="C741" s="20"/>
      <c r="D741" s="20"/>
      <c r="E741" s="20"/>
      <c r="F741" s="20"/>
      <c r="G741" s="20"/>
      <c r="H741" s="20"/>
      <c r="I741" s="20"/>
      <c r="J741" s="20"/>
      <c r="K741" s="20"/>
      <c r="L741" s="20"/>
      <c r="M741" s="20"/>
      <c r="N741" s="20"/>
      <c r="O741" s="20"/>
      <c r="P741" s="20"/>
      <c r="Q741" s="20"/>
      <c r="R741" s="20"/>
      <c r="S741" s="20"/>
      <c r="T741" s="20"/>
      <c r="U741" s="20"/>
    </row>
    <row r="742">
      <c r="A742" s="20"/>
      <c r="B742" s="20"/>
      <c r="C742" s="20"/>
      <c r="D742" s="20"/>
      <c r="E742" s="20"/>
      <c r="F742" s="20"/>
      <c r="G742" s="20"/>
      <c r="H742" s="20"/>
      <c r="I742" s="20"/>
      <c r="J742" s="20"/>
      <c r="K742" s="20"/>
      <c r="L742" s="20"/>
      <c r="M742" s="20"/>
      <c r="N742" s="20"/>
      <c r="O742" s="20"/>
      <c r="P742" s="20"/>
      <c r="Q742" s="20"/>
      <c r="R742" s="20"/>
      <c r="S742" s="20"/>
      <c r="T742" s="20"/>
      <c r="U742" s="20"/>
    </row>
    <row r="743">
      <c r="A743" s="20"/>
      <c r="B743" s="20"/>
      <c r="C743" s="20"/>
      <c r="D743" s="20"/>
      <c r="E743" s="20"/>
      <c r="F743" s="20"/>
      <c r="G743" s="20"/>
      <c r="H743" s="20"/>
      <c r="I743" s="20"/>
      <c r="J743" s="20"/>
      <c r="K743" s="20"/>
      <c r="L743" s="20"/>
      <c r="M743" s="20"/>
      <c r="N743" s="20"/>
      <c r="O743" s="20"/>
      <c r="P743" s="20"/>
      <c r="Q743" s="20"/>
      <c r="R743" s="20"/>
      <c r="S743" s="20"/>
      <c r="T743" s="20"/>
      <c r="U743" s="20"/>
    </row>
    <row r="744">
      <c r="A744" s="20"/>
      <c r="B744" s="20"/>
      <c r="C744" s="20"/>
      <c r="D744" s="20"/>
      <c r="E744" s="20"/>
      <c r="F744" s="20"/>
      <c r="G744" s="20"/>
      <c r="H744" s="20"/>
      <c r="I744" s="20"/>
      <c r="J744" s="20"/>
      <c r="K744" s="20"/>
      <c r="L744" s="20"/>
      <c r="M744" s="20"/>
      <c r="N744" s="20"/>
      <c r="O744" s="20"/>
      <c r="P744" s="20"/>
      <c r="Q744" s="20"/>
      <c r="R744" s="20"/>
      <c r="S744" s="20"/>
      <c r="T744" s="20"/>
      <c r="U744" s="20"/>
    </row>
    <row r="745">
      <c r="A745" s="20"/>
      <c r="B745" s="20"/>
      <c r="C745" s="20"/>
      <c r="D745" s="20"/>
      <c r="E745" s="20"/>
      <c r="F745" s="20"/>
      <c r="G745" s="20"/>
      <c r="H745" s="20"/>
      <c r="I745" s="20"/>
      <c r="J745" s="20"/>
      <c r="K745" s="20"/>
      <c r="L745" s="20"/>
      <c r="M745" s="20"/>
      <c r="N745" s="20"/>
      <c r="O745" s="20"/>
      <c r="P745" s="20"/>
      <c r="Q745" s="20"/>
      <c r="R745" s="20"/>
      <c r="S745" s="20"/>
      <c r="T745" s="20"/>
      <c r="U745" s="20"/>
    </row>
    <row r="746">
      <c r="A746" s="20"/>
      <c r="B746" s="20"/>
      <c r="C746" s="20"/>
      <c r="D746" s="20"/>
      <c r="E746" s="20"/>
      <c r="F746" s="20"/>
      <c r="G746" s="20"/>
      <c r="H746" s="20"/>
      <c r="I746" s="20"/>
      <c r="J746" s="20"/>
      <c r="K746" s="20"/>
      <c r="L746" s="20"/>
      <c r="M746" s="20"/>
      <c r="N746" s="20"/>
      <c r="O746" s="20"/>
      <c r="P746" s="20"/>
      <c r="Q746" s="20"/>
      <c r="R746" s="20"/>
      <c r="S746" s="20"/>
      <c r="T746" s="20"/>
      <c r="U746" s="20"/>
    </row>
    <row r="747">
      <c r="A747" s="20"/>
      <c r="B747" s="20"/>
      <c r="C747" s="20"/>
      <c r="D747" s="20"/>
      <c r="E747" s="20"/>
      <c r="F747" s="20"/>
      <c r="G747" s="20"/>
      <c r="H747" s="20"/>
      <c r="I747" s="20"/>
      <c r="J747" s="20"/>
      <c r="K747" s="20"/>
      <c r="L747" s="20"/>
      <c r="M747" s="20"/>
      <c r="N747" s="20"/>
      <c r="O747" s="20"/>
      <c r="P747" s="20"/>
      <c r="Q747" s="20"/>
      <c r="R747" s="20"/>
      <c r="S747" s="20"/>
      <c r="T747" s="20"/>
      <c r="U747" s="20"/>
    </row>
    <row r="748">
      <c r="A748" s="20"/>
      <c r="B748" s="20"/>
      <c r="C748" s="20"/>
      <c r="D748" s="20"/>
      <c r="E748" s="20"/>
      <c r="F748" s="20"/>
      <c r="G748" s="20"/>
      <c r="H748" s="20"/>
      <c r="I748" s="20"/>
      <c r="J748" s="20"/>
      <c r="K748" s="20"/>
      <c r="L748" s="20"/>
      <c r="M748" s="20"/>
      <c r="N748" s="20"/>
      <c r="O748" s="20"/>
      <c r="P748" s="20"/>
      <c r="Q748" s="20"/>
      <c r="R748" s="20"/>
      <c r="S748" s="20"/>
      <c r="T748" s="20"/>
      <c r="U748" s="20"/>
    </row>
    <row r="749">
      <c r="A749" s="20"/>
      <c r="B749" s="20"/>
      <c r="C749" s="20"/>
      <c r="D749" s="20"/>
      <c r="E749" s="20"/>
      <c r="F749" s="20"/>
      <c r="G749" s="20"/>
      <c r="H749" s="20"/>
      <c r="I749" s="20"/>
      <c r="J749" s="20"/>
      <c r="K749" s="20"/>
      <c r="L749" s="20"/>
      <c r="M749" s="20"/>
      <c r="N749" s="20"/>
      <c r="O749" s="20"/>
      <c r="P749" s="20"/>
      <c r="Q749" s="20"/>
      <c r="R749" s="20"/>
      <c r="S749" s="20"/>
      <c r="T749" s="20"/>
      <c r="U749" s="20"/>
    </row>
    <row r="750">
      <c r="A750" s="20"/>
      <c r="B750" s="20"/>
      <c r="C750" s="20"/>
      <c r="D750" s="20"/>
      <c r="E750" s="20"/>
      <c r="F750" s="20"/>
      <c r="G750" s="20"/>
      <c r="H750" s="20"/>
      <c r="I750" s="20"/>
      <c r="J750" s="20"/>
      <c r="K750" s="20"/>
      <c r="L750" s="20"/>
      <c r="M750" s="20"/>
      <c r="N750" s="20"/>
      <c r="O750" s="20"/>
      <c r="P750" s="20"/>
      <c r="Q750" s="20"/>
      <c r="R750" s="20"/>
      <c r="S750" s="20"/>
      <c r="T750" s="20"/>
      <c r="U750" s="20"/>
    </row>
    <row r="751">
      <c r="A751" s="20"/>
      <c r="B751" s="20"/>
      <c r="C751" s="20"/>
      <c r="D751" s="20"/>
      <c r="E751" s="20"/>
      <c r="F751" s="20"/>
      <c r="G751" s="20"/>
      <c r="H751" s="20"/>
      <c r="I751" s="20"/>
      <c r="J751" s="20"/>
      <c r="K751" s="20"/>
      <c r="L751" s="20"/>
      <c r="M751" s="20"/>
      <c r="N751" s="20"/>
      <c r="O751" s="20"/>
      <c r="P751" s="20"/>
      <c r="Q751" s="20"/>
      <c r="R751" s="20"/>
      <c r="S751" s="20"/>
      <c r="T751" s="20"/>
      <c r="U751" s="20"/>
    </row>
    <row r="752">
      <c r="A752" s="20"/>
      <c r="B752" s="20"/>
      <c r="C752" s="20"/>
      <c r="D752" s="20"/>
      <c r="E752" s="20"/>
      <c r="F752" s="20"/>
      <c r="G752" s="20"/>
      <c r="H752" s="20"/>
      <c r="I752" s="20"/>
      <c r="J752" s="20"/>
      <c r="K752" s="20"/>
      <c r="L752" s="20"/>
      <c r="M752" s="20"/>
      <c r="N752" s="20"/>
      <c r="O752" s="20"/>
      <c r="P752" s="20"/>
      <c r="Q752" s="20"/>
      <c r="R752" s="20"/>
      <c r="S752" s="20"/>
      <c r="T752" s="20"/>
      <c r="U752" s="20"/>
    </row>
    <row r="753">
      <c r="A753" s="20"/>
      <c r="B753" s="20"/>
      <c r="C753" s="20"/>
      <c r="D753" s="20"/>
      <c r="E753" s="20"/>
      <c r="F753" s="20"/>
      <c r="G753" s="20"/>
      <c r="H753" s="20"/>
      <c r="I753" s="20"/>
      <c r="J753" s="20"/>
      <c r="K753" s="20"/>
      <c r="L753" s="20"/>
      <c r="M753" s="20"/>
      <c r="N753" s="20"/>
      <c r="O753" s="20"/>
      <c r="P753" s="20"/>
      <c r="Q753" s="20"/>
      <c r="R753" s="20"/>
      <c r="S753" s="20"/>
      <c r="T753" s="20"/>
      <c r="U753" s="20"/>
    </row>
    <row r="754">
      <c r="A754" s="20"/>
      <c r="B754" s="20"/>
      <c r="C754" s="20"/>
      <c r="D754" s="20"/>
      <c r="E754" s="20"/>
      <c r="F754" s="20"/>
      <c r="G754" s="20"/>
      <c r="H754" s="20"/>
      <c r="I754" s="20"/>
      <c r="J754" s="20"/>
      <c r="K754" s="20"/>
      <c r="L754" s="20"/>
      <c r="M754" s="20"/>
      <c r="N754" s="20"/>
      <c r="O754" s="20"/>
      <c r="P754" s="20"/>
      <c r="Q754" s="20"/>
      <c r="R754" s="20"/>
      <c r="S754" s="20"/>
      <c r="T754" s="20"/>
      <c r="U754" s="20"/>
    </row>
    <row r="755">
      <c r="A755" s="20"/>
      <c r="B755" s="20"/>
      <c r="C755" s="20"/>
      <c r="D755" s="20"/>
      <c r="E755" s="20"/>
      <c r="F755" s="20"/>
      <c r="G755" s="20"/>
      <c r="H755" s="20"/>
      <c r="I755" s="20"/>
      <c r="J755" s="20"/>
      <c r="K755" s="20"/>
      <c r="L755" s="20"/>
      <c r="M755" s="20"/>
      <c r="N755" s="20"/>
      <c r="O755" s="20"/>
      <c r="P755" s="20"/>
      <c r="Q755" s="20"/>
      <c r="R755" s="20"/>
      <c r="S755" s="20"/>
      <c r="T755" s="20"/>
      <c r="U755" s="20"/>
    </row>
    <row r="756">
      <c r="A756" s="20"/>
      <c r="B756" s="20"/>
      <c r="C756" s="20"/>
      <c r="D756" s="20"/>
      <c r="E756" s="20"/>
      <c r="F756" s="20"/>
      <c r="G756" s="20"/>
      <c r="H756" s="20"/>
      <c r="I756" s="20"/>
      <c r="J756" s="20"/>
      <c r="K756" s="20"/>
      <c r="L756" s="20"/>
      <c r="M756" s="20"/>
      <c r="N756" s="20"/>
      <c r="O756" s="20"/>
      <c r="P756" s="20"/>
      <c r="Q756" s="20"/>
      <c r="R756" s="20"/>
      <c r="S756" s="20"/>
      <c r="T756" s="20"/>
      <c r="U756" s="20"/>
    </row>
    <row r="757">
      <c r="A757" s="20"/>
      <c r="B757" s="20"/>
      <c r="C757" s="20"/>
      <c r="D757" s="20"/>
      <c r="E757" s="20"/>
      <c r="F757" s="20"/>
      <c r="G757" s="20"/>
      <c r="H757" s="20"/>
      <c r="I757" s="20"/>
      <c r="J757" s="20"/>
      <c r="K757" s="20"/>
      <c r="L757" s="20"/>
      <c r="M757" s="20"/>
      <c r="N757" s="20"/>
      <c r="O757" s="20"/>
      <c r="P757" s="20"/>
      <c r="Q757" s="20"/>
      <c r="R757" s="20"/>
      <c r="S757" s="20"/>
      <c r="T757" s="20"/>
      <c r="U757" s="20"/>
    </row>
    <row r="758">
      <c r="A758" s="20"/>
      <c r="B758" s="20"/>
      <c r="C758" s="20"/>
      <c r="D758" s="20"/>
      <c r="E758" s="20"/>
      <c r="F758" s="20"/>
      <c r="G758" s="20"/>
      <c r="H758" s="20"/>
      <c r="I758" s="20"/>
      <c r="J758" s="20"/>
      <c r="K758" s="20"/>
      <c r="L758" s="20"/>
      <c r="M758" s="20"/>
      <c r="N758" s="20"/>
      <c r="O758" s="20"/>
      <c r="P758" s="20"/>
      <c r="Q758" s="20"/>
      <c r="R758" s="20"/>
      <c r="S758" s="20"/>
      <c r="T758" s="20"/>
      <c r="U758" s="20"/>
    </row>
    <row r="759">
      <c r="A759" s="20"/>
      <c r="B759" s="20"/>
      <c r="C759" s="20"/>
      <c r="D759" s="20"/>
      <c r="E759" s="20"/>
      <c r="F759" s="20"/>
      <c r="G759" s="20"/>
      <c r="H759" s="20"/>
      <c r="I759" s="20"/>
      <c r="J759" s="20"/>
      <c r="K759" s="20"/>
      <c r="L759" s="20"/>
      <c r="M759" s="20"/>
      <c r="N759" s="20"/>
      <c r="O759" s="20"/>
      <c r="P759" s="20"/>
      <c r="Q759" s="20"/>
      <c r="R759" s="20"/>
      <c r="S759" s="20"/>
      <c r="T759" s="20"/>
      <c r="U759" s="20"/>
    </row>
    <row r="760">
      <c r="A760" s="20"/>
      <c r="B760" s="20"/>
      <c r="C760" s="20"/>
      <c r="D760" s="20"/>
      <c r="E760" s="20"/>
      <c r="F760" s="20"/>
      <c r="G760" s="20"/>
      <c r="H760" s="20"/>
      <c r="I760" s="20"/>
      <c r="J760" s="20"/>
      <c r="K760" s="20"/>
      <c r="L760" s="20"/>
      <c r="M760" s="20"/>
      <c r="N760" s="20"/>
      <c r="O760" s="20"/>
      <c r="P760" s="20"/>
      <c r="Q760" s="20"/>
      <c r="R760" s="20"/>
      <c r="S760" s="20"/>
      <c r="T760" s="20"/>
      <c r="U760" s="20"/>
    </row>
    <row r="761">
      <c r="A761" s="20"/>
      <c r="B761" s="20"/>
      <c r="C761" s="20"/>
      <c r="D761" s="20"/>
      <c r="E761" s="20"/>
      <c r="F761" s="20"/>
      <c r="G761" s="20"/>
      <c r="H761" s="20"/>
      <c r="I761" s="20"/>
      <c r="J761" s="20"/>
      <c r="K761" s="20"/>
      <c r="L761" s="20"/>
      <c r="M761" s="20"/>
      <c r="N761" s="20"/>
      <c r="O761" s="20"/>
      <c r="P761" s="20"/>
      <c r="Q761" s="20"/>
      <c r="R761" s="20"/>
      <c r="S761" s="20"/>
      <c r="T761" s="20"/>
      <c r="U761" s="20"/>
    </row>
    <row r="762">
      <c r="A762" s="20"/>
      <c r="B762" s="20"/>
      <c r="C762" s="20"/>
      <c r="D762" s="20"/>
      <c r="E762" s="20"/>
      <c r="F762" s="20"/>
      <c r="G762" s="20"/>
      <c r="H762" s="20"/>
      <c r="I762" s="20"/>
      <c r="J762" s="20"/>
      <c r="K762" s="20"/>
      <c r="L762" s="20"/>
      <c r="M762" s="20"/>
      <c r="N762" s="20"/>
      <c r="O762" s="20"/>
      <c r="P762" s="20"/>
      <c r="Q762" s="20"/>
      <c r="R762" s="20"/>
      <c r="S762" s="20"/>
      <c r="T762" s="20"/>
      <c r="U762" s="20"/>
    </row>
    <row r="763">
      <c r="A763" s="20"/>
      <c r="B763" s="20"/>
      <c r="C763" s="20"/>
      <c r="D763" s="20"/>
      <c r="E763" s="20"/>
      <c r="F763" s="20"/>
      <c r="G763" s="20"/>
      <c r="H763" s="20"/>
      <c r="I763" s="20"/>
      <c r="J763" s="20"/>
      <c r="K763" s="20"/>
      <c r="L763" s="20"/>
      <c r="M763" s="20"/>
      <c r="N763" s="20"/>
      <c r="O763" s="20"/>
      <c r="P763" s="20"/>
      <c r="Q763" s="20"/>
      <c r="R763" s="20"/>
      <c r="S763" s="20"/>
      <c r="T763" s="20"/>
      <c r="U763" s="20"/>
    </row>
    <row r="764">
      <c r="A764" s="20"/>
      <c r="B764" s="20"/>
      <c r="C764" s="20"/>
      <c r="D764" s="20"/>
      <c r="E764" s="20"/>
      <c r="F764" s="20"/>
      <c r="G764" s="20"/>
      <c r="H764" s="20"/>
      <c r="I764" s="20"/>
      <c r="J764" s="20"/>
      <c r="K764" s="20"/>
      <c r="L764" s="20"/>
      <c r="M764" s="20"/>
      <c r="N764" s="20"/>
      <c r="O764" s="20"/>
      <c r="P764" s="20"/>
      <c r="Q764" s="20"/>
      <c r="R764" s="20"/>
      <c r="S764" s="20"/>
      <c r="T764" s="20"/>
      <c r="U764" s="20"/>
    </row>
    <row r="765">
      <c r="A765" s="20"/>
      <c r="B765" s="20"/>
      <c r="C765" s="20"/>
      <c r="D765" s="20"/>
      <c r="E765" s="20"/>
      <c r="F765" s="20"/>
      <c r="G765" s="20"/>
      <c r="H765" s="20"/>
      <c r="I765" s="20"/>
      <c r="J765" s="20"/>
      <c r="K765" s="20"/>
      <c r="L765" s="20"/>
      <c r="M765" s="20"/>
      <c r="N765" s="20"/>
      <c r="O765" s="20"/>
      <c r="P765" s="20"/>
      <c r="Q765" s="20"/>
      <c r="R765" s="20"/>
      <c r="S765" s="20"/>
      <c r="T765" s="20"/>
      <c r="U765" s="20"/>
    </row>
    <row r="766">
      <c r="A766" s="20"/>
      <c r="B766" s="20"/>
      <c r="C766" s="20"/>
      <c r="D766" s="20"/>
      <c r="E766" s="20"/>
      <c r="F766" s="20"/>
      <c r="G766" s="20"/>
      <c r="H766" s="20"/>
      <c r="I766" s="20"/>
      <c r="J766" s="20"/>
      <c r="K766" s="20"/>
      <c r="L766" s="20"/>
      <c r="M766" s="20"/>
      <c r="N766" s="20"/>
      <c r="O766" s="20"/>
      <c r="P766" s="20"/>
      <c r="Q766" s="20"/>
      <c r="R766" s="20"/>
      <c r="S766" s="20"/>
      <c r="T766" s="20"/>
      <c r="U766" s="20"/>
    </row>
    <row r="767">
      <c r="A767" s="20"/>
      <c r="B767" s="20"/>
      <c r="C767" s="20"/>
      <c r="D767" s="20"/>
      <c r="E767" s="20"/>
      <c r="F767" s="20"/>
      <c r="G767" s="20"/>
      <c r="H767" s="20"/>
      <c r="I767" s="20"/>
      <c r="J767" s="20"/>
      <c r="K767" s="20"/>
      <c r="L767" s="20"/>
      <c r="M767" s="20"/>
      <c r="N767" s="20"/>
      <c r="O767" s="20"/>
      <c r="P767" s="20"/>
      <c r="Q767" s="20"/>
      <c r="R767" s="20"/>
      <c r="S767" s="20"/>
      <c r="T767" s="20"/>
      <c r="U767" s="20"/>
    </row>
    <row r="768">
      <c r="A768" s="20"/>
      <c r="B768" s="20"/>
      <c r="C768" s="20"/>
      <c r="D768" s="20"/>
      <c r="E768" s="20"/>
      <c r="F768" s="20"/>
      <c r="G768" s="20"/>
      <c r="H768" s="20"/>
      <c r="I768" s="20"/>
      <c r="J768" s="20"/>
      <c r="K768" s="20"/>
      <c r="L768" s="20"/>
      <c r="M768" s="20"/>
      <c r="N768" s="20"/>
      <c r="O768" s="20"/>
      <c r="P768" s="20"/>
      <c r="Q768" s="20"/>
      <c r="R768" s="20"/>
      <c r="S768" s="20"/>
      <c r="T768" s="20"/>
      <c r="U768" s="20"/>
    </row>
    <row r="769">
      <c r="A769" s="20"/>
      <c r="B769" s="20"/>
      <c r="C769" s="20"/>
      <c r="D769" s="20"/>
      <c r="E769" s="20"/>
      <c r="F769" s="20"/>
      <c r="G769" s="20"/>
      <c r="H769" s="20"/>
      <c r="I769" s="20"/>
      <c r="J769" s="20"/>
      <c r="K769" s="20"/>
      <c r="L769" s="20"/>
      <c r="M769" s="20"/>
      <c r="N769" s="20"/>
      <c r="O769" s="20"/>
      <c r="P769" s="20"/>
      <c r="Q769" s="20"/>
      <c r="R769" s="20"/>
      <c r="S769" s="20"/>
      <c r="T769" s="20"/>
      <c r="U769" s="20"/>
    </row>
    <row r="770">
      <c r="A770" s="20"/>
      <c r="B770" s="20"/>
      <c r="C770" s="20"/>
      <c r="D770" s="20"/>
      <c r="E770" s="20"/>
      <c r="F770" s="20"/>
      <c r="G770" s="20"/>
      <c r="H770" s="20"/>
      <c r="I770" s="20"/>
      <c r="J770" s="20"/>
      <c r="K770" s="20"/>
      <c r="L770" s="20"/>
      <c r="M770" s="20"/>
      <c r="N770" s="20"/>
      <c r="O770" s="20"/>
      <c r="P770" s="20"/>
      <c r="Q770" s="20"/>
      <c r="R770" s="20"/>
      <c r="S770" s="20"/>
      <c r="T770" s="20"/>
      <c r="U770" s="20"/>
    </row>
    <row r="771">
      <c r="A771" s="20"/>
      <c r="B771" s="20"/>
      <c r="C771" s="20"/>
      <c r="D771" s="20"/>
      <c r="E771" s="20"/>
      <c r="F771" s="20"/>
      <c r="G771" s="20"/>
      <c r="H771" s="20"/>
      <c r="I771" s="20"/>
      <c r="J771" s="20"/>
      <c r="K771" s="20"/>
      <c r="L771" s="20"/>
      <c r="M771" s="20"/>
      <c r="N771" s="20"/>
      <c r="O771" s="20"/>
      <c r="P771" s="20"/>
      <c r="Q771" s="20"/>
      <c r="R771" s="20"/>
      <c r="S771" s="20"/>
      <c r="T771" s="20"/>
      <c r="U771" s="20"/>
    </row>
    <row r="772">
      <c r="A772" s="20"/>
      <c r="B772" s="20"/>
      <c r="C772" s="20"/>
      <c r="D772" s="20"/>
      <c r="E772" s="20"/>
      <c r="F772" s="20"/>
      <c r="G772" s="20"/>
      <c r="H772" s="20"/>
      <c r="I772" s="20"/>
      <c r="J772" s="20"/>
      <c r="K772" s="20"/>
      <c r="L772" s="20"/>
      <c r="M772" s="20"/>
      <c r="N772" s="20"/>
      <c r="O772" s="20"/>
      <c r="P772" s="20"/>
      <c r="Q772" s="20"/>
      <c r="R772" s="20"/>
      <c r="S772" s="20"/>
      <c r="T772" s="20"/>
      <c r="U772" s="20"/>
    </row>
    <row r="773">
      <c r="A773" s="20"/>
      <c r="B773" s="20"/>
      <c r="C773" s="20"/>
      <c r="D773" s="20"/>
      <c r="E773" s="20"/>
      <c r="F773" s="20"/>
      <c r="G773" s="20"/>
      <c r="H773" s="20"/>
      <c r="I773" s="20"/>
      <c r="J773" s="20"/>
      <c r="K773" s="20"/>
      <c r="L773" s="20"/>
      <c r="M773" s="20"/>
      <c r="N773" s="20"/>
      <c r="O773" s="20"/>
      <c r="P773" s="20"/>
      <c r="Q773" s="20"/>
      <c r="R773" s="20"/>
      <c r="S773" s="20"/>
      <c r="T773" s="20"/>
      <c r="U773" s="20"/>
    </row>
    <row r="774">
      <c r="A774" s="20"/>
      <c r="B774" s="20"/>
      <c r="C774" s="20"/>
      <c r="D774" s="20"/>
      <c r="E774" s="20"/>
      <c r="F774" s="20"/>
      <c r="G774" s="20"/>
      <c r="H774" s="20"/>
      <c r="I774" s="20"/>
      <c r="J774" s="20"/>
      <c r="K774" s="20"/>
      <c r="L774" s="20"/>
      <c r="M774" s="20"/>
      <c r="N774" s="20"/>
      <c r="O774" s="20"/>
      <c r="P774" s="20"/>
      <c r="Q774" s="20"/>
      <c r="R774" s="20"/>
      <c r="S774" s="20"/>
      <c r="T774" s="20"/>
      <c r="U774" s="20"/>
    </row>
    <row r="775">
      <c r="A775" s="20"/>
      <c r="B775" s="20"/>
      <c r="C775" s="20"/>
      <c r="D775" s="20"/>
      <c r="E775" s="20"/>
      <c r="F775" s="20"/>
      <c r="G775" s="20"/>
      <c r="H775" s="20"/>
      <c r="I775" s="20"/>
      <c r="J775" s="20"/>
      <c r="K775" s="20"/>
      <c r="L775" s="20"/>
      <c r="M775" s="20"/>
      <c r="N775" s="20"/>
      <c r="O775" s="20"/>
      <c r="P775" s="20"/>
      <c r="Q775" s="20"/>
      <c r="R775" s="20"/>
      <c r="S775" s="20"/>
      <c r="T775" s="20"/>
      <c r="U775" s="20"/>
    </row>
    <row r="776">
      <c r="A776" s="20"/>
      <c r="B776" s="20"/>
      <c r="C776" s="20"/>
      <c r="D776" s="20"/>
      <c r="E776" s="20"/>
      <c r="F776" s="20"/>
      <c r="G776" s="20"/>
      <c r="H776" s="20"/>
      <c r="I776" s="20"/>
      <c r="J776" s="20"/>
      <c r="K776" s="20"/>
      <c r="L776" s="20"/>
      <c r="M776" s="20"/>
      <c r="N776" s="20"/>
      <c r="O776" s="20"/>
      <c r="P776" s="20"/>
      <c r="Q776" s="20"/>
      <c r="R776" s="20"/>
      <c r="S776" s="20"/>
      <c r="T776" s="20"/>
      <c r="U776" s="20"/>
    </row>
    <row r="777">
      <c r="A777" s="20"/>
      <c r="B777" s="20"/>
      <c r="C777" s="20"/>
      <c r="D777" s="20"/>
      <c r="E777" s="20"/>
      <c r="F777" s="20"/>
      <c r="G777" s="20"/>
      <c r="H777" s="20"/>
      <c r="I777" s="20"/>
      <c r="J777" s="20"/>
      <c r="K777" s="20"/>
      <c r="L777" s="20"/>
      <c r="M777" s="20"/>
      <c r="N777" s="20"/>
      <c r="O777" s="20"/>
      <c r="P777" s="20"/>
      <c r="Q777" s="20"/>
      <c r="R777" s="20"/>
      <c r="S777" s="20"/>
      <c r="T777" s="20"/>
      <c r="U777" s="20"/>
    </row>
    <row r="778">
      <c r="A778" s="20"/>
      <c r="B778" s="20"/>
      <c r="C778" s="20"/>
      <c r="D778" s="20"/>
      <c r="E778" s="20"/>
      <c r="F778" s="20"/>
      <c r="G778" s="20"/>
      <c r="H778" s="20"/>
      <c r="I778" s="20"/>
      <c r="J778" s="20"/>
      <c r="K778" s="20"/>
      <c r="L778" s="20"/>
      <c r="M778" s="20"/>
      <c r="N778" s="20"/>
      <c r="O778" s="20"/>
      <c r="P778" s="20"/>
      <c r="Q778" s="20"/>
      <c r="R778" s="20"/>
      <c r="S778" s="20"/>
      <c r="T778" s="20"/>
      <c r="U778" s="20"/>
    </row>
    <row r="779">
      <c r="A779" s="20"/>
      <c r="B779" s="20"/>
      <c r="C779" s="20"/>
      <c r="D779" s="20"/>
      <c r="E779" s="20"/>
      <c r="F779" s="20"/>
      <c r="G779" s="20"/>
      <c r="H779" s="20"/>
      <c r="I779" s="20"/>
      <c r="J779" s="20"/>
      <c r="K779" s="20"/>
      <c r="L779" s="20"/>
      <c r="M779" s="20"/>
      <c r="N779" s="20"/>
      <c r="O779" s="20"/>
      <c r="P779" s="20"/>
      <c r="Q779" s="20"/>
      <c r="R779" s="20"/>
      <c r="S779" s="20"/>
      <c r="T779" s="20"/>
      <c r="U779" s="20"/>
    </row>
    <row r="780">
      <c r="A780" s="20"/>
      <c r="B780" s="20"/>
      <c r="C780" s="20"/>
      <c r="D780" s="20"/>
      <c r="E780" s="20"/>
      <c r="F780" s="20"/>
      <c r="G780" s="20"/>
      <c r="H780" s="20"/>
      <c r="I780" s="20"/>
      <c r="J780" s="20"/>
      <c r="K780" s="20"/>
      <c r="L780" s="20"/>
      <c r="M780" s="20"/>
      <c r="N780" s="20"/>
      <c r="O780" s="20"/>
      <c r="P780" s="20"/>
      <c r="Q780" s="20"/>
      <c r="R780" s="20"/>
      <c r="S780" s="20"/>
      <c r="T780" s="20"/>
      <c r="U780" s="20"/>
    </row>
    <row r="781">
      <c r="A781" s="20"/>
      <c r="B781" s="20"/>
      <c r="C781" s="20"/>
      <c r="D781" s="20"/>
      <c r="E781" s="20"/>
      <c r="F781" s="20"/>
      <c r="G781" s="20"/>
      <c r="H781" s="20"/>
      <c r="I781" s="20"/>
      <c r="J781" s="20"/>
      <c r="K781" s="20"/>
      <c r="L781" s="20"/>
      <c r="M781" s="20"/>
      <c r="N781" s="20"/>
      <c r="O781" s="20"/>
      <c r="P781" s="20"/>
      <c r="Q781" s="20"/>
      <c r="R781" s="20"/>
      <c r="S781" s="20"/>
      <c r="T781" s="20"/>
      <c r="U781" s="20"/>
    </row>
    <row r="782">
      <c r="A782" s="20"/>
      <c r="B782" s="20"/>
      <c r="C782" s="20"/>
      <c r="D782" s="20"/>
      <c r="E782" s="20"/>
      <c r="F782" s="20"/>
      <c r="G782" s="20"/>
      <c r="H782" s="20"/>
      <c r="I782" s="20"/>
      <c r="J782" s="20"/>
      <c r="K782" s="20"/>
      <c r="L782" s="20"/>
      <c r="M782" s="20"/>
      <c r="N782" s="20"/>
      <c r="O782" s="20"/>
      <c r="P782" s="20"/>
      <c r="Q782" s="20"/>
      <c r="R782" s="20"/>
      <c r="S782" s="20"/>
      <c r="T782" s="20"/>
      <c r="U782" s="20"/>
    </row>
    <row r="783">
      <c r="A783" s="20"/>
      <c r="B783" s="20"/>
      <c r="C783" s="20"/>
      <c r="D783" s="20"/>
      <c r="E783" s="20"/>
      <c r="F783" s="20"/>
      <c r="G783" s="20"/>
      <c r="H783" s="20"/>
      <c r="I783" s="20"/>
      <c r="J783" s="20"/>
      <c r="K783" s="20"/>
      <c r="L783" s="20"/>
      <c r="M783" s="20"/>
      <c r="N783" s="20"/>
      <c r="O783" s="20"/>
      <c r="P783" s="20"/>
      <c r="Q783" s="20"/>
      <c r="R783" s="20"/>
      <c r="S783" s="20"/>
      <c r="T783" s="20"/>
      <c r="U783" s="20"/>
    </row>
    <row r="784">
      <c r="A784" s="20"/>
      <c r="B784" s="20"/>
      <c r="C784" s="20"/>
      <c r="D784" s="20"/>
      <c r="E784" s="20"/>
      <c r="F784" s="20"/>
      <c r="G784" s="20"/>
      <c r="H784" s="20"/>
      <c r="I784" s="20"/>
      <c r="J784" s="20"/>
      <c r="K784" s="20"/>
      <c r="L784" s="20"/>
      <c r="M784" s="20"/>
      <c r="N784" s="20"/>
      <c r="O784" s="20"/>
      <c r="P784" s="20"/>
      <c r="Q784" s="20"/>
      <c r="R784" s="20"/>
      <c r="S784" s="20"/>
      <c r="T784" s="20"/>
      <c r="U784" s="20"/>
    </row>
    <row r="785">
      <c r="A785" s="20"/>
      <c r="B785" s="20"/>
      <c r="C785" s="20"/>
      <c r="D785" s="20"/>
      <c r="E785" s="20"/>
      <c r="F785" s="20"/>
      <c r="G785" s="20"/>
      <c r="H785" s="20"/>
      <c r="I785" s="20"/>
      <c r="J785" s="20"/>
      <c r="K785" s="20"/>
      <c r="L785" s="20"/>
      <c r="M785" s="20"/>
      <c r="N785" s="20"/>
      <c r="O785" s="20"/>
      <c r="P785" s="20"/>
      <c r="Q785" s="20"/>
      <c r="R785" s="20"/>
      <c r="S785" s="20"/>
      <c r="T785" s="20"/>
      <c r="U785" s="20"/>
    </row>
    <row r="786">
      <c r="A786" s="20"/>
      <c r="B786" s="20"/>
      <c r="C786" s="20"/>
      <c r="D786" s="20"/>
      <c r="E786" s="20"/>
      <c r="F786" s="20"/>
      <c r="G786" s="20"/>
      <c r="H786" s="20"/>
      <c r="I786" s="20"/>
      <c r="J786" s="20"/>
      <c r="K786" s="20"/>
      <c r="L786" s="20"/>
      <c r="M786" s="20"/>
      <c r="N786" s="20"/>
      <c r="O786" s="20"/>
      <c r="P786" s="20"/>
      <c r="Q786" s="20"/>
      <c r="R786" s="20"/>
      <c r="S786" s="20"/>
      <c r="T786" s="20"/>
      <c r="U786" s="20"/>
    </row>
    <row r="787">
      <c r="A787" s="20"/>
      <c r="B787" s="20"/>
      <c r="C787" s="20"/>
      <c r="D787" s="20"/>
      <c r="E787" s="20"/>
      <c r="F787" s="20"/>
      <c r="G787" s="20"/>
      <c r="H787" s="20"/>
      <c r="I787" s="20"/>
      <c r="J787" s="20"/>
      <c r="K787" s="20"/>
      <c r="L787" s="20"/>
      <c r="M787" s="20"/>
      <c r="N787" s="20"/>
      <c r="O787" s="20"/>
      <c r="P787" s="20"/>
      <c r="Q787" s="20"/>
      <c r="R787" s="20"/>
      <c r="S787" s="20"/>
      <c r="T787" s="20"/>
      <c r="U787" s="20"/>
    </row>
    <row r="788">
      <c r="A788" s="20"/>
      <c r="B788" s="20"/>
      <c r="C788" s="20"/>
      <c r="D788" s="20"/>
      <c r="E788" s="20"/>
      <c r="F788" s="20"/>
      <c r="G788" s="20"/>
      <c r="H788" s="20"/>
      <c r="I788" s="20"/>
      <c r="J788" s="20"/>
      <c r="K788" s="20"/>
      <c r="L788" s="20"/>
      <c r="M788" s="20"/>
      <c r="N788" s="20"/>
      <c r="O788" s="20"/>
      <c r="P788" s="20"/>
      <c r="Q788" s="20"/>
      <c r="R788" s="20"/>
      <c r="S788" s="20"/>
      <c r="T788" s="20"/>
      <c r="U788" s="20"/>
    </row>
    <row r="789">
      <c r="A789" s="20"/>
      <c r="B789" s="20"/>
      <c r="C789" s="20"/>
      <c r="D789" s="20"/>
      <c r="E789" s="20"/>
      <c r="F789" s="20"/>
      <c r="G789" s="20"/>
      <c r="H789" s="20"/>
      <c r="I789" s="20"/>
      <c r="J789" s="20"/>
      <c r="K789" s="20"/>
      <c r="L789" s="20"/>
      <c r="M789" s="20"/>
      <c r="N789" s="20"/>
      <c r="O789" s="20"/>
      <c r="P789" s="20"/>
      <c r="Q789" s="20"/>
      <c r="R789" s="20"/>
      <c r="S789" s="20"/>
      <c r="T789" s="20"/>
      <c r="U789" s="20"/>
    </row>
    <row r="790">
      <c r="A790" s="20"/>
      <c r="B790" s="20"/>
      <c r="C790" s="20"/>
      <c r="D790" s="20"/>
      <c r="E790" s="20"/>
      <c r="F790" s="20"/>
      <c r="G790" s="20"/>
      <c r="H790" s="20"/>
      <c r="I790" s="20"/>
      <c r="J790" s="20"/>
      <c r="K790" s="20"/>
      <c r="L790" s="20"/>
      <c r="M790" s="20"/>
      <c r="N790" s="20"/>
      <c r="O790" s="20"/>
      <c r="P790" s="20"/>
      <c r="Q790" s="20"/>
      <c r="R790" s="20"/>
      <c r="S790" s="20"/>
      <c r="T790" s="20"/>
      <c r="U790" s="20"/>
    </row>
    <row r="791">
      <c r="A791" s="20"/>
      <c r="B791" s="20"/>
      <c r="C791" s="20"/>
      <c r="D791" s="20"/>
      <c r="E791" s="20"/>
      <c r="F791" s="20"/>
      <c r="G791" s="20"/>
      <c r="H791" s="20"/>
      <c r="I791" s="20"/>
      <c r="J791" s="20"/>
      <c r="K791" s="20"/>
      <c r="L791" s="20"/>
      <c r="M791" s="20"/>
      <c r="N791" s="20"/>
      <c r="O791" s="20"/>
      <c r="P791" s="20"/>
      <c r="Q791" s="20"/>
      <c r="R791" s="20"/>
      <c r="S791" s="20"/>
      <c r="T791" s="20"/>
      <c r="U791" s="20"/>
    </row>
    <row r="792">
      <c r="A792" s="20"/>
      <c r="B792" s="20"/>
      <c r="C792" s="20"/>
      <c r="D792" s="20"/>
      <c r="E792" s="20"/>
      <c r="F792" s="20"/>
      <c r="G792" s="20"/>
      <c r="H792" s="20"/>
      <c r="I792" s="20"/>
      <c r="J792" s="20"/>
      <c r="K792" s="20"/>
      <c r="L792" s="20"/>
      <c r="M792" s="20"/>
      <c r="N792" s="20"/>
      <c r="O792" s="20"/>
      <c r="P792" s="20"/>
      <c r="Q792" s="20"/>
      <c r="R792" s="20"/>
      <c r="S792" s="20"/>
      <c r="T792" s="20"/>
      <c r="U792" s="20"/>
    </row>
    <row r="793">
      <c r="A793" s="20"/>
      <c r="B793" s="20"/>
      <c r="C793" s="20"/>
      <c r="D793" s="20"/>
      <c r="E793" s="20"/>
      <c r="F793" s="20"/>
      <c r="G793" s="20"/>
      <c r="H793" s="20"/>
      <c r="I793" s="20"/>
      <c r="J793" s="20"/>
      <c r="K793" s="20"/>
      <c r="L793" s="20"/>
      <c r="M793" s="20"/>
      <c r="N793" s="20"/>
      <c r="O793" s="20"/>
      <c r="P793" s="20"/>
      <c r="Q793" s="20"/>
      <c r="R793" s="20"/>
      <c r="S793" s="20"/>
      <c r="T793" s="20"/>
      <c r="U793" s="20"/>
    </row>
    <row r="794">
      <c r="A794" s="20"/>
      <c r="B794" s="20"/>
      <c r="C794" s="20"/>
      <c r="D794" s="20"/>
      <c r="E794" s="20"/>
      <c r="F794" s="20"/>
      <c r="G794" s="20"/>
      <c r="H794" s="20"/>
      <c r="I794" s="20"/>
      <c r="J794" s="20"/>
      <c r="K794" s="20"/>
      <c r="L794" s="20"/>
      <c r="M794" s="20"/>
      <c r="N794" s="20"/>
      <c r="O794" s="20"/>
      <c r="P794" s="20"/>
      <c r="Q794" s="20"/>
      <c r="R794" s="20"/>
      <c r="S794" s="20"/>
      <c r="T794" s="20"/>
      <c r="U794" s="20"/>
    </row>
    <row r="795">
      <c r="A795" s="20"/>
      <c r="B795" s="20"/>
      <c r="C795" s="20"/>
      <c r="D795" s="20"/>
      <c r="E795" s="20"/>
      <c r="F795" s="20"/>
      <c r="G795" s="20"/>
      <c r="H795" s="20"/>
      <c r="I795" s="20"/>
      <c r="J795" s="20"/>
      <c r="K795" s="20"/>
      <c r="L795" s="20"/>
      <c r="M795" s="20"/>
      <c r="N795" s="20"/>
      <c r="O795" s="20"/>
      <c r="P795" s="20"/>
      <c r="Q795" s="20"/>
      <c r="R795" s="20"/>
      <c r="S795" s="20"/>
      <c r="T795" s="20"/>
      <c r="U795" s="20"/>
    </row>
    <row r="796">
      <c r="A796" s="20"/>
      <c r="B796" s="20"/>
      <c r="C796" s="20"/>
      <c r="D796" s="20"/>
      <c r="E796" s="20"/>
      <c r="F796" s="20"/>
      <c r="G796" s="20"/>
      <c r="H796" s="20"/>
      <c r="I796" s="20"/>
      <c r="J796" s="20"/>
      <c r="K796" s="20"/>
      <c r="L796" s="20"/>
      <c r="M796" s="20"/>
      <c r="N796" s="20"/>
      <c r="O796" s="20"/>
      <c r="P796" s="20"/>
      <c r="Q796" s="20"/>
      <c r="R796" s="20"/>
      <c r="S796" s="20"/>
      <c r="T796" s="20"/>
      <c r="U796" s="20"/>
    </row>
    <row r="797">
      <c r="A797" s="20"/>
      <c r="B797" s="20"/>
      <c r="C797" s="20"/>
      <c r="D797" s="20"/>
      <c r="E797" s="20"/>
      <c r="F797" s="20"/>
      <c r="G797" s="20"/>
      <c r="H797" s="20"/>
      <c r="I797" s="20"/>
      <c r="J797" s="20"/>
      <c r="K797" s="20"/>
      <c r="L797" s="20"/>
      <c r="M797" s="20"/>
      <c r="N797" s="20"/>
      <c r="O797" s="20"/>
      <c r="P797" s="20"/>
      <c r="Q797" s="20"/>
      <c r="R797" s="20"/>
      <c r="S797" s="20"/>
      <c r="T797" s="20"/>
      <c r="U797" s="20"/>
    </row>
    <row r="798">
      <c r="A798" s="20"/>
      <c r="B798" s="20"/>
      <c r="C798" s="20"/>
      <c r="D798" s="20"/>
      <c r="E798" s="20"/>
      <c r="F798" s="20"/>
      <c r="G798" s="20"/>
      <c r="H798" s="20"/>
      <c r="I798" s="20"/>
      <c r="J798" s="20"/>
      <c r="K798" s="20"/>
      <c r="L798" s="20"/>
      <c r="M798" s="20"/>
      <c r="N798" s="20"/>
      <c r="O798" s="20"/>
      <c r="P798" s="20"/>
      <c r="Q798" s="20"/>
      <c r="R798" s="20"/>
      <c r="S798" s="20"/>
      <c r="T798" s="20"/>
      <c r="U798" s="20"/>
    </row>
    <row r="799">
      <c r="A799" s="20"/>
      <c r="B799" s="20"/>
      <c r="C799" s="20"/>
      <c r="D799" s="20"/>
      <c r="E799" s="20"/>
      <c r="F799" s="20"/>
      <c r="G799" s="20"/>
      <c r="H799" s="20"/>
      <c r="I799" s="20"/>
      <c r="J799" s="20"/>
      <c r="K799" s="20"/>
      <c r="L799" s="20"/>
      <c r="M799" s="20"/>
      <c r="N799" s="20"/>
      <c r="O799" s="20"/>
      <c r="P799" s="20"/>
      <c r="Q799" s="20"/>
      <c r="R799" s="20"/>
      <c r="S799" s="20"/>
      <c r="T799" s="20"/>
      <c r="U799" s="20"/>
    </row>
    <row r="800">
      <c r="A800" s="20"/>
      <c r="B800" s="20"/>
      <c r="C800" s="20"/>
      <c r="D800" s="20"/>
      <c r="E800" s="20"/>
      <c r="F800" s="20"/>
      <c r="G800" s="20"/>
      <c r="H800" s="20"/>
      <c r="I800" s="20"/>
      <c r="J800" s="20"/>
      <c r="K800" s="20"/>
      <c r="L800" s="20"/>
      <c r="M800" s="20"/>
      <c r="N800" s="20"/>
      <c r="O800" s="20"/>
      <c r="P800" s="20"/>
      <c r="Q800" s="20"/>
      <c r="R800" s="20"/>
      <c r="S800" s="20"/>
      <c r="T800" s="20"/>
      <c r="U800" s="20"/>
    </row>
    <row r="801">
      <c r="A801" s="20"/>
      <c r="B801" s="20"/>
      <c r="C801" s="20"/>
      <c r="D801" s="20"/>
      <c r="E801" s="20"/>
      <c r="F801" s="20"/>
      <c r="G801" s="20"/>
      <c r="H801" s="20"/>
      <c r="I801" s="20"/>
      <c r="J801" s="20"/>
      <c r="K801" s="20"/>
      <c r="L801" s="20"/>
      <c r="M801" s="20"/>
      <c r="N801" s="20"/>
      <c r="O801" s="20"/>
      <c r="P801" s="20"/>
      <c r="Q801" s="20"/>
      <c r="R801" s="20"/>
      <c r="S801" s="20"/>
      <c r="T801" s="20"/>
      <c r="U801" s="20"/>
    </row>
    <row r="802">
      <c r="A802" s="20"/>
      <c r="B802" s="20"/>
      <c r="C802" s="20"/>
      <c r="D802" s="20"/>
      <c r="E802" s="20"/>
      <c r="F802" s="20"/>
      <c r="G802" s="20"/>
      <c r="H802" s="20"/>
      <c r="I802" s="20"/>
      <c r="J802" s="20"/>
      <c r="K802" s="20"/>
      <c r="L802" s="20"/>
      <c r="M802" s="20"/>
      <c r="N802" s="20"/>
      <c r="O802" s="20"/>
      <c r="P802" s="20"/>
      <c r="Q802" s="20"/>
      <c r="R802" s="20"/>
      <c r="S802" s="20"/>
      <c r="T802" s="20"/>
      <c r="U802" s="20"/>
    </row>
    <row r="803">
      <c r="A803" s="20"/>
      <c r="B803" s="20"/>
      <c r="C803" s="20"/>
      <c r="D803" s="20"/>
      <c r="E803" s="20"/>
      <c r="F803" s="20"/>
      <c r="G803" s="20"/>
      <c r="H803" s="20"/>
      <c r="I803" s="20"/>
      <c r="J803" s="20"/>
      <c r="K803" s="20"/>
      <c r="L803" s="20"/>
      <c r="M803" s="20"/>
      <c r="N803" s="20"/>
      <c r="O803" s="20"/>
      <c r="P803" s="20"/>
      <c r="Q803" s="20"/>
      <c r="R803" s="20"/>
      <c r="S803" s="20"/>
      <c r="T803" s="20"/>
      <c r="U803" s="20"/>
    </row>
    <row r="804">
      <c r="A804" s="20"/>
      <c r="B804" s="20"/>
      <c r="C804" s="20"/>
      <c r="D804" s="20"/>
      <c r="E804" s="20"/>
      <c r="F804" s="20"/>
      <c r="G804" s="20"/>
      <c r="H804" s="20"/>
      <c r="I804" s="20"/>
      <c r="J804" s="20"/>
      <c r="K804" s="20"/>
      <c r="L804" s="20"/>
      <c r="M804" s="20"/>
      <c r="N804" s="20"/>
      <c r="O804" s="20"/>
      <c r="P804" s="20"/>
      <c r="Q804" s="20"/>
      <c r="R804" s="20"/>
      <c r="S804" s="20"/>
      <c r="T804" s="20"/>
      <c r="U804" s="20"/>
    </row>
    <row r="805">
      <c r="A805" s="20"/>
      <c r="B805" s="20"/>
      <c r="C805" s="20"/>
      <c r="D805" s="20"/>
      <c r="E805" s="20"/>
      <c r="F805" s="20"/>
      <c r="G805" s="20"/>
      <c r="H805" s="20"/>
      <c r="I805" s="20"/>
      <c r="J805" s="20"/>
      <c r="K805" s="20"/>
      <c r="L805" s="20"/>
      <c r="M805" s="20"/>
      <c r="N805" s="20"/>
      <c r="O805" s="20"/>
      <c r="P805" s="20"/>
      <c r="Q805" s="20"/>
      <c r="R805" s="20"/>
      <c r="S805" s="20"/>
      <c r="T805" s="20"/>
      <c r="U805" s="20"/>
    </row>
    <row r="806">
      <c r="A806" s="20"/>
      <c r="B806" s="20"/>
      <c r="C806" s="20"/>
      <c r="D806" s="20"/>
      <c r="E806" s="20"/>
      <c r="F806" s="20"/>
      <c r="G806" s="20"/>
      <c r="H806" s="20"/>
      <c r="I806" s="20"/>
      <c r="J806" s="20"/>
      <c r="K806" s="20"/>
      <c r="L806" s="20"/>
      <c r="M806" s="20"/>
      <c r="N806" s="20"/>
      <c r="O806" s="20"/>
      <c r="P806" s="20"/>
      <c r="Q806" s="20"/>
      <c r="R806" s="20"/>
      <c r="S806" s="20"/>
      <c r="T806" s="20"/>
      <c r="U806" s="20"/>
    </row>
    <row r="807">
      <c r="A807" s="20"/>
      <c r="B807" s="20"/>
      <c r="C807" s="20"/>
      <c r="D807" s="20"/>
      <c r="E807" s="20"/>
      <c r="F807" s="20"/>
      <c r="G807" s="20"/>
      <c r="H807" s="20"/>
      <c r="I807" s="20"/>
      <c r="J807" s="20"/>
      <c r="K807" s="20"/>
      <c r="L807" s="20"/>
      <c r="M807" s="20"/>
      <c r="N807" s="20"/>
      <c r="O807" s="20"/>
      <c r="P807" s="20"/>
      <c r="Q807" s="20"/>
      <c r="R807" s="20"/>
      <c r="S807" s="20"/>
      <c r="T807" s="20"/>
      <c r="U807" s="20"/>
    </row>
    <row r="808">
      <c r="A808" s="20"/>
      <c r="B808" s="20"/>
      <c r="C808" s="20"/>
      <c r="D808" s="20"/>
      <c r="E808" s="20"/>
      <c r="F808" s="20"/>
      <c r="G808" s="20"/>
      <c r="H808" s="20"/>
      <c r="I808" s="20"/>
      <c r="J808" s="20"/>
      <c r="K808" s="20"/>
      <c r="L808" s="20"/>
      <c r="M808" s="20"/>
      <c r="N808" s="20"/>
      <c r="O808" s="20"/>
      <c r="P808" s="20"/>
      <c r="Q808" s="20"/>
      <c r="R808" s="20"/>
      <c r="S808" s="20"/>
      <c r="T808" s="20"/>
      <c r="U808" s="20"/>
    </row>
    <row r="809">
      <c r="A809" s="20"/>
      <c r="B809" s="20"/>
      <c r="C809" s="20"/>
      <c r="D809" s="20"/>
      <c r="E809" s="20"/>
      <c r="F809" s="20"/>
      <c r="G809" s="20"/>
      <c r="H809" s="20"/>
      <c r="I809" s="20"/>
      <c r="J809" s="20"/>
      <c r="K809" s="20"/>
      <c r="L809" s="20"/>
      <c r="M809" s="20"/>
      <c r="N809" s="20"/>
      <c r="O809" s="20"/>
      <c r="P809" s="20"/>
      <c r="Q809" s="20"/>
      <c r="R809" s="20"/>
      <c r="S809" s="20"/>
      <c r="T809" s="20"/>
      <c r="U809" s="20"/>
    </row>
    <row r="810">
      <c r="A810" s="20"/>
      <c r="B810" s="20"/>
      <c r="C810" s="20"/>
      <c r="D810" s="20"/>
      <c r="E810" s="20"/>
      <c r="F810" s="20"/>
      <c r="G810" s="20"/>
      <c r="H810" s="20"/>
      <c r="I810" s="20"/>
      <c r="J810" s="20"/>
      <c r="K810" s="20"/>
      <c r="L810" s="20"/>
      <c r="M810" s="20"/>
      <c r="N810" s="20"/>
      <c r="O810" s="20"/>
      <c r="P810" s="20"/>
      <c r="Q810" s="20"/>
      <c r="R810" s="20"/>
      <c r="S810" s="20"/>
      <c r="T810" s="20"/>
      <c r="U810" s="20"/>
    </row>
    <row r="811">
      <c r="A811" s="20"/>
      <c r="B811" s="20"/>
      <c r="C811" s="20"/>
      <c r="D811" s="20"/>
      <c r="E811" s="20"/>
      <c r="F811" s="20"/>
      <c r="G811" s="20"/>
      <c r="H811" s="20"/>
      <c r="I811" s="20"/>
      <c r="J811" s="20"/>
      <c r="K811" s="20"/>
      <c r="L811" s="20"/>
      <c r="M811" s="20"/>
      <c r="N811" s="20"/>
      <c r="O811" s="20"/>
      <c r="P811" s="20"/>
      <c r="Q811" s="20"/>
      <c r="R811" s="20"/>
      <c r="S811" s="20"/>
      <c r="T811" s="20"/>
      <c r="U811" s="20"/>
    </row>
    <row r="812">
      <c r="A812" s="20"/>
      <c r="B812" s="20"/>
      <c r="C812" s="20"/>
      <c r="D812" s="20"/>
      <c r="E812" s="20"/>
      <c r="F812" s="20"/>
      <c r="G812" s="20"/>
      <c r="H812" s="20"/>
      <c r="I812" s="20"/>
      <c r="J812" s="20"/>
      <c r="K812" s="20"/>
      <c r="L812" s="20"/>
      <c r="M812" s="20"/>
      <c r="N812" s="20"/>
      <c r="O812" s="20"/>
      <c r="P812" s="20"/>
      <c r="Q812" s="20"/>
      <c r="R812" s="20"/>
      <c r="S812" s="20"/>
      <c r="T812" s="20"/>
      <c r="U812" s="20"/>
    </row>
    <row r="813">
      <c r="A813" s="20"/>
      <c r="B813" s="20"/>
      <c r="C813" s="20"/>
      <c r="D813" s="20"/>
      <c r="E813" s="20"/>
      <c r="F813" s="20"/>
      <c r="G813" s="20"/>
      <c r="H813" s="20"/>
      <c r="I813" s="20"/>
      <c r="J813" s="20"/>
      <c r="K813" s="20"/>
      <c r="L813" s="20"/>
      <c r="M813" s="20"/>
      <c r="N813" s="20"/>
      <c r="O813" s="20"/>
      <c r="P813" s="20"/>
      <c r="Q813" s="20"/>
      <c r="R813" s="20"/>
      <c r="S813" s="20"/>
      <c r="T813" s="20"/>
      <c r="U813" s="20"/>
    </row>
    <row r="814">
      <c r="A814" s="20"/>
      <c r="B814" s="20"/>
      <c r="C814" s="20"/>
      <c r="D814" s="20"/>
      <c r="E814" s="20"/>
      <c r="F814" s="20"/>
      <c r="G814" s="20"/>
      <c r="H814" s="20"/>
      <c r="I814" s="20"/>
      <c r="J814" s="20"/>
      <c r="K814" s="20"/>
      <c r="L814" s="20"/>
      <c r="M814" s="20"/>
      <c r="N814" s="20"/>
      <c r="O814" s="20"/>
      <c r="P814" s="20"/>
      <c r="Q814" s="20"/>
      <c r="R814" s="20"/>
      <c r="S814" s="20"/>
      <c r="T814" s="20"/>
      <c r="U814" s="20"/>
    </row>
    <row r="815">
      <c r="A815" s="20"/>
      <c r="B815" s="20"/>
      <c r="C815" s="20"/>
      <c r="D815" s="20"/>
      <c r="E815" s="20"/>
      <c r="F815" s="20"/>
      <c r="G815" s="20"/>
      <c r="H815" s="20"/>
      <c r="I815" s="20"/>
      <c r="J815" s="20"/>
      <c r="K815" s="20"/>
      <c r="L815" s="20"/>
      <c r="M815" s="20"/>
      <c r="N815" s="20"/>
      <c r="O815" s="20"/>
      <c r="P815" s="20"/>
      <c r="Q815" s="20"/>
      <c r="R815" s="20"/>
      <c r="S815" s="20"/>
      <c r="T815" s="20"/>
      <c r="U815" s="20"/>
    </row>
    <row r="816">
      <c r="A816" s="20"/>
      <c r="B816" s="20"/>
      <c r="C816" s="20"/>
      <c r="D816" s="20"/>
      <c r="E816" s="20"/>
      <c r="F816" s="20"/>
      <c r="G816" s="20"/>
      <c r="H816" s="20"/>
      <c r="I816" s="20"/>
      <c r="J816" s="20"/>
      <c r="K816" s="20"/>
      <c r="L816" s="20"/>
      <c r="M816" s="20"/>
      <c r="N816" s="20"/>
      <c r="O816" s="20"/>
      <c r="P816" s="20"/>
      <c r="Q816" s="20"/>
      <c r="R816" s="20"/>
      <c r="S816" s="20"/>
      <c r="T816" s="20"/>
      <c r="U816" s="20"/>
    </row>
    <row r="817">
      <c r="A817" s="20"/>
      <c r="B817" s="20"/>
      <c r="C817" s="20"/>
      <c r="D817" s="20"/>
      <c r="E817" s="20"/>
      <c r="F817" s="20"/>
      <c r="G817" s="20"/>
      <c r="H817" s="20"/>
      <c r="I817" s="20"/>
      <c r="J817" s="20"/>
      <c r="K817" s="20"/>
      <c r="L817" s="20"/>
      <c r="M817" s="20"/>
      <c r="N817" s="20"/>
      <c r="O817" s="20"/>
      <c r="P817" s="20"/>
      <c r="Q817" s="20"/>
      <c r="R817" s="20"/>
      <c r="S817" s="20"/>
      <c r="T817" s="20"/>
      <c r="U817" s="20"/>
    </row>
    <row r="818">
      <c r="A818" s="20"/>
      <c r="B818" s="20"/>
      <c r="C818" s="20"/>
      <c r="D818" s="20"/>
      <c r="E818" s="20"/>
      <c r="F818" s="20"/>
      <c r="G818" s="20"/>
      <c r="H818" s="20"/>
      <c r="I818" s="20"/>
      <c r="J818" s="20"/>
      <c r="K818" s="20"/>
      <c r="L818" s="20"/>
      <c r="M818" s="20"/>
      <c r="N818" s="20"/>
      <c r="O818" s="20"/>
      <c r="P818" s="20"/>
      <c r="Q818" s="20"/>
      <c r="R818" s="20"/>
      <c r="S818" s="20"/>
      <c r="T818" s="20"/>
      <c r="U818" s="20"/>
    </row>
    <row r="819">
      <c r="A819" s="20"/>
      <c r="B819" s="20"/>
      <c r="C819" s="20"/>
      <c r="D819" s="20"/>
      <c r="E819" s="20"/>
      <c r="F819" s="20"/>
      <c r="G819" s="20"/>
      <c r="H819" s="20"/>
      <c r="I819" s="20"/>
      <c r="J819" s="20"/>
      <c r="K819" s="20"/>
      <c r="L819" s="20"/>
      <c r="M819" s="20"/>
      <c r="N819" s="20"/>
      <c r="O819" s="20"/>
      <c r="P819" s="20"/>
      <c r="Q819" s="20"/>
      <c r="R819" s="20"/>
      <c r="S819" s="20"/>
      <c r="T819" s="20"/>
      <c r="U819" s="20"/>
    </row>
    <row r="820">
      <c r="A820" s="20"/>
      <c r="B820" s="20"/>
      <c r="C820" s="20"/>
      <c r="D820" s="20"/>
      <c r="E820" s="20"/>
      <c r="F820" s="20"/>
      <c r="G820" s="20"/>
      <c r="H820" s="20"/>
      <c r="I820" s="20"/>
      <c r="J820" s="20"/>
      <c r="K820" s="20"/>
      <c r="L820" s="20"/>
      <c r="M820" s="20"/>
      <c r="N820" s="20"/>
      <c r="O820" s="20"/>
      <c r="P820" s="20"/>
      <c r="Q820" s="20"/>
      <c r="R820" s="20"/>
      <c r="S820" s="20"/>
      <c r="T820" s="20"/>
      <c r="U820" s="20"/>
    </row>
    <row r="821">
      <c r="A821" s="20"/>
      <c r="B821" s="20"/>
      <c r="C821" s="20"/>
      <c r="D821" s="20"/>
      <c r="E821" s="20"/>
      <c r="F821" s="20"/>
      <c r="G821" s="20"/>
      <c r="H821" s="20"/>
      <c r="I821" s="20"/>
      <c r="J821" s="20"/>
      <c r="K821" s="20"/>
      <c r="L821" s="20"/>
      <c r="M821" s="20"/>
      <c r="N821" s="20"/>
      <c r="O821" s="20"/>
      <c r="P821" s="20"/>
      <c r="Q821" s="20"/>
      <c r="R821" s="20"/>
      <c r="S821" s="20"/>
      <c r="T821" s="20"/>
      <c r="U821" s="20"/>
    </row>
    <row r="822">
      <c r="A822" s="20"/>
      <c r="B822" s="20"/>
      <c r="C822" s="20"/>
      <c r="D822" s="20"/>
      <c r="E822" s="20"/>
      <c r="F822" s="20"/>
      <c r="G822" s="20"/>
      <c r="H822" s="20"/>
      <c r="I822" s="20"/>
      <c r="J822" s="20"/>
      <c r="K822" s="20"/>
      <c r="L822" s="20"/>
      <c r="M822" s="20"/>
      <c r="N822" s="20"/>
      <c r="O822" s="20"/>
      <c r="P822" s="20"/>
      <c r="Q822" s="20"/>
      <c r="R822" s="20"/>
      <c r="S822" s="20"/>
      <c r="T822" s="20"/>
      <c r="U822" s="20"/>
    </row>
    <row r="823">
      <c r="A823" s="20"/>
      <c r="B823" s="20"/>
      <c r="C823" s="20"/>
      <c r="D823" s="20"/>
      <c r="E823" s="20"/>
      <c r="F823" s="20"/>
      <c r="G823" s="20"/>
      <c r="H823" s="20"/>
      <c r="I823" s="20"/>
      <c r="J823" s="20"/>
      <c r="K823" s="20"/>
      <c r="L823" s="20"/>
      <c r="M823" s="20"/>
      <c r="N823" s="20"/>
      <c r="O823" s="20"/>
      <c r="P823" s="20"/>
      <c r="Q823" s="20"/>
      <c r="R823" s="20"/>
      <c r="S823" s="20"/>
      <c r="T823" s="20"/>
      <c r="U823" s="20"/>
    </row>
    <row r="824">
      <c r="A824" s="20"/>
      <c r="B824" s="20"/>
      <c r="C824" s="20"/>
      <c r="D824" s="20"/>
      <c r="E824" s="20"/>
      <c r="F824" s="20"/>
      <c r="G824" s="20"/>
      <c r="H824" s="20"/>
      <c r="I824" s="20"/>
      <c r="J824" s="20"/>
      <c r="K824" s="20"/>
      <c r="L824" s="20"/>
      <c r="M824" s="20"/>
      <c r="N824" s="20"/>
      <c r="O824" s="20"/>
      <c r="P824" s="20"/>
      <c r="Q824" s="20"/>
      <c r="R824" s="20"/>
      <c r="S824" s="20"/>
      <c r="T824" s="20"/>
      <c r="U824" s="20"/>
    </row>
    <row r="825">
      <c r="A825" s="20"/>
      <c r="B825" s="20"/>
      <c r="C825" s="20"/>
      <c r="D825" s="20"/>
      <c r="E825" s="20"/>
      <c r="F825" s="20"/>
      <c r="G825" s="20"/>
      <c r="H825" s="20"/>
      <c r="I825" s="20"/>
      <c r="J825" s="20"/>
      <c r="K825" s="20"/>
      <c r="L825" s="20"/>
      <c r="M825" s="20"/>
      <c r="N825" s="20"/>
      <c r="O825" s="20"/>
      <c r="P825" s="20"/>
      <c r="Q825" s="20"/>
      <c r="R825" s="20"/>
      <c r="S825" s="20"/>
      <c r="T825" s="20"/>
      <c r="U825" s="20"/>
    </row>
    <row r="826">
      <c r="A826" s="20"/>
      <c r="B826" s="20"/>
      <c r="C826" s="20"/>
      <c r="D826" s="20"/>
      <c r="E826" s="20"/>
      <c r="F826" s="20"/>
      <c r="G826" s="20"/>
      <c r="H826" s="20"/>
      <c r="I826" s="20"/>
      <c r="J826" s="20"/>
      <c r="K826" s="20"/>
      <c r="L826" s="20"/>
      <c r="M826" s="20"/>
      <c r="N826" s="20"/>
      <c r="O826" s="20"/>
      <c r="P826" s="20"/>
      <c r="Q826" s="20"/>
      <c r="R826" s="20"/>
      <c r="S826" s="20"/>
      <c r="T826" s="20"/>
      <c r="U826" s="20"/>
    </row>
    <row r="827">
      <c r="A827" s="20"/>
      <c r="B827" s="20"/>
      <c r="C827" s="20"/>
      <c r="D827" s="20"/>
      <c r="E827" s="20"/>
      <c r="F827" s="20"/>
      <c r="G827" s="20"/>
      <c r="H827" s="20"/>
      <c r="I827" s="20"/>
      <c r="J827" s="20"/>
      <c r="K827" s="20"/>
      <c r="L827" s="20"/>
      <c r="M827" s="20"/>
      <c r="N827" s="20"/>
      <c r="O827" s="20"/>
      <c r="P827" s="20"/>
      <c r="Q827" s="20"/>
      <c r="R827" s="20"/>
      <c r="S827" s="20"/>
      <c r="T827" s="20"/>
      <c r="U827" s="20"/>
    </row>
    <row r="828">
      <c r="A828" s="20"/>
      <c r="B828" s="20"/>
      <c r="C828" s="20"/>
      <c r="D828" s="20"/>
      <c r="E828" s="20"/>
      <c r="F828" s="20"/>
      <c r="G828" s="20"/>
      <c r="H828" s="20"/>
      <c r="I828" s="20"/>
      <c r="J828" s="20"/>
      <c r="K828" s="20"/>
      <c r="L828" s="20"/>
      <c r="M828" s="20"/>
      <c r="N828" s="20"/>
      <c r="O828" s="20"/>
      <c r="P828" s="20"/>
      <c r="Q828" s="20"/>
      <c r="R828" s="20"/>
      <c r="S828" s="20"/>
      <c r="T828" s="20"/>
      <c r="U828" s="20"/>
    </row>
    <row r="829">
      <c r="A829" s="20"/>
      <c r="B829" s="20"/>
      <c r="C829" s="20"/>
      <c r="D829" s="20"/>
      <c r="E829" s="20"/>
      <c r="F829" s="20"/>
      <c r="G829" s="20"/>
      <c r="H829" s="20"/>
      <c r="I829" s="20"/>
      <c r="J829" s="20"/>
      <c r="K829" s="20"/>
      <c r="L829" s="20"/>
      <c r="M829" s="20"/>
      <c r="N829" s="20"/>
      <c r="O829" s="20"/>
      <c r="P829" s="20"/>
      <c r="Q829" s="20"/>
      <c r="R829" s="20"/>
      <c r="S829" s="20"/>
      <c r="T829" s="20"/>
      <c r="U829" s="20"/>
    </row>
    <row r="830">
      <c r="A830" s="20"/>
      <c r="B830" s="20"/>
      <c r="C830" s="20"/>
      <c r="D830" s="20"/>
      <c r="E830" s="20"/>
      <c r="F830" s="20"/>
      <c r="G830" s="20"/>
      <c r="H830" s="20"/>
      <c r="I830" s="20"/>
      <c r="J830" s="20"/>
      <c r="K830" s="20"/>
      <c r="L830" s="20"/>
      <c r="M830" s="20"/>
      <c r="N830" s="20"/>
      <c r="O830" s="20"/>
      <c r="P830" s="20"/>
      <c r="Q830" s="20"/>
      <c r="R830" s="20"/>
      <c r="S830" s="20"/>
      <c r="T830" s="20"/>
      <c r="U830" s="20"/>
    </row>
    <row r="831">
      <c r="A831" s="20"/>
      <c r="B831" s="20"/>
      <c r="C831" s="20"/>
      <c r="D831" s="20"/>
      <c r="E831" s="20"/>
      <c r="F831" s="20"/>
      <c r="G831" s="20"/>
      <c r="H831" s="20"/>
      <c r="I831" s="20"/>
      <c r="J831" s="20"/>
      <c r="K831" s="20"/>
      <c r="L831" s="20"/>
      <c r="M831" s="20"/>
      <c r="N831" s="20"/>
      <c r="O831" s="20"/>
      <c r="P831" s="20"/>
      <c r="Q831" s="20"/>
      <c r="R831" s="20"/>
      <c r="S831" s="20"/>
      <c r="T831" s="20"/>
      <c r="U831" s="20"/>
    </row>
    <row r="832">
      <c r="A832" s="20"/>
      <c r="B832" s="20"/>
      <c r="C832" s="20"/>
      <c r="D832" s="20"/>
      <c r="E832" s="20"/>
      <c r="F832" s="20"/>
      <c r="G832" s="20"/>
      <c r="H832" s="20"/>
      <c r="I832" s="20"/>
      <c r="J832" s="20"/>
      <c r="K832" s="20"/>
      <c r="L832" s="20"/>
      <c r="M832" s="20"/>
      <c r="N832" s="20"/>
      <c r="O832" s="20"/>
      <c r="P832" s="20"/>
      <c r="Q832" s="20"/>
      <c r="R832" s="20"/>
      <c r="S832" s="20"/>
      <c r="T832" s="20"/>
      <c r="U832" s="20"/>
    </row>
    <row r="833">
      <c r="A833" s="20"/>
      <c r="B833" s="20"/>
      <c r="C833" s="20"/>
      <c r="D833" s="20"/>
      <c r="E833" s="20"/>
      <c r="F833" s="20"/>
      <c r="G833" s="20"/>
      <c r="H833" s="20"/>
      <c r="I833" s="20"/>
      <c r="J833" s="20"/>
      <c r="K833" s="20"/>
      <c r="L833" s="20"/>
      <c r="M833" s="20"/>
      <c r="N833" s="20"/>
      <c r="O833" s="20"/>
      <c r="P833" s="20"/>
      <c r="Q833" s="20"/>
      <c r="R833" s="20"/>
      <c r="S833" s="20"/>
      <c r="T833" s="20"/>
      <c r="U833" s="20"/>
    </row>
    <row r="834">
      <c r="A834" s="20"/>
      <c r="B834" s="20"/>
      <c r="C834" s="20"/>
      <c r="D834" s="20"/>
      <c r="E834" s="20"/>
      <c r="F834" s="20"/>
      <c r="G834" s="20"/>
      <c r="H834" s="20"/>
      <c r="I834" s="20"/>
      <c r="J834" s="20"/>
      <c r="K834" s="20"/>
      <c r="L834" s="20"/>
      <c r="M834" s="20"/>
      <c r="N834" s="20"/>
      <c r="O834" s="20"/>
      <c r="P834" s="20"/>
      <c r="Q834" s="20"/>
      <c r="R834" s="20"/>
      <c r="S834" s="20"/>
      <c r="T834" s="20"/>
      <c r="U834" s="20"/>
    </row>
    <row r="835">
      <c r="A835" s="20"/>
      <c r="B835" s="20"/>
      <c r="C835" s="20"/>
      <c r="D835" s="20"/>
      <c r="E835" s="20"/>
      <c r="F835" s="20"/>
      <c r="G835" s="20"/>
      <c r="H835" s="20"/>
      <c r="I835" s="20"/>
      <c r="J835" s="20"/>
      <c r="K835" s="20"/>
      <c r="L835" s="20"/>
      <c r="M835" s="20"/>
      <c r="N835" s="20"/>
      <c r="O835" s="20"/>
      <c r="P835" s="20"/>
      <c r="Q835" s="20"/>
      <c r="R835" s="20"/>
      <c r="S835" s="20"/>
      <c r="T835" s="20"/>
      <c r="U835" s="20"/>
    </row>
    <row r="836">
      <c r="A836" s="20"/>
      <c r="B836" s="20"/>
      <c r="C836" s="20"/>
      <c r="D836" s="20"/>
      <c r="E836" s="20"/>
      <c r="F836" s="20"/>
      <c r="G836" s="20"/>
      <c r="H836" s="20"/>
      <c r="I836" s="20"/>
      <c r="J836" s="20"/>
      <c r="K836" s="20"/>
      <c r="L836" s="20"/>
      <c r="M836" s="20"/>
      <c r="N836" s="20"/>
      <c r="O836" s="20"/>
      <c r="P836" s="20"/>
      <c r="Q836" s="20"/>
      <c r="R836" s="20"/>
      <c r="S836" s="20"/>
      <c r="T836" s="20"/>
      <c r="U836" s="20"/>
    </row>
    <row r="837">
      <c r="A837" s="20"/>
      <c r="B837" s="20"/>
      <c r="C837" s="20"/>
      <c r="D837" s="20"/>
      <c r="E837" s="20"/>
      <c r="F837" s="20"/>
      <c r="G837" s="20"/>
      <c r="H837" s="20"/>
      <c r="I837" s="20"/>
      <c r="J837" s="20"/>
      <c r="K837" s="20"/>
      <c r="L837" s="20"/>
      <c r="M837" s="20"/>
      <c r="N837" s="20"/>
      <c r="O837" s="20"/>
      <c r="P837" s="20"/>
      <c r="Q837" s="20"/>
      <c r="R837" s="20"/>
      <c r="S837" s="20"/>
      <c r="T837" s="20"/>
      <c r="U837" s="20"/>
    </row>
    <row r="838">
      <c r="A838" s="20"/>
      <c r="B838" s="20"/>
      <c r="C838" s="20"/>
      <c r="D838" s="20"/>
      <c r="E838" s="20"/>
      <c r="F838" s="20"/>
      <c r="G838" s="20"/>
      <c r="H838" s="20"/>
      <c r="I838" s="20"/>
      <c r="J838" s="20"/>
      <c r="K838" s="20"/>
      <c r="L838" s="20"/>
      <c r="M838" s="20"/>
      <c r="N838" s="20"/>
      <c r="O838" s="20"/>
      <c r="P838" s="20"/>
      <c r="Q838" s="20"/>
      <c r="R838" s="20"/>
      <c r="S838" s="20"/>
      <c r="T838" s="20"/>
      <c r="U838" s="20"/>
    </row>
    <row r="839">
      <c r="A839" s="20"/>
      <c r="B839" s="20"/>
      <c r="C839" s="20"/>
      <c r="D839" s="20"/>
      <c r="E839" s="20"/>
      <c r="F839" s="20"/>
      <c r="G839" s="20"/>
      <c r="H839" s="20"/>
      <c r="I839" s="20"/>
      <c r="J839" s="20"/>
      <c r="K839" s="20"/>
      <c r="L839" s="20"/>
      <c r="M839" s="20"/>
      <c r="N839" s="20"/>
      <c r="O839" s="20"/>
      <c r="P839" s="20"/>
      <c r="Q839" s="20"/>
      <c r="R839" s="20"/>
      <c r="S839" s="20"/>
      <c r="T839" s="20"/>
      <c r="U839" s="20"/>
    </row>
    <row r="840">
      <c r="A840" s="20"/>
      <c r="B840" s="20"/>
      <c r="C840" s="20"/>
      <c r="D840" s="20"/>
      <c r="E840" s="20"/>
      <c r="F840" s="20"/>
      <c r="G840" s="20"/>
      <c r="H840" s="20"/>
      <c r="I840" s="20"/>
      <c r="J840" s="20"/>
      <c r="K840" s="20"/>
      <c r="L840" s="20"/>
      <c r="M840" s="20"/>
      <c r="N840" s="20"/>
      <c r="O840" s="20"/>
      <c r="P840" s="20"/>
      <c r="Q840" s="20"/>
      <c r="R840" s="20"/>
      <c r="S840" s="20"/>
      <c r="T840" s="20"/>
      <c r="U840" s="20"/>
    </row>
    <row r="841">
      <c r="A841" s="20"/>
      <c r="B841" s="20"/>
      <c r="C841" s="20"/>
      <c r="D841" s="20"/>
      <c r="E841" s="20"/>
      <c r="F841" s="20"/>
      <c r="G841" s="20"/>
      <c r="H841" s="20"/>
      <c r="I841" s="20"/>
      <c r="J841" s="20"/>
      <c r="K841" s="20"/>
      <c r="L841" s="20"/>
      <c r="M841" s="20"/>
      <c r="N841" s="20"/>
      <c r="O841" s="20"/>
      <c r="P841" s="20"/>
      <c r="Q841" s="20"/>
      <c r="R841" s="20"/>
      <c r="S841" s="20"/>
      <c r="T841" s="20"/>
      <c r="U841" s="20"/>
    </row>
    <row r="842">
      <c r="A842" s="20"/>
      <c r="B842" s="20"/>
      <c r="C842" s="20"/>
      <c r="D842" s="20"/>
      <c r="E842" s="20"/>
      <c r="F842" s="20"/>
      <c r="G842" s="20"/>
      <c r="H842" s="20"/>
      <c r="I842" s="20"/>
      <c r="J842" s="20"/>
      <c r="K842" s="20"/>
      <c r="L842" s="20"/>
      <c r="M842" s="20"/>
      <c r="N842" s="20"/>
      <c r="O842" s="20"/>
      <c r="P842" s="20"/>
      <c r="Q842" s="20"/>
      <c r="R842" s="20"/>
      <c r="S842" s="20"/>
      <c r="T842" s="20"/>
      <c r="U842" s="20"/>
    </row>
    <row r="843">
      <c r="A843" s="20"/>
      <c r="B843" s="20"/>
      <c r="C843" s="20"/>
      <c r="D843" s="20"/>
      <c r="E843" s="20"/>
      <c r="F843" s="20"/>
      <c r="G843" s="20"/>
      <c r="H843" s="20"/>
      <c r="I843" s="20"/>
      <c r="J843" s="20"/>
      <c r="K843" s="20"/>
      <c r="L843" s="20"/>
      <c r="M843" s="20"/>
      <c r="N843" s="20"/>
      <c r="O843" s="20"/>
      <c r="P843" s="20"/>
      <c r="Q843" s="20"/>
      <c r="R843" s="20"/>
      <c r="S843" s="20"/>
      <c r="T843" s="20"/>
      <c r="U843" s="20"/>
    </row>
    <row r="844">
      <c r="A844" s="20"/>
      <c r="B844" s="20"/>
      <c r="C844" s="20"/>
      <c r="D844" s="20"/>
      <c r="E844" s="20"/>
      <c r="F844" s="20"/>
      <c r="G844" s="20"/>
      <c r="H844" s="20"/>
      <c r="I844" s="20"/>
      <c r="J844" s="20"/>
      <c r="K844" s="20"/>
      <c r="L844" s="20"/>
      <c r="M844" s="20"/>
      <c r="N844" s="20"/>
      <c r="O844" s="20"/>
      <c r="P844" s="20"/>
      <c r="Q844" s="20"/>
      <c r="R844" s="20"/>
      <c r="S844" s="20"/>
      <c r="T844" s="20"/>
      <c r="U844" s="20"/>
    </row>
    <row r="845">
      <c r="A845" s="20"/>
      <c r="B845" s="20"/>
      <c r="C845" s="20"/>
      <c r="D845" s="20"/>
      <c r="E845" s="20"/>
      <c r="F845" s="20"/>
      <c r="G845" s="20"/>
      <c r="H845" s="20"/>
      <c r="I845" s="20"/>
      <c r="J845" s="20"/>
      <c r="K845" s="20"/>
      <c r="L845" s="20"/>
      <c r="M845" s="20"/>
      <c r="N845" s="20"/>
      <c r="O845" s="20"/>
      <c r="P845" s="20"/>
      <c r="Q845" s="20"/>
      <c r="R845" s="20"/>
      <c r="S845" s="20"/>
      <c r="T845" s="20"/>
      <c r="U845" s="20"/>
    </row>
    <row r="846">
      <c r="A846" s="20"/>
      <c r="B846" s="20"/>
      <c r="C846" s="20"/>
      <c r="D846" s="20"/>
      <c r="E846" s="20"/>
      <c r="F846" s="20"/>
      <c r="G846" s="20"/>
      <c r="H846" s="20"/>
      <c r="I846" s="20"/>
      <c r="J846" s="20"/>
      <c r="K846" s="20"/>
      <c r="L846" s="20"/>
      <c r="M846" s="20"/>
      <c r="N846" s="20"/>
      <c r="O846" s="20"/>
      <c r="P846" s="20"/>
      <c r="Q846" s="20"/>
      <c r="R846" s="20"/>
      <c r="S846" s="20"/>
      <c r="T846" s="20"/>
      <c r="U846" s="20"/>
    </row>
    <row r="847">
      <c r="A847" s="20"/>
      <c r="B847" s="20"/>
      <c r="C847" s="20"/>
      <c r="D847" s="20"/>
      <c r="E847" s="20"/>
      <c r="F847" s="20"/>
      <c r="G847" s="20"/>
      <c r="H847" s="20"/>
      <c r="I847" s="20"/>
      <c r="J847" s="20"/>
      <c r="K847" s="20"/>
      <c r="L847" s="20"/>
      <c r="M847" s="20"/>
      <c r="N847" s="20"/>
      <c r="O847" s="20"/>
      <c r="P847" s="20"/>
      <c r="Q847" s="20"/>
      <c r="R847" s="20"/>
      <c r="S847" s="20"/>
      <c r="T847" s="20"/>
      <c r="U847" s="20"/>
    </row>
    <row r="848">
      <c r="A848" s="20"/>
      <c r="B848" s="20"/>
      <c r="C848" s="20"/>
      <c r="D848" s="20"/>
      <c r="E848" s="20"/>
      <c r="F848" s="20"/>
      <c r="G848" s="20"/>
      <c r="H848" s="20"/>
      <c r="I848" s="20"/>
      <c r="J848" s="20"/>
      <c r="K848" s="20"/>
      <c r="L848" s="20"/>
      <c r="M848" s="20"/>
      <c r="N848" s="20"/>
      <c r="O848" s="20"/>
      <c r="P848" s="20"/>
      <c r="Q848" s="20"/>
      <c r="R848" s="20"/>
      <c r="S848" s="20"/>
      <c r="T848" s="20"/>
      <c r="U848" s="20"/>
    </row>
    <row r="849">
      <c r="A849" s="20"/>
      <c r="B849" s="20"/>
      <c r="C849" s="20"/>
      <c r="D849" s="20"/>
      <c r="E849" s="20"/>
      <c r="F849" s="20"/>
      <c r="G849" s="20"/>
      <c r="H849" s="20"/>
      <c r="I849" s="20"/>
      <c r="J849" s="20"/>
      <c r="K849" s="20"/>
      <c r="L849" s="20"/>
      <c r="M849" s="20"/>
      <c r="N849" s="20"/>
      <c r="O849" s="20"/>
      <c r="P849" s="20"/>
      <c r="Q849" s="20"/>
      <c r="R849" s="20"/>
      <c r="S849" s="20"/>
      <c r="T849" s="20"/>
      <c r="U849" s="20"/>
    </row>
    <row r="850">
      <c r="A850" s="20"/>
      <c r="B850" s="20"/>
      <c r="C850" s="20"/>
      <c r="D850" s="20"/>
      <c r="E850" s="20"/>
      <c r="F850" s="20"/>
      <c r="G850" s="20"/>
      <c r="H850" s="20"/>
      <c r="I850" s="20"/>
      <c r="J850" s="20"/>
      <c r="K850" s="20"/>
      <c r="L850" s="20"/>
      <c r="M850" s="20"/>
      <c r="N850" s="20"/>
      <c r="O850" s="20"/>
      <c r="P850" s="20"/>
      <c r="Q850" s="20"/>
      <c r="R850" s="20"/>
      <c r="S850" s="20"/>
      <c r="T850" s="20"/>
      <c r="U850" s="20"/>
    </row>
    <row r="851">
      <c r="A851" s="20"/>
      <c r="B851" s="20"/>
      <c r="C851" s="20"/>
      <c r="D851" s="20"/>
      <c r="E851" s="20"/>
      <c r="F851" s="20"/>
      <c r="G851" s="20"/>
      <c r="H851" s="20"/>
      <c r="I851" s="20"/>
      <c r="J851" s="20"/>
      <c r="K851" s="20"/>
      <c r="L851" s="20"/>
      <c r="M851" s="20"/>
      <c r="N851" s="20"/>
      <c r="O851" s="20"/>
      <c r="P851" s="20"/>
      <c r="Q851" s="20"/>
      <c r="R851" s="20"/>
      <c r="S851" s="20"/>
      <c r="T851" s="20"/>
      <c r="U851" s="20"/>
    </row>
    <row r="852">
      <c r="A852" s="20"/>
      <c r="B852" s="20"/>
      <c r="C852" s="20"/>
      <c r="D852" s="20"/>
      <c r="E852" s="20"/>
      <c r="F852" s="20"/>
      <c r="G852" s="20"/>
      <c r="H852" s="20"/>
      <c r="I852" s="20"/>
      <c r="J852" s="20"/>
      <c r="K852" s="20"/>
      <c r="L852" s="20"/>
      <c r="M852" s="20"/>
      <c r="N852" s="20"/>
      <c r="O852" s="20"/>
      <c r="P852" s="20"/>
      <c r="Q852" s="20"/>
      <c r="R852" s="20"/>
      <c r="S852" s="20"/>
      <c r="T852" s="20"/>
      <c r="U852" s="20"/>
    </row>
    <row r="853">
      <c r="A853" s="20"/>
      <c r="B853" s="20"/>
      <c r="C853" s="20"/>
      <c r="D853" s="20"/>
      <c r="E853" s="20"/>
      <c r="F853" s="20"/>
      <c r="G853" s="20"/>
      <c r="H853" s="20"/>
      <c r="I853" s="20"/>
      <c r="J853" s="20"/>
      <c r="K853" s="20"/>
      <c r="L853" s="20"/>
      <c r="M853" s="20"/>
      <c r="N853" s="20"/>
      <c r="O853" s="20"/>
      <c r="P853" s="20"/>
      <c r="Q853" s="20"/>
      <c r="R853" s="20"/>
      <c r="S853" s="20"/>
      <c r="T853" s="20"/>
      <c r="U853" s="20"/>
    </row>
    <row r="854">
      <c r="A854" s="20"/>
      <c r="B854" s="20"/>
      <c r="C854" s="20"/>
      <c r="D854" s="20"/>
      <c r="E854" s="20"/>
      <c r="F854" s="20"/>
      <c r="G854" s="20"/>
      <c r="H854" s="20"/>
      <c r="I854" s="20"/>
      <c r="J854" s="20"/>
      <c r="K854" s="20"/>
      <c r="L854" s="20"/>
      <c r="M854" s="20"/>
      <c r="N854" s="20"/>
      <c r="O854" s="20"/>
      <c r="P854" s="20"/>
      <c r="Q854" s="20"/>
      <c r="R854" s="20"/>
      <c r="S854" s="20"/>
      <c r="T854" s="20"/>
      <c r="U854" s="20"/>
    </row>
    <row r="855">
      <c r="A855" s="20"/>
      <c r="B855" s="20"/>
      <c r="C855" s="20"/>
      <c r="D855" s="20"/>
      <c r="E855" s="20"/>
      <c r="F855" s="20"/>
      <c r="G855" s="20"/>
      <c r="H855" s="20"/>
      <c r="I855" s="20"/>
      <c r="J855" s="20"/>
      <c r="K855" s="20"/>
      <c r="L855" s="20"/>
      <c r="M855" s="20"/>
      <c r="N855" s="20"/>
      <c r="O855" s="20"/>
      <c r="P855" s="20"/>
      <c r="Q855" s="20"/>
      <c r="R855" s="20"/>
      <c r="S855" s="20"/>
      <c r="T855" s="20"/>
      <c r="U855" s="20"/>
    </row>
    <row r="856">
      <c r="A856" s="20"/>
      <c r="B856" s="20"/>
      <c r="C856" s="20"/>
      <c r="D856" s="20"/>
      <c r="E856" s="20"/>
      <c r="F856" s="20"/>
      <c r="G856" s="20"/>
      <c r="H856" s="20"/>
      <c r="I856" s="20"/>
      <c r="J856" s="20"/>
      <c r="K856" s="20"/>
      <c r="L856" s="20"/>
      <c r="M856" s="20"/>
      <c r="N856" s="20"/>
      <c r="O856" s="20"/>
      <c r="P856" s="20"/>
      <c r="Q856" s="20"/>
      <c r="R856" s="20"/>
      <c r="S856" s="20"/>
      <c r="T856" s="20"/>
      <c r="U856" s="20"/>
    </row>
    <row r="857">
      <c r="A857" s="20"/>
      <c r="B857" s="20"/>
      <c r="C857" s="20"/>
      <c r="D857" s="20"/>
      <c r="E857" s="20"/>
      <c r="F857" s="20"/>
      <c r="G857" s="20"/>
      <c r="H857" s="20"/>
      <c r="I857" s="20"/>
      <c r="J857" s="20"/>
      <c r="K857" s="20"/>
      <c r="L857" s="20"/>
      <c r="M857" s="20"/>
      <c r="N857" s="20"/>
      <c r="O857" s="20"/>
      <c r="P857" s="20"/>
      <c r="Q857" s="20"/>
      <c r="R857" s="20"/>
      <c r="S857" s="20"/>
      <c r="T857" s="20"/>
      <c r="U857" s="20"/>
    </row>
    <row r="858">
      <c r="A858" s="20"/>
      <c r="B858" s="20"/>
      <c r="C858" s="20"/>
      <c r="D858" s="20"/>
      <c r="E858" s="20"/>
      <c r="F858" s="20"/>
      <c r="G858" s="20"/>
      <c r="H858" s="20"/>
      <c r="I858" s="20"/>
      <c r="J858" s="20"/>
      <c r="K858" s="20"/>
      <c r="L858" s="20"/>
      <c r="M858" s="20"/>
      <c r="N858" s="20"/>
      <c r="O858" s="20"/>
      <c r="P858" s="20"/>
      <c r="Q858" s="20"/>
      <c r="R858" s="20"/>
      <c r="S858" s="20"/>
      <c r="T858" s="20"/>
      <c r="U858" s="20"/>
    </row>
    <row r="859">
      <c r="A859" s="20"/>
      <c r="B859" s="20"/>
      <c r="C859" s="20"/>
      <c r="D859" s="20"/>
      <c r="E859" s="20"/>
      <c r="F859" s="20"/>
      <c r="G859" s="20"/>
      <c r="H859" s="20"/>
      <c r="I859" s="20"/>
      <c r="J859" s="20"/>
      <c r="K859" s="20"/>
      <c r="L859" s="20"/>
      <c r="M859" s="20"/>
      <c r="N859" s="20"/>
      <c r="O859" s="20"/>
      <c r="P859" s="20"/>
      <c r="Q859" s="20"/>
      <c r="R859" s="20"/>
      <c r="S859" s="20"/>
      <c r="T859" s="20"/>
      <c r="U859" s="20"/>
    </row>
    <row r="860">
      <c r="A860" s="20"/>
      <c r="B860" s="20"/>
      <c r="C860" s="20"/>
      <c r="D860" s="20"/>
      <c r="E860" s="20"/>
      <c r="F860" s="20"/>
      <c r="G860" s="20"/>
      <c r="H860" s="20"/>
      <c r="I860" s="20"/>
      <c r="J860" s="20"/>
      <c r="K860" s="20"/>
      <c r="L860" s="20"/>
      <c r="M860" s="20"/>
      <c r="N860" s="20"/>
      <c r="O860" s="20"/>
      <c r="P860" s="20"/>
      <c r="Q860" s="20"/>
      <c r="R860" s="20"/>
      <c r="S860" s="20"/>
      <c r="T860" s="20"/>
      <c r="U860" s="20"/>
    </row>
    <row r="861">
      <c r="A861" s="20"/>
      <c r="B861" s="20"/>
      <c r="C861" s="20"/>
      <c r="D861" s="20"/>
      <c r="E861" s="20"/>
      <c r="F861" s="20"/>
      <c r="G861" s="20"/>
      <c r="H861" s="20"/>
      <c r="I861" s="20"/>
      <c r="J861" s="20"/>
      <c r="K861" s="20"/>
      <c r="L861" s="20"/>
      <c r="M861" s="20"/>
      <c r="N861" s="20"/>
      <c r="O861" s="20"/>
      <c r="P861" s="20"/>
      <c r="Q861" s="20"/>
      <c r="R861" s="20"/>
      <c r="S861" s="20"/>
      <c r="T861" s="20"/>
      <c r="U861" s="20"/>
    </row>
    <row r="862">
      <c r="A862" s="20"/>
      <c r="B862" s="20"/>
      <c r="C862" s="20"/>
      <c r="D862" s="20"/>
      <c r="E862" s="20"/>
      <c r="F862" s="20"/>
      <c r="G862" s="20"/>
      <c r="H862" s="20"/>
      <c r="I862" s="20"/>
      <c r="J862" s="20"/>
      <c r="K862" s="20"/>
      <c r="L862" s="20"/>
      <c r="M862" s="20"/>
      <c r="N862" s="20"/>
      <c r="O862" s="20"/>
      <c r="P862" s="20"/>
      <c r="Q862" s="20"/>
      <c r="R862" s="20"/>
      <c r="S862" s="20"/>
      <c r="T862" s="20"/>
      <c r="U862" s="20"/>
    </row>
    <row r="863">
      <c r="A863" s="20"/>
      <c r="B863" s="20"/>
      <c r="C863" s="20"/>
      <c r="D863" s="20"/>
      <c r="E863" s="20"/>
      <c r="F863" s="20"/>
      <c r="G863" s="20"/>
      <c r="H863" s="20"/>
      <c r="I863" s="20"/>
      <c r="J863" s="20"/>
      <c r="K863" s="20"/>
      <c r="L863" s="20"/>
      <c r="M863" s="20"/>
      <c r="N863" s="20"/>
      <c r="O863" s="20"/>
      <c r="P863" s="20"/>
      <c r="Q863" s="20"/>
      <c r="R863" s="20"/>
      <c r="S863" s="20"/>
      <c r="T863" s="20"/>
      <c r="U863" s="20"/>
    </row>
    <row r="864">
      <c r="A864" s="20"/>
      <c r="B864" s="20"/>
      <c r="C864" s="20"/>
      <c r="D864" s="20"/>
      <c r="E864" s="20"/>
      <c r="F864" s="20"/>
      <c r="G864" s="20"/>
      <c r="H864" s="20"/>
      <c r="I864" s="20"/>
      <c r="J864" s="20"/>
      <c r="K864" s="20"/>
      <c r="L864" s="20"/>
      <c r="M864" s="20"/>
      <c r="N864" s="20"/>
      <c r="O864" s="20"/>
      <c r="P864" s="20"/>
      <c r="Q864" s="20"/>
      <c r="R864" s="20"/>
      <c r="S864" s="20"/>
      <c r="T864" s="20"/>
      <c r="U864" s="20"/>
    </row>
    <row r="865">
      <c r="A865" s="20"/>
      <c r="B865" s="20"/>
      <c r="C865" s="20"/>
      <c r="D865" s="20"/>
      <c r="E865" s="20"/>
      <c r="F865" s="20"/>
      <c r="G865" s="20"/>
      <c r="H865" s="20"/>
      <c r="I865" s="20"/>
      <c r="J865" s="20"/>
      <c r="K865" s="20"/>
      <c r="L865" s="20"/>
      <c r="M865" s="20"/>
      <c r="N865" s="20"/>
      <c r="O865" s="20"/>
      <c r="P865" s="20"/>
      <c r="Q865" s="20"/>
      <c r="R865" s="20"/>
      <c r="S865" s="20"/>
      <c r="T865" s="20"/>
      <c r="U865" s="20"/>
    </row>
    <row r="866">
      <c r="A866" s="20"/>
      <c r="B866" s="20"/>
      <c r="C866" s="20"/>
      <c r="D866" s="20"/>
      <c r="E866" s="20"/>
      <c r="F866" s="20"/>
      <c r="G866" s="20"/>
      <c r="H866" s="20"/>
      <c r="I866" s="20"/>
      <c r="J866" s="20"/>
      <c r="K866" s="20"/>
      <c r="L866" s="20"/>
      <c r="M866" s="20"/>
      <c r="N866" s="20"/>
      <c r="O866" s="20"/>
      <c r="P866" s="20"/>
      <c r="Q866" s="20"/>
      <c r="R866" s="20"/>
      <c r="S866" s="20"/>
      <c r="T866" s="20"/>
      <c r="U866" s="20"/>
    </row>
    <row r="867">
      <c r="A867" s="20"/>
      <c r="B867" s="20"/>
      <c r="C867" s="20"/>
      <c r="D867" s="20"/>
      <c r="E867" s="20"/>
      <c r="F867" s="20"/>
      <c r="G867" s="20"/>
      <c r="H867" s="20"/>
      <c r="I867" s="20"/>
      <c r="J867" s="20"/>
      <c r="K867" s="20"/>
      <c r="L867" s="20"/>
      <c r="M867" s="20"/>
      <c r="N867" s="20"/>
      <c r="O867" s="20"/>
      <c r="P867" s="20"/>
      <c r="Q867" s="20"/>
      <c r="R867" s="20"/>
      <c r="S867" s="20"/>
      <c r="T867" s="20"/>
      <c r="U867" s="20"/>
    </row>
    <row r="868">
      <c r="A868" s="20"/>
      <c r="B868" s="20"/>
      <c r="C868" s="20"/>
      <c r="D868" s="20"/>
      <c r="E868" s="20"/>
      <c r="F868" s="20"/>
      <c r="G868" s="20"/>
      <c r="H868" s="20"/>
      <c r="I868" s="20"/>
      <c r="J868" s="20"/>
      <c r="K868" s="20"/>
      <c r="L868" s="20"/>
      <c r="M868" s="20"/>
      <c r="N868" s="20"/>
      <c r="O868" s="20"/>
      <c r="P868" s="20"/>
      <c r="Q868" s="20"/>
      <c r="R868" s="20"/>
      <c r="S868" s="20"/>
      <c r="T868" s="20"/>
      <c r="U868" s="20"/>
    </row>
    <row r="869">
      <c r="A869" s="20"/>
      <c r="B869" s="20"/>
      <c r="C869" s="20"/>
      <c r="D869" s="20"/>
      <c r="E869" s="20"/>
      <c r="F869" s="20"/>
      <c r="G869" s="20"/>
      <c r="H869" s="20"/>
      <c r="I869" s="20"/>
      <c r="J869" s="20"/>
      <c r="K869" s="20"/>
      <c r="L869" s="20"/>
      <c r="M869" s="20"/>
      <c r="N869" s="20"/>
      <c r="O869" s="20"/>
      <c r="P869" s="20"/>
      <c r="Q869" s="20"/>
      <c r="R869" s="20"/>
      <c r="S869" s="20"/>
      <c r="T869" s="20"/>
      <c r="U869" s="20"/>
    </row>
    <row r="870">
      <c r="A870" s="20"/>
      <c r="B870" s="20"/>
      <c r="C870" s="20"/>
      <c r="D870" s="20"/>
      <c r="E870" s="20"/>
      <c r="F870" s="20"/>
      <c r="G870" s="20"/>
      <c r="H870" s="20"/>
      <c r="I870" s="20"/>
      <c r="J870" s="20"/>
      <c r="K870" s="20"/>
      <c r="L870" s="20"/>
      <c r="M870" s="20"/>
      <c r="N870" s="20"/>
      <c r="O870" s="20"/>
      <c r="P870" s="20"/>
      <c r="Q870" s="20"/>
      <c r="R870" s="20"/>
      <c r="S870" s="20"/>
      <c r="T870" s="20"/>
      <c r="U870" s="20"/>
    </row>
    <row r="871">
      <c r="A871" s="20"/>
      <c r="B871" s="20"/>
      <c r="C871" s="20"/>
      <c r="D871" s="20"/>
      <c r="E871" s="20"/>
      <c r="F871" s="20"/>
      <c r="G871" s="20"/>
      <c r="H871" s="20"/>
      <c r="I871" s="20"/>
      <c r="J871" s="20"/>
      <c r="K871" s="20"/>
      <c r="L871" s="20"/>
      <c r="M871" s="20"/>
      <c r="N871" s="20"/>
      <c r="O871" s="20"/>
      <c r="P871" s="20"/>
      <c r="Q871" s="20"/>
      <c r="R871" s="20"/>
      <c r="S871" s="20"/>
      <c r="T871" s="20"/>
      <c r="U871" s="20"/>
    </row>
    <row r="872">
      <c r="A872" s="20"/>
      <c r="B872" s="20"/>
      <c r="C872" s="20"/>
      <c r="D872" s="20"/>
      <c r="E872" s="20"/>
      <c r="F872" s="20"/>
      <c r="G872" s="20"/>
      <c r="H872" s="20"/>
      <c r="I872" s="20"/>
      <c r="J872" s="20"/>
      <c r="K872" s="20"/>
      <c r="L872" s="20"/>
      <c r="M872" s="20"/>
      <c r="N872" s="20"/>
      <c r="O872" s="20"/>
      <c r="P872" s="20"/>
      <c r="Q872" s="20"/>
      <c r="R872" s="20"/>
      <c r="S872" s="20"/>
      <c r="T872" s="20"/>
      <c r="U872" s="20"/>
    </row>
    <row r="873">
      <c r="A873" s="20"/>
      <c r="B873" s="20"/>
      <c r="C873" s="20"/>
      <c r="D873" s="20"/>
      <c r="E873" s="20"/>
      <c r="F873" s="20"/>
      <c r="G873" s="20"/>
      <c r="H873" s="20"/>
      <c r="I873" s="20"/>
      <c r="J873" s="20"/>
      <c r="K873" s="20"/>
      <c r="L873" s="20"/>
      <c r="M873" s="20"/>
      <c r="N873" s="20"/>
      <c r="O873" s="20"/>
      <c r="P873" s="20"/>
      <c r="Q873" s="20"/>
      <c r="R873" s="20"/>
      <c r="S873" s="20"/>
      <c r="T873" s="20"/>
      <c r="U873" s="20"/>
    </row>
    <row r="874">
      <c r="A874" s="20"/>
      <c r="B874" s="20"/>
      <c r="C874" s="20"/>
      <c r="D874" s="20"/>
      <c r="E874" s="20"/>
      <c r="F874" s="20"/>
      <c r="G874" s="20"/>
      <c r="H874" s="20"/>
      <c r="I874" s="20"/>
      <c r="J874" s="20"/>
      <c r="K874" s="20"/>
      <c r="L874" s="20"/>
      <c r="M874" s="20"/>
      <c r="N874" s="20"/>
      <c r="O874" s="20"/>
      <c r="P874" s="20"/>
      <c r="Q874" s="20"/>
      <c r="R874" s="20"/>
      <c r="S874" s="20"/>
      <c r="T874" s="20"/>
      <c r="U874" s="20"/>
    </row>
    <row r="875">
      <c r="A875" s="20"/>
      <c r="B875" s="20"/>
      <c r="C875" s="20"/>
      <c r="D875" s="20"/>
      <c r="E875" s="20"/>
      <c r="F875" s="20"/>
      <c r="G875" s="20"/>
      <c r="H875" s="20"/>
      <c r="I875" s="20"/>
      <c r="J875" s="20"/>
      <c r="K875" s="20"/>
      <c r="L875" s="20"/>
      <c r="M875" s="20"/>
      <c r="N875" s="20"/>
      <c r="O875" s="20"/>
      <c r="P875" s="20"/>
      <c r="Q875" s="20"/>
      <c r="R875" s="20"/>
      <c r="S875" s="20"/>
      <c r="T875" s="20"/>
      <c r="U875" s="20"/>
    </row>
    <row r="876">
      <c r="A876" s="20"/>
      <c r="B876" s="20"/>
      <c r="C876" s="20"/>
      <c r="D876" s="20"/>
      <c r="E876" s="20"/>
      <c r="F876" s="20"/>
      <c r="G876" s="20"/>
      <c r="H876" s="20"/>
      <c r="I876" s="20"/>
      <c r="J876" s="20"/>
      <c r="K876" s="20"/>
      <c r="L876" s="20"/>
      <c r="M876" s="20"/>
      <c r="N876" s="20"/>
      <c r="O876" s="20"/>
      <c r="P876" s="20"/>
      <c r="Q876" s="20"/>
      <c r="R876" s="20"/>
      <c r="S876" s="20"/>
      <c r="T876" s="20"/>
      <c r="U876" s="20"/>
    </row>
    <row r="877">
      <c r="A877" s="20"/>
      <c r="B877" s="20"/>
      <c r="C877" s="20"/>
      <c r="D877" s="20"/>
      <c r="E877" s="20"/>
      <c r="F877" s="20"/>
      <c r="G877" s="20"/>
      <c r="H877" s="20"/>
      <c r="I877" s="20"/>
      <c r="J877" s="20"/>
      <c r="K877" s="20"/>
      <c r="L877" s="20"/>
      <c r="M877" s="20"/>
      <c r="N877" s="20"/>
      <c r="O877" s="20"/>
      <c r="P877" s="20"/>
      <c r="Q877" s="20"/>
      <c r="R877" s="20"/>
      <c r="S877" s="20"/>
      <c r="T877" s="20"/>
      <c r="U877" s="20"/>
    </row>
    <row r="878">
      <c r="A878" s="20"/>
      <c r="B878" s="20"/>
      <c r="C878" s="20"/>
      <c r="D878" s="20"/>
      <c r="E878" s="20"/>
      <c r="F878" s="20"/>
      <c r="G878" s="20"/>
      <c r="H878" s="20"/>
      <c r="I878" s="20"/>
      <c r="J878" s="20"/>
      <c r="K878" s="20"/>
      <c r="L878" s="20"/>
      <c r="M878" s="20"/>
      <c r="N878" s="20"/>
      <c r="O878" s="20"/>
      <c r="P878" s="20"/>
      <c r="Q878" s="20"/>
      <c r="R878" s="20"/>
      <c r="S878" s="20"/>
      <c r="T878" s="20"/>
      <c r="U878" s="20"/>
    </row>
    <row r="879">
      <c r="A879" s="20"/>
      <c r="B879" s="20"/>
      <c r="C879" s="20"/>
      <c r="D879" s="20"/>
      <c r="E879" s="20"/>
      <c r="F879" s="20"/>
      <c r="G879" s="20"/>
      <c r="H879" s="20"/>
      <c r="I879" s="20"/>
      <c r="J879" s="20"/>
      <c r="K879" s="20"/>
      <c r="L879" s="20"/>
      <c r="M879" s="20"/>
      <c r="N879" s="20"/>
      <c r="O879" s="20"/>
      <c r="P879" s="20"/>
      <c r="Q879" s="20"/>
      <c r="R879" s="20"/>
      <c r="S879" s="20"/>
      <c r="T879" s="20"/>
      <c r="U879" s="20"/>
    </row>
    <row r="880">
      <c r="A880" s="20"/>
      <c r="B880" s="20"/>
      <c r="C880" s="20"/>
      <c r="D880" s="20"/>
      <c r="E880" s="20"/>
      <c r="F880" s="20"/>
      <c r="G880" s="20"/>
      <c r="H880" s="20"/>
      <c r="I880" s="20"/>
      <c r="J880" s="20"/>
      <c r="K880" s="20"/>
      <c r="L880" s="20"/>
      <c r="M880" s="20"/>
      <c r="N880" s="20"/>
      <c r="O880" s="20"/>
      <c r="P880" s="20"/>
      <c r="Q880" s="20"/>
      <c r="R880" s="20"/>
      <c r="S880" s="20"/>
      <c r="T880" s="20"/>
      <c r="U880" s="20"/>
    </row>
    <row r="881">
      <c r="A881" s="20"/>
      <c r="B881" s="20"/>
      <c r="C881" s="20"/>
      <c r="D881" s="20"/>
      <c r="E881" s="20"/>
      <c r="F881" s="20"/>
      <c r="G881" s="20"/>
      <c r="H881" s="20"/>
      <c r="I881" s="20"/>
      <c r="J881" s="20"/>
      <c r="K881" s="20"/>
      <c r="L881" s="20"/>
      <c r="M881" s="20"/>
      <c r="N881" s="20"/>
      <c r="O881" s="20"/>
      <c r="P881" s="20"/>
      <c r="Q881" s="20"/>
      <c r="R881" s="20"/>
      <c r="S881" s="20"/>
      <c r="T881" s="20"/>
      <c r="U881" s="20"/>
    </row>
    <row r="882">
      <c r="A882" s="20"/>
      <c r="B882" s="20"/>
      <c r="C882" s="20"/>
      <c r="D882" s="20"/>
      <c r="E882" s="20"/>
      <c r="F882" s="20"/>
      <c r="G882" s="20"/>
      <c r="H882" s="20"/>
      <c r="I882" s="20"/>
      <c r="J882" s="20"/>
      <c r="K882" s="20"/>
      <c r="L882" s="20"/>
      <c r="M882" s="20"/>
      <c r="N882" s="20"/>
      <c r="O882" s="20"/>
      <c r="P882" s="20"/>
      <c r="Q882" s="20"/>
      <c r="R882" s="20"/>
      <c r="S882" s="20"/>
      <c r="T882" s="20"/>
      <c r="U882" s="20"/>
    </row>
    <row r="883">
      <c r="A883" s="20"/>
      <c r="B883" s="20"/>
      <c r="C883" s="20"/>
      <c r="D883" s="20"/>
      <c r="E883" s="20"/>
      <c r="F883" s="20"/>
      <c r="G883" s="20"/>
      <c r="H883" s="20"/>
      <c r="I883" s="20"/>
      <c r="J883" s="20"/>
      <c r="K883" s="20"/>
      <c r="L883" s="20"/>
      <c r="M883" s="20"/>
      <c r="N883" s="20"/>
      <c r="O883" s="20"/>
      <c r="P883" s="20"/>
      <c r="Q883" s="20"/>
      <c r="R883" s="20"/>
      <c r="S883" s="20"/>
      <c r="T883" s="20"/>
      <c r="U883" s="20"/>
    </row>
    <row r="884">
      <c r="A884" s="20"/>
      <c r="B884" s="20"/>
      <c r="C884" s="20"/>
      <c r="D884" s="20"/>
      <c r="E884" s="20"/>
      <c r="F884" s="20"/>
      <c r="G884" s="20"/>
      <c r="H884" s="20"/>
      <c r="I884" s="20"/>
      <c r="J884" s="20"/>
      <c r="K884" s="20"/>
      <c r="L884" s="20"/>
      <c r="M884" s="20"/>
      <c r="N884" s="20"/>
      <c r="O884" s="20"/>
      <c r="P884" s="20"/>
      <c r="Q884" s="20"/>
      <c r="R884" s="20"/>
      <c r="S884" s="20"/>
      <c r="T884" s="20"/>
      <c r="U884" s="20"/>
    </row>
    <row r="885">
      <c r="A885" s="20"/>
      <c r="B885" s="20"/>
      <c r="C885" s="20"/>
      <c r="D885" s="20"/>
      <c r="E885" s="20"/>
      <c r="F885" s="20"/>
      <c r="G885" s="20"/>
      <c r="H885" s="20"/>
      <c r="I885" s="20"/>
      <c r="J885" s="20"/>
      <c r="K885" s="20"/>
      <c r="L885" s="20"/>
      <c r="M885" s="20"/>
      <c r="N885" s="20"/>
      <c r="O885" s="20"/>
      <c r="P885" s="20"/>
      <c r="Q885" s="20"/>
      <c r="R885" s="20"/>
      <c r="S885" s="20"/>
      <c r="T885" s="20"/>
      <c r="U885" s="20"/>
    </row>
    <row r="886">
      <c r="A886" s="20"/>
      <c r="B886" s="20"/>
      <c r="C886" s="20"/>
      <c r="D886" s="20"/>
      <c r="E886" s="20"/>
      <c r="F886" s="20"/>
      <c r="G886" s="20"/>
      <c r="H886" s="20"/>
      <c r="I886" s="20"/>
      <c r="J886" s="20"/>
      <c r="K886" s="20"/>
      <c r="L886" s="20"/>
      <c r="M886" s="20"/>
      <c r="N886" s="20"/>
      <c r="O886" s="20"/>
      <c r="P886" s="20"/>
      <c r="Q886" s="20"/>
      <c r="R886" s="20"/>
      <c r="S886" s="20"/>
      <c r="T886" s="20"/>
      <c r="U886" s="20"/>
    </row>
    <row r="887">
      <c r="A887" s="20"/>
      <c r="B887" s="20"/>
      <c r="C887" s="20"/>
      <c r="D887" s="20"/>
      <c r="E887" s="20"/>
      <c r="F887" s="20"/>
      <c r="G887" s="20"/>
      <c r="H887" s="20"/>
      <c r="I887" s="20"/>
      <c r="J887" s="20"/>
      <c r="K887" s="20"/>
      <c r="L887" s="20"/>
      <c r="M887" s="20"/>
      <c r="N887" s="20"/>
      <c r="O887" s="20"/>
      <c r="P887" s="20"/>
      <c r="Q887" s="20"/>
      <c r="R887" s="20"/>
      <c r="S887" s="20"/>
      <c r="T887" s="20"/>
      <c r="U887" s="20"/>
    </row>
    <row r="888">
      <c r="A888" s="20"/>
      <c r="B888" s="20"/>
      <c r="C888" s="20"/>
      <c r="D888" s="20"/>
      <c r="E888" s="20"/>
      <c r="F888" s="20"/>
      <c r="G888" s="20"/>
      <c r="H888" s="20"/>
      <c r="I888" s="20"/>
      <c r="J888" s="20"/>
      <c r="K888" s="20"/>
      <c r="L888" s="20"/>
      <c r="M888" s="20"/>
      <c r="N888" s="20"/>
      <c r="O888" s="20"/>
      <c r="P888" s="20"/>
      <c r="Q888" s="20"/>
      <c r="R888" s="20"/>
      <c r="S888" s="20"/>
      <c r="T888" s="20"/>
      <c r="U888" s="20"/>
    </row>
    <row r="889">
      <c r="A889" s="20"/>
      <c r="B889" s="20"/>
      <c r="C889" s="20"/>
      <c r="D889" s="20"/>
      <c r="E889" s="20"/>
      <c r="F889" s="20"/>
      <c r="G889" s="20"/>
      <c r="H889" s="20"/>
      <c r="I889" s="20"/>
      <c r="J889" s="20"/>
      <c r="K889" s="20"/>
      <c r="L889" s="20"/>
      <c r="M889" s="20"/>
      <c r="N889" s="20"/>
      <c r="O889" s="20"/>
      <c r="P889" s="20"/>
      <c r="Q889" s="20"/>
      <c r="R889" s="20"/>
      <c r="S889" s="20"/>
      <c r="T889" s="20"/>
      <c r="U889" s="20"/>
    </row>
    <row r="890">
      <c r="A890" s="20"/>
      <c r="B890" s="20"/>
      <c r="C890" s="20"/>
      <c r="D890" s="20"/>
      <c r="E890" s="20"/>
      <c r="F890" s="20"/>
      <c r="G890" s="20"/>
      <c r="H890" s="20"/>
      <c r="I890" s="20"/>
      <c r="J890" s="20"/>
      <c r="K890" s="20"/>
      <c r="L890" s="20"/>
      <c r="M890" s="20"/>
      <c r="N890" s="20"/>
      <c r="O890" s="20"/>
      <c r="P890" s="20"/>
      <c r="Q890" s="20"/>
      <c r="R890" s="20"/>
      <c r="S890" s="20"/>
      <c r="T890" s="20"/>
      <c r="U890" s="20"/>
    </row>
    <row r="891">
      <c r="A891" s="20"/>
      <c r="B891" s="20"/>
      <c r="C891" s="20"/>
      <c r="D891" s="20"/>
      <c r="E891" s="20"/>
      <c r="F891" s="20"/>
      <c r="G891" s="20"/>
      <c r="H891" s="20"/>
      <c r="I891" s="20"/>
      <c r="J891" s="20"/>
      <c r="K891" s="20"/>
      <c r="L891" s="20"/>
      <c r="M891" s="20"/>
      <c r="N891" s="20"/>
      <c r="O891" s="20"/>
      <c r="P891" s="20"/>
      <c r="Q891" s="20"/>
      <c r="R891" s="20"/>
      <c r="S891" s="20"/>
      <c r="T891" s="20"/>
      <c r="U891" s="20"/>
    </row>
    <row r="892">
      <c r="A892" s="20"/>
      <c r="B892" s="20"/>
      <c r="C892" s="20"/>
      <c r="D892" s="20"/>
      <c r="E892" s="20"/>
      <c r="F892" s="20"/>
      <c r="G892" s="20"/>
      <c r="H892" s="20"/>
      <c r="I892" s="20"/>
      <c r="J892" s="20"/>
      <c r="K892" s="20"/>
      <c r="L892" s="20"/>
      <c r="M892" s="20"/>
      <c r="N892" s="20"/>
      <c r="O892" s="20"/>
      <c r="P892" s="20"/>
      <c r="Q892" s="20"/>
      <c r="R892" s="20"/>
      <c r="S892" s="20"/>
      <c r="T892" s="20"/>
      <c r="U892" s="20"/>
    </row>
    <row r="893">
      <c r="A893" s="20"/>
      <c r="B893" s="20"/>
      <c r="C893" s="20"/>
      <c r="D893" s="20"/>
      <c r="E893" s="20"/>
      <c r="F893" s="20"/>
      <c r="G893" s="20"/>
      <c r="H893" s="20"/>
      <c r="I893" s="20"/>
      <c r="J893" s="20"/>
      <c r="K893" s="20"/>
      <c r="L893" s="20"/>
      <c r="M893" s="20"/>
      <c r="N893" s="20"/>
      <c r="O893" s="20"/>
      <c r="P893" s="20"/>
      <c r="Q893" s="20"/>
      <c r="R893" s="20"/>
      <c r="S893" s="20"/>
      <c r="T893" s="20"/>
      <c r="U893" s="20"/>
    </row>
    <row r="894">
      <c r="A894" s="20"/>
      <c r="B894" s="20"/>
      <c r="C894" s="20"/>
      <c r="D894" s="20"/>
      <c r="E894" s="20"/>
      <c r="F894" s="20"/>
      <c r="G894" s="20"/>
      <c r="H894" s="20"/>
      <c r="I894" s="20"/>
      <c r="J894" s="20"/>
      <c r="K894" s="20"/>
      <c r="L894" s="20"/>
      <c r="M894" s="20"/>
      <c r="N894" s="20"/>
      <c r="O894" s="20"/>
      <c r="P894" s="20"/>
      <c r="Q894" s="20"/>
      <c r="R894" s="20"/>
      <c r="S894" s="20"/>
      <c r="T894" s="20"/>
      <c r="U894" s="20"/>
    </row>
    <row r="895">
      <c r="A895" s="20"/>
      <c r="B895" s="20"/>
      <c r="C895" s="20"/>
      <c r="D895" s="20"/>
      <c r="E895" s="20"/>
      <c r="F895" s="20"/>
      <c r="G895" s="20"/>
      <c r="H895" s="20"/>
      <c r="I895" s="20"/>
      <c r="J895" s="20"/>
      <c r="K895" s="20"/>
      <c r="L895" s="20"/>
      <c r="M895" s="20"/>
      <c r="N895" s="20"/>
      <c r="O895" s="20"/>
      <c r="P895" s="20"/>
      <c r="Q895" s="20"/>
      <c r="R895" s="20"/>
      <c r="S895" s="20"/>
      <c r="T895" s="20"/>
      <c r="U895" s="20"/>
    </row>
    <row r="896">
      <c r="A896" s="20"/>
      <c r="B896" s="20"/>
      <c r="C896" s="20"/>
      <c r="D896" s="20"/>
      <c r="E896" s="20"/>
      <c r="F896" s="20"/>
      <c r="G896" s="20"/>
      <c r="H896" s="20"/>
      <c r="I896" s="20"/>
      <c r="J896" s="20"/>
      <c r="K896" s="20"/>
      <c r="L896" s="20"/>
      <c r="M896" s="20"/>
      <c r="N896" s="20"/>
      <c r="O896" s="20"/>
      <c r="P896" s="20"/>
      <c r="Q896" s="20"/>
      <c r="R896" s="20"/>
      <c r="S896" s="20"/>
      <c r="T896" s="20"/>
      <c r="U896" s="20"/>
    </row>
    <row r="897">
      <c r="A897" s="20"/>
      <c r="B897" s="20"/>
      <c r="C897" s="20"/>
      <c r="D897" s="20"/>
      <c r="E897" s="20"/>
      <c r="F897" s="20"/>
      <c r="G897" s="20"/>
      <c r="H897" s="20"/>
      <c r="I897" s="20"/>
      <c r="J897" s="20"/>
      <c r="K897" s="20"/>
      <c r="L897" s="20"/>
      <c r="M897" s="20"/>
      <c r="N897" s="20"/>
      <c r="O897" s="20"/>
      <c r="P897" s="20"/>
      <c r="Q897" s="20"/>
      <c r="R897" s="20"/>
      <c r="S897" s="20"/>
      <c r="T897" s="20"/>
      <c r="U897" s="20"/>
    </row>
    <row r="898">
      <c r="A898" s="20"/>
      <c r="B898" s="20"/>
      <c r="C898" s="20"/>
      <c r="D898" s="20"/>
      <c r="E898" s="20"/>
      <c r="F898" s="20"/>
      <c r="G898" s="20"/>
      <c r="H898" s="20"/>
      <c r="I898" s="20"/>
      <c r="J898" s="20"/>
      <c r="K898" s="20"/>
      <c r="L898" s="20"/>
      <c r="M898" s="20"/>
      <c r="N898" s="20"/>
      <c r="O898" s="20"/>
      <c r="P898" s="20"/>
      <c r="Q898" s="20"/>
      <c r="R898" s="20"/>
      <c r="S898" s="20"/>
      <c r="T898" s="20"/>
      <c r="U898" s="20"/>
    </row>
    <row r="899">
      <c r="A899" s="20"/>
      <c r="B899" s="20"/>
      <c r="C899" s="20"/>
      <c r="D899" s="20"/>
      <c r="E899" s="20"/>
      <c r="F899" s="20"/>
      <c r="G899" s="20"/>
      <c r="H899" s="20"/>
      <c r="I899" s="20"/>
      <c r="J899" s="20"/>
      <c r="K899" s="20"/>
      <c r="L899" s="20"/>
      <c r="M899" s="20"/>
      <c r="N899" s="20"/>
      <c r="O899" s="20"/>
      <c r="P899" s="20"/>
      <c r="Q899" s="20"/>
      <c r="R899" s="20"/>
      <c r="S899" s="20"/>
      <c r="T899" s="20"/>
      <c r="U899" s="20"/>
    </row>
    <row r="900">
      <c r="A900" s="20"/>
      <c r="B900" s="20"/>
      <c r="C900" s="20"/>
      <c r="D900" s="20"/>
      <c r="E900" s="20"/>
      <c r="F900" s="20"/>
      <c r="G900" s="20"/>
      <c r="H900" s="20"/>
      <c r="I900" s="20"/>
      <c r="J900" s="20"/>
      <c r="K900" s="20"/>
      <c r="L900" s="20"/>
      <c r="M900" s="20"/>
      <c r="N900" s="20"/>
      <c r="O900" s="20"/>
      <c r="P900" s="20"/>
      <c r="Q900" s="20"/>
      <c r="R900" s="20"/>
      <c r="S900" s="20"/>
      <c r="T900" s="20"/>
      <c r="U900" s="20"/>
    </row>
    <row r="901">
      <c r="A901" s="20"/>
      <c r="B901" s="20"/>
      <c r="C901" s="20"/>
      <c r="D901" s="20"/>
      <c r="E901" s="20"/>
      <c r="F901" s="20"/>
      <c r="G901" s="20"/>
      <c r="H901" s="20"/>
      <c r="I901" s="20"/>
      <c r="J901" s="20"/>
      <c r="K901" s="20"/>
      <c r="L901" s="20"/>
      <c r="M901" s="20"/>
      <c r="N901" s="20"/>
      <c r="O901" s="20"/>
      <c r="P901" s="20"/>
      <c r="Q901" s="20"/>
      <c r="R901" s="20"/>
      <c r="S901" s="20"/>
      <c r="T901" s="20"/>
      <c r="U901" s="20"/>
    </row>
    <row r="902">
      <c r="A902" s="20"/>
      <c r="B902" s="20"/>
      <c r="C902" s="20"/>
      <c r="D902" s="20"/>
      <c r="E902" s="20"/>
      <c r="F902" s="20"/>
      <c r="G902" s="20"/>
      <c r="H902" s="20"/>
      <c r="I902" s="20"/>
      <c r="J902" s="20"/>
      <c r="K902" s="20"/>
      <c r="L902" s="20"/>
      <c r="M902" s="20"/>
      <c r="N902" s="20"/>
      <c r="O902" s="20"/>
      <c r="P902" s="20"/>
      <c r="Q902" s="20"/>
      <c r="R902" s="20"/>
      <c r="S902" s="20"/>
      <c r="T902" s="20"/>
      <c r="U902" s="20"/>
    </row>
    <row r="903">
      <c r="A903" s="20"/>
      <c r="B903" s="20"/>
      <c r="C903" s="20"/>
      <c r="D903" s="20"/>
      <c r="E903" s="20"/>
      <c r="F903" s="20"/>
      <c r="G903" s="20"/>
      <c r="H903" s="20"/>
      <c r="I903" s="20"/>
      <c r="J903" s="20"/>
      <c r="K903" s="20"/>
      <c r="L903" s="20"/>
      <c r="M903" s="20"/>
      <c r="N903" s="20"/>
      <c r="O903" s="20"/>
      <c r="P903" s="20"/>
      <c r="Q903" s="20"/>
      <c r="R903" s="20"/>
      <c r="S903" s="20"/>
      <c r="T903" s="20"/>
      <c r="U903" s="20"/>
    </row>
    <row r="904">
      <c r="A904" s="20"/>
      <c r="B904" s="20"/>
      <c r="C904" s="20"/>
      <c r="D904" s="20"/>
      <c r="E904" s="20"/>
      <c r="F904" s="20"/>
      <c r="G904" s="20"/>
      <c r="H904" s="20"/>
      <c r="I904" s="20"/>
      <c r="J904" s="20"/>
      <c r="K904" s="20"/>
      <c r="L904" s="20"/>
      <c r="M904" s="20"/>
      <c r="N904" s="20"/>
      <c r="O904" s="20"/>
      <c r="P904" s="20"/>
      <c r="Q904" s="20"/>
      <c r="R904" s="20"/>
      <c r="S904" s="20"/>
      <c r="T904" s="20"/>
      <c r="U904" s="20"/>
    </row>
    <row r="905">
      <c r="A905" s="20"/>
      <c r="B905" s="20"/>
      <c r="C905" s="20"/>
      <c r="D905" s="20"/>
      <c r="E905" s="20"/>
      <c r="F905" s="20"/>
      <c r="G905" s="20"/>
      <c r="H905" s="20"/>
      <c r="I905" s="20"/>
      <c r="J905" s="20"/>
      <c r="K905" s="20"/>
      <c r="L905" s="20"/>
      <c r="M905" s="20"/>
      <c r="N905" s="20"/>
      <c r="O905" s="20"/>
      <c r="P905" s="20"/>
      <c r="Q905" s="20"/>
      <c r="R905" s="20"/>
      <c r="S905" s="20"/>
      <c r="T905" s="20"/>
      <c r="U905" s="20"/>
    </row>
    <row r="906">
      <c r="A906" s="20"/>
      <c r="B906" s="20"/>
      <c r="C906" s="20"/>
      <c r="D906" s="20"/>
      <c r="E906" s="20"/>
      <c r="F906" s="20"/>
      <c r="G906" s="20"/>
      <c r="H906" s="20"/>
      <c r="I906" s="20"/>
      <c r="J906" s="20"/>
      <c r="K906" s="20"/>
      <c r="L906" s="20"/>
      <c r="M906" s="20"/>
      <c r="N906" s="20"/>
      <c r="O906" s="20"/>
      <c r="P906" s="20"/>
      <c r="Q906" s="20"/>
      <c r="R906" s="20"/>
      <c r="S906" s="20"/>
      <c r="T906" s="20"/>
      <c r="U906" s="20"/>
    </row>
    <row r="907">
      <c r="A907" s="20"/>
      <c r="B907" s="20"/>
      <c r="C907" s="20"/>
      <c r="D907" s="20"/>
      <c r="E907" s="20"/>
      <c r="F907" s="20"/>
      <c r="G907" s="20"/>
      <c r="H907" s="20"/>
      <c r="I907" s="20"/>
      <c r="J907" s="20"/>
      <c r="K907" s="20"/>
      <c r="L907" s="20"/>
      <c r="M907" s="20"/>
      <c r="N907" s="20"/>
      <c r="O907" s="20"/>
      <c r="P907" s="20"/>
      <c r="Q907" s="20"/>
      <c r="R907" s="20"/>
      <c r="S907" s="20"/>
      <c r="T907" s="20"/>
      <c r="U907" s="20"/>
    </row>
    <row r="908">
      <c r="A908" s="20"/>
      <c r="B908" s="20"/>
      <c r="C908" s="20"/>
      <c r="D908" s="20"/>
      <c r="E908" s="20"/>
      <c r="F908" s="20"/>
      <c r="G908" s="20"/>
      <c r="H908" s="20"/>
      <c r="I908" s="20"/>
      <c r="J908" s="20"/>
      <c r="K908" s="20"/>
      <c r="L908" s="20"/>
      <c r="M908" s="20"/>
      <c r="N908" s="20"/>
      <c r="O908" s="20"/>
      <c r="P908" s="20"/>
      <c r="Q908" s="20"/>
      <c r="R908" s="20"/>
      <c r="S908" s="20"/>
      <c r="T908" s="20"/>
      <c r="U908" s="20"/>
    </row>
    <row r="909">
      <c r="A909" s="20"/>
      <c r="B909" s="20"/>
      <c r="C909" s="20"/>
      <c r="D909" s="20"/>
      <c r="E909" s="20"/>
      <c r="F909" s="20"/>
      <c r="G909" s="20"/>
      <c r="H909" s="20"/>
      <c r="I909" s="20"/>
      <c r="J909" s="20"/>
      <c r="K909" s="20"/>
      <c r="L909" s="20"/>
      <c r="M909" s="20"/>
      <c r="N909" s="20"/>
      <c r="O909" s="20"/>
      <c r="P909" s="20"/>
      <c r="Q909" s="20"/>
      <c r="R909" s="20"/>
      <c r="S909" s="20"/>
      <c r="T909" s="20"/>
      <c r="U909" s="20"/>
    </row>
    <row r="910">
      <c r="A910" s="20"/>
      <c r="B910" s="20"/>
      <c r="C910" s="20"/>
      <c r="D910" s="20"/>
      <c r="E910" s="20"/>
      <c r="F910" s="20"/>
      <c r="G910" s="20"/>
      <c r="H910" s="20"/>
      <c r="I910" s="20"/>
      <c r="J910" s="20"/>
      <c r="K910" s="20"/>
      <c r="L910" s="20"/>
      <c r="M910" s="20"/>
      <c r="N910" s="20"/>
      <c r="O910" s="20"/>
      <c r="P910" s="20"/>
      <c r="Q910" s="20"/>
      <c r="R910" s="20"/>
      <c r="S910" s="20"/>
      <c r="T910" s="20"/>
      <c r="U910" s="20"/>
    </row>
    <row r="911">
      <c r="A911" s="20"/>
      <c r="B911" s="20"/>
      <c r="C911" s="20"/>
      <c r="D911" s="20"/>
      <c r="E911" s="20"/>
      <c r="F911" s="20"/>
      <c r="G911" s="20"/>
      <c r="H911" s="20"/>
      <c r="I911" s="20"/>
      <c r="J911" s="20"/>
      <c r="K911" s="20"/>
      <c r="L911" s="20"/>
      <c r="M911" s="20"/>
      <c r="N911" s="20"/>
      <c r="O911" s="20"/>
      <c r="P911" s="20"/>
      <c r="Q911" s="20"/>
      <c r="R911" s="20"/>
      <c r="S911" s="20"/>
      <c r="T911" s="20"/>
      <c r="U911" s="20"/>
    </row>
    <row r="912">
      <c r="A912" s="20"/>
      <c r="B912" s="20"/>
      <c r="C912" s="20"/>
      <c r="D912" s="20"/>
      <c r="E912" s="20"/>
      <c r="F912" s="20"/>
      <c r="G912" s="20"/>
      <c r="H912" s="20"/>
      <c r="I912" s="20"/>
      <c r="J912" s="20"/>
      <c r="K912" s="20"/>
      <c r="L912" s="20"/>
      <c r="M912" s="20"/>
      <c r="N912" s="20"/>
      <c r="O912" s="20"/>
      <c r="P912" s="20"/>
      <c r="Q912" s="20"/>
      <c r="R912" s="20"/>
      <c r="S912" s="20"/>
      <c r="T912" s="20"/>
      <c r="U912" s="20"/>
    </row>
    <row r="913">
      <c r="A913" s="20"/>
      <c r="B913" s="20"/>
      <c r="C913" s="20"/>
      <c r="D913" s="20"/>
      <c r="E913" s="20"/>
      <c r="F913" s="20"/>
      <c r="G913" s="20"/>
      <c r="H913" s="20"/>
      <c r="I913" s="20"/>
      <c r="J913" s="20"/>
      <c r="K913" s="20"/>
      <c r="L913" s="20"/>
      <c r="M913" s="20"/>
      <c r="N913" s="20"/>
      <c r="O913" s="20"/>
      <c r="P913" s="20"/>
      <c r="Q913" s="20"/>
      <c r="R913" s="20"/>
      <c r="S913" s="20"/>
      <c r="T913" s="20"/>
      <c r="U913" s="20"/>
    </row>
    <row r="914">
      <c r="A914" s="20"/>
      <c r="B914" s="20"/>
      <c r="C914" s="20"/>
      <c r="D914" s="20"/>
      <c r="E914" s="20"/>
      <c r="F914" s="20"/>
      <c r="G914" s="20"/>
      <c r="H914" s="20"/>
      <c r="I914" s="20"/>
      <c r="J914" s="20"/>
      <c r="K914" s="20"/>
      <c r="L914" s="20"/>
      <c r="M914" s="20"/>
      <c r="N914" s="20"/>
      <c r="O914" s="20"/>
      <c r="P914" s="20"/>
      <c r="Q914" s="20"/>
      <c r="R914" s="20"/>
      <c r="S914" s="20"/>
      <c r="T914" s="20"/>
      <c r="U914" s="20"/>
    </row>
    <row r="915">
      <c r="A915" s="20"/>
      <c r="B915" s="20"/>
      <c r="C915" s="20"/>
      <c r="D915" s="20"/>
      <c r="E915" s="20"/>
      <c r="F915" s="20"/>
      <c r="G915" s="20"/>
      <c r="H915" s="20"/>
      <c r="I915" s="20"/>
      <c r="J915" s="20"/>
      <c r="K915" s="20"/>
      <c r="L915" s="20"/>
      <c r="M915" s="20"/>
      <c r="N915" s="20"/>
      <c r="O915" s="20"/>
      <c r="P915" s="20"/>
      <c r="Q915" s="20"/>
      <c r="R915" s="20"/>
      <c r="S915" s="20"/>
      <c r="T915" s="20"/>
      <c r="U915" s="20"/>
    </row>
    <row r="916">
      <c r="A916" s="20"/>
      <c r="B916" s="20"/>
      <c r="C916" s="20"/>
      <c r="D916" s="20"/>
      <c r="E916" s="20"/>
      <c r="F916" s="20"/>
      <c r="G916" s="20"/>
      <c r="H916" s="20"/>
      <c r="I916" s="20"/>
      <c r="J916" s="20"/>
      <c r="K916" s="20"/>
      <c r="L916" s="20"/>
      <c r="M916" s="20"/>
      <c r="N916" s="20"/>
      <c r="O916" s="20"/>
      <c r="P916" s="20"/>
      <c r="Q916" s="20"/>
      <c r="R916" s="20"/>
      <c r="S916" s="20"/>
      <c r="T916" s="20"/>
      <c r="U916" s="20"/>
    </row>
    <row r="917">
      <c r="A917" s="20"/>
      <c r="B917" s="20"/>
      <c r="C917" s="20"/>
      <c r="D917" s="20"/>
      <c r="E917" s="20"/>
      <c r="F917" s="20"/>
      <c r="G917" s="20"/>
      <c r="H917" s="20"/>
      <c r="I917" s="20"/>
      <c r="J917" s="20"/>
      <c r="K917" s="20"/>
      <c r="L917" s="20"/>
      <c r="M917" s="20"/>
      <c r="N917" s="20"/>
      <c r="O917" s="20"/>
      <c r="P917" s="20"/>
      <c r="Q917" s="20"/>
      <c r="R917" s="20"/>
      <c r="S917" s="20"/>
      <c r="T917" s="20"/>
      <c r="U917" s="20"/>
    </row>
    <row r="918">
      <c r="A918" s="20"/>
      <c r="B918" s="20"/>
      <c r="C918" s="20"/>
      <c r="D918" s="20"/>
      <c r="E918" s="20"/>
      <c r="F918" s="20"/>
      <c r="G918" s="20"/>
      <c r="H918" s="20"/>
      <c r="I918" s="20"/>
      <c r="J918" s="20"/>
      <c r="K918" s="20"/>
      <c r="L918" s="20"/>
      <c r="M918" s="20"/>
      <c r="N918" s="20"/>
      <c r="O918" s="20"/>
      <c r="P918" s="20"/>
      <c r="Q918" s="20"/>
      <c r="R918" s="20"/>
      <c r="S918" s="20"/>
      <c r="T918" s="20"/>
      <c r="U918" s="20"/>
    </row>
    <row r="919">
      <c r="A919" s="20"/>
      <c r="B919" s="20"/>
      <c r="C919" s="20"/>
      <c r="D919" s="20"/>
      <c r="E919" s="20"/>
      <c r="F919" s="20"/>
      <c r="G919" s="20"/>
      <c r="H919" s="20"/>
      <c r="I919" s="20"/>
      <c r="J919" s="20"/>
      <c r="K919" s="20"/>
      <c r="L919" s="20"/>
      <c r="M919" s="20"/>
      <c r="N919" s="20"/>
      <c r="O919" s="20"/>
      <c r="P919" s="20"/>
      <c r="Q919" s="20"/>
      <c r="R919" s="20"/>
      <c r="S919" s="20"/>
      <c r="T919" s="20"/>
      <c r="U919" s="20"/>
    </row>
    <row r="920">
      <c r="A920" s="20"/>
      <c r="B920" s="20"/>
      <c r="C920" s="20"/>
      <c r="D920" s="20"/>
      <c r="E920" s="20"/>
      <c r="F920" s="20"/>
      <c r="G920" s="20"/>
      <c r="H920" s="20"/>
      <c r="I920" s="20"/>
      <c r="J920" s="20"/>
      <c r="K920" s="20"/>
      <c r="L920" s="20"/>
      <c r="M920" s="20"/>
      <c r="N920" s="20"/>
      <c r="O920" s="20"/>
      <c r="P920" s="20"/>
      <c r="Q920" s="20"/>
      <c r="R920" s="20"/>
      <c r="S920" s="20"/>
      <c r="T920" s="20"/>
      <c r="U920" s="20"/>
    </row>
    <row r="921">
      <c r="A921" s="20"/>
      <c r="B921" s="20"/>
      <c r="C921" s="20"/>
      <c r="D921" s="20"/>
      <c r="E921" s="20"/>
      <c r="F921" s="20"/>
      <c r="G921" s="20"/>
      <c r="H921" s="20"/>
      <c r="I921" s="20"/>
      <c r="J921" s="20"/>
      <c r="K921" s="20"/>
      <c r="L921" s="20"/>
      <c r="M921" s="20"/>
      <c r="N921" s="20"/>
      <c r="O921" s="20"/>
      <c r="P921" s="20"/>
      <c r="Q921" s="20"/>
      <c r="R921" s="20"/>
      <c r="S921" s="20"/>
      <c r="T921" s="20"/>
      <c r="U921" s="20"/>
    </row>
    <row r="922">
      <c r="A922" s="20"/>
      <c r="B922" s="20"/>
      <c r="C922" s="20"/>
      <c r="D922" s="20"/>
      <c r="E922" s="20"/>
      <c r="F922" s="20"/>
      <c r="G922" s="20"/>
      <c r="H922" s="20"/>
      <c r="I922" s="20"/>
      <c r="J922" s="20"/>
      <c r="K922" s="20"/>
      <c r="L922" s="20"/>
      <c r="M922" s="20"/>
      <c r="N922" s="20"/>
      <c r="O922" s="20"/>
      <c r="P922" s="20"/>
      <c r="Q922" s="20"/>
      <c r="R922" s="20"/>
      <c r="S922" s="20"/>
      <c r="T922" s="20"/>
      <c r="U922" s="20"/>
    </row>
    <row r="923">
      <c r="A923" s="20"/>
      <c r="B923" s="20"/>
      <c r="C923" s="20"/>
      <c r="D923" s="20"/>
      <c r="E923" s="20"/>
      <c r="F923" s="20"/>
      <c r="G923" s="20"/>
      <c r="H923" s="20"/>
      <c r="I923" s="20"/>
      <c r="J923" s="20"/>
      <c r="K923" s="20"/>
      <c r="L923" s="20"/>
      <c r="M923" s="20"/>
      <c r="N923" s="20"/>
      <c r="O923" s="20"/>
      <c r="P923" s="20"/>
      <c r="Q923" s="20"/>
      <c r="R923" s="20"/>
      <c r="S923" s="20"/>
      <c r="T923" s="20"/>
      <c r="U923" s="20"/>
    </row>
    <row r="924">
      <c r="A924" s="20"/>
      <c r="B924" s="20"/>
      <c r="C924" s="20"/>
      <c r="D924" s="20"/>
      <c r="E924" s="20"/>
      <c r="F924" s="20"/>
      <c r="G924" s="20"/>
      <c r="H924" s="20"/>
      <c r="I924" s="20"/>
      <c r="J924" s="20"/>
      <c r="K924" s="20"/>
      <c r="L924" s="20"/>
      <c r="M924" s="20"/>
      <c r="N924" s="20"/>
      <c r="O924" s="20"/>
      <c r="P924" s="20"/>
      <c r="Q924" s="20"/>
      <c r="R924" s="20"/>
      <c r="S924" s="20"/>
      <c r="T924" s="20"/>
      <c r="U924" s="20"/>
    </row>
    <row r="925">
      <c r="A925" s="20"/>
      <c r="B925" s="20"/>
      <c r="C925" s="20"/>
      <c r="D925" s="20"/>
      <c r="E925" s="20"/>
      <c r="F925" s="20"/>
      <c r="G925" s="20"/>
      <c r="H925" s="20"/>
      <c r="I925" s="20"/>
      <c r="J925" s="20"/>
      <c r="K925" s="20"/>
      <c r="L925" s="20"/>
      <c r="M925" s="20"/>
      <c r="N925" s="20"/>
      <c r="O925" s="20"/>
      <c r="P925" s="20"/>
      <c r="Q925" s="20"/>
      <c r="R925" s="20"/>
      <c r="S925" s="20"/>
      <c r="T925" s="20"/>
      <c r="U925" s="20"/>
    </row>
    <row r="926">
      <c r="A926" s="20"/>
      <c r="B926" s="20"/>
      <c r="C926" s="20"/>
      <c r="D926" s="20"/>
      <c r="E926" s="20"/>
      <c r="F926" s="20"/>
      <c r="G926" s="20"/>
      <c r="H926" s="20"/>
      <c r="I926" s="20"/>
      <c r="J926" s="20"/>
      <c r="K926" s="20"/>
      <c r="L926" s="20"/>
      <c r="M926" s="20"/>
      <c r="N926" s="20"/>
      <c r="O926" s="20"/>
      <c r="P926" s="20"/>
      <c r="Q926" s="20"/>
      <c r="R926" s="20"/>
      <c r="S926" s="20"/>
      <c r="T926" s="20"/>
      <c r="U926" s="20"/>
    </row>
    <row r="927">
      <c r="A927" s="20"/>
      <c r="B927" s="20"/>
      <c r="C927" s="20"/>
      <c r="D927" s="20"/>
      <c r="E927" s="20"/>
      <c r="F927" s="20"/>
      <c r="G927" s="20"/>
      <c r="H927" s="20"/>
      <c r="I927" s="20"/>
      <c r="J927" s="20"/>
      <c r="K927" s="20"/>
      <c r="L927" s="20"/>
      <c r="M927" s="20"/>
      <c r="N927" s="20"/>
      <c r="O927" s="20"/>
      <c r="P927" s="20"/>
      <c r="Q927" s="20"/>
      <c r="R927" s="20"/>
      <c r="S927" s="20"/>
      <c r="T927" s="20"/>
      <c r="U927" s="20"/>
    </row>
    <row r="928">
      <c r="A928" s="20"/>
      <c r="B928" s="20"/>
      <c r="C928" s="20"/>
      <c r="D928" s="20"/>
      <c r="E928" s="20"/>
      <c r="F928" s="20"/>
      <c r="G928" s="20"/>
      <c r="H928" s="20"/>
      <c r="I928" s="20"/>
      <c r="J928" s="20"/>
      <c r="K928" s="20"/>
      <c r="L928" s="20"/>
      <c r="M928" s="20"/>
      <c r="N928" s="20"/>
      <c r="O928" s="20"/>
      <c r="P928" s="20"/>
      <c r="Q928" s="20"/>
      <c r="R928" s="20"/>
      <c r="S928" s="20"/>
      <c r="T928" s="20"/>
      <c r="U928" s="20"/>
    </row>
    <row r="929">
      <c r="A929" s="20"/>
      <c r="B929" s="20"/>
      <c r="C929" s="20"/>
      <c r="D929" s="20"/>
      <c r="E929" s="20"/>
      <c r="F929" s="20"/>
      <c r="G929" s="20"/>
      <c r="H929" s="20"/>
      <c r="I929" s="20"/>
      <c r="J929" s="20"/>
      <c r="K929" s="20"/>
      <c r="L929" s="20"/>
      <c r="M929" s="20"/>
      <c r="N929" s="20"/>
      <c r="O929" s="20"/>
      <c r="P929" s="20"/>
      <c r="Q929" s="20"/>
      <c r="R929" s="20"/>
      <c r="S929" s="20"/>
      <c r="T929" s="20"/>
      <c r="U929" s="20"/>
    </row>
    <row r="930">
      <c r="A930" s="20"/>
      <c r="B930" s="20"/>
      <c r="C930" s="20"/>
      <c r="D930" s="20"/>
      <c r="E930" s="20"/>
      <c r="F930" s="20"/>
      <c r="G930" s="20"/>
      <c r="H930" s="20"/>
      <c r="I930" s="20"/>
      <c r="J930" s="20"/>
      <c r="K930" s="20"/>
      <c r="L930" s="20"/>
      <c r="M930" s="20"/>
      <c r="N930" s="20"/>
      <c r="O930" s="20"/>
      <c r="P930" s="20"/>
      <c r="Q930" s="20"/>
      <c r="R930" s="20"/>
      <c r="S930" s="20"/>
      <c r="T930" s="20"/>
      <c r="U930" s="20"/>
    </row>
    <row r="931">
      <c r="A931" s="20"/>
      <c r="B931" s="20"/>
      <c r="C931" s="20"/>
      <c r="D931" s="20"/>
      <c r="E931" s="20"/>
      <c r="F931" s="20"/>
      <c r="G931" s="20"/>
      <c r="H931" s="20"/>
      <c r="I931" s="20"/>
      <c r="J931" s="20"/>
      <c r="K931" s="20"/>
      <c r="L931" s="20"/>
      <c r="M931" s="20"/>
      <c r="N931" s="20"/>
      <c r="O931" s="20"/>
      <c r="P931" s="20"/>
      <c r="Q931" s="20"/>
      <c r="R931" s="20"/>
      <c r="S931" s="20"/>
      <c r="T931" s="20"/>
      <c r="U931" s="20"/>
    </row>
    <row r="932">
      <c r="A932" s="20"/>
      <c r="B932" s="20"/>
      <c r="C932" s="20"/>
      <c r="D932" s="20"/>
      <c r="E932" s="20"/>
      <c r="F932" s="20"/>
      <c r="G932" s="20"/>
      <c r="H932" s="20"/>
      <c r="I932" s="20"/>
      <c r="J932" s="20"/>
      <c r="K932" s="20"/>
      <c r="L932" s="20"/>
      <c r="M932" s="20"/>
      <c r="N932" s="20"/>
      <c r="O932" s="20"/>
      <c r="P932" s="20"/>
      <c r="Q932" s="20"/>
      <c r="R932" s="20"/>
      <c r="S932" s="20"/>
      <c r="T932" s="20"/>
      <c r="U932" s="20"/>
    </row>
    <row r="933">
      <c r="A933" s="20"/>
      <c r="B933" s="20"/>
      <c r="C933" s="20"/>
      <c r="D933" s="20"/>
      <c r="E933" s="20"/>
      <c r="F933" s="20"/>
      <c r="G933" s="20"/>
      <c r="H933" s="20"/>
      <c r="I933" s="20"/>
      <c r="J933" s="20"/>
      <c r="K933" s="20"/>
      <c r="L933" s="20"/>
      <c r="M933" s="20"/>
      <c r="N933" s="20"/>
      <c r="O933" s="20"/>
      <c r="P933" s="20"/>
      <c r="Q933" s="20"/>
      <c r="R933" s="20"/>
      <c r="S933" s="20"/>
      <c r="T933" s="20"/>
      <c r="U933" s="20"/>
    </row>
    <row r="934">
      <c r="A934" s="20"/>
      <c r="B934" s="20"/>
      <c r="C934" s="20"/>
      <c r="D934" s="20"/>
      <c r="E934" s="20"/>
      <c r="F934" s="20"/>
      <c r="G934" s="20"/>
      <c r="H934" s="20"/>
      <c r="I934" s="20"/>
      <c r="J934" s="20"/>
      <c r="K934" s="20"/>
      <c r="L934" s="20"/>
      <c r="M934" s="20"/>
      <c r="N934" s="20"/>
      <c r="O934" s="20"/>
      <c r="P934" s="20"/>
      <c r="Q934" s="20"/>
      <c r="R934" s="20"/>
      <c r="S934" s="20"/>
      <c r="T934" s="20"/>
      <c r="U934" s="20"/>
    </row>
    <row r="935">
      <c r="A935" s="20"/>
      <c r="B935" s="20"/>
      <c r="C935" s="20"/>
      <c r="D935" s="20"/>
      <c r="E935" s="20"/>
      <c r="F935" s="20"/>
      <c r="G935" s="20"/>
      <c r="H935" s="20"/>
      <c r="I935" s="20"/>
      <c r="J935" s="20"/>
      <c r="K935" s="20"/>
      <c r="L935" s="20"/>
      <c r="M935" s="20"/>
      <c r="N935" s="20"/>
      <c r="O935" s="20"/>
      <c r="P935" s="20"/>
      <c r="Q935" s="20"/>
      <c r="R935" s="20"/>
      <c r="S935" s="20"/>
      <c r="T935" s="20"/>
      <c r="U935" s="20"/>
    </row>
    <row r="936">
      <c r="A936" s="20"/>
      <c r="B936" s="20"/>
      <c r="C936" s="20"/>
      <c r="D936" s="20"/>
      <c r="E936" s="20"/>
      <c r="F936" s="20"/>
      <c r="G936" s="20"/>
      <c r="H936" s="20"/>
      <c r="I936" s="20"/>
      <c r="J936" s="20"/>
      <c r="K936" s="20"/>
      <c r="L936" s="20"/>
      <c r="M936" s="20"/>
      <c r="N936" s="20"/>
      <c r="O936" s="20"/>
      <c r="P936" s="20"/>
      <c r="Q936" s="20"/>
      <c r="R936" s="20"/>
      <c r="S936" s="20"/>
      <c r="T936" s="20"/>
      <c r="U936" s="20"/>
    </row>
    <row r="937">
      <c r="A937" s="20"/>
      <c r="B937" s="20"/>
      <c r="C937" s="20"/>
      <c r="D937" s="20"/>
      <c r="E937" s="20"/>
      <c r="F937" s="20"/>
      <c r="G937" s="20"/>
      <c r="H937" s="20"/>
      <c r="I937" s="20"/>
      <c r="J937" s="20"/>
      <c r="K937" s="20"/>
      <c r="L937" s="20"/>
      <c r="M937" s="20"/>
      <c r="N937" s="20"/>
      <c r="O937" s="20"/>
      <c r="P937" s="20"/>
      <c r="Q937" s="20"/>
      <c r="R937" s="20"/>
      <c r="S937" s="20"/>
      <c r="T937" s="20"/>
      <c r="U937" s="20"/>
    </row>
    <row r="938">
      <c r="A938" s="20"/>
      <c r="B938" s="20"/>
      <c r="C938" s="20"/>
      <c r="D938" s="20"/>
      <c r="E938" s="20"/>
      <c r="F938" s="20"/>
      <c r="G938" s="20"/>
      <c r="H938" s="20"/>
      <c r="I938" s="20"/>
      <c r="J938" s="20"/>
      <c r="K938" s="20"/>
      <c r="L938" s="20"/>
      <c r="M938" s="20"/>
      <c r="N938" s="20"/>
      <c r="O938" s="20"/>
      <c r="P938" s="20"/>
      <c r="Q938" s="20"/>
      <c r="R938" s="20"/>
      <c r="S938" s="20"/>
      <c r="T938" s="20"/>
      <c r="U938" s="20"/>
    </row>
    <row r="939">
      <c r="A939" s="20"/>
      <c r="B939" s="20"/>
      <c r="C939" s="20"/>
      <c r="D939" s="20"/>
      <c r="E939" s="20"/>
      <c r="F939" s="20"/>
      <c r="G939" s="20"/>
      <c r="H939" s="20"/>
      <c r="I939" s="20"/>
      <c r="J939" s="20"/>
      <c r="K939" s="20"/>
      <c r="L939" s="20"/>
      <c r="M939" s="20"/>
      <c r="N939" s="20"/>
      <c r="O939" s="20"/>
      <c r="P939" s="20"/>
      <c r="Q939" s="20"/>
      <c r="R939" s="20"/>
      <c r="S939" s="20"/>
      <c r="T939" s="20"/>
      <c r="U939" s="20"/>
    </row>
    <row r="940">
      <c r="A940" s="20"/>
      <c r="B940" s="20"/>
      <c r="C940" s="20"/>
      <c r="D940" s="20"/>
      <c r="E940" s="20"/>
      <c r="F940" s="20"/>
      <c r="G940" s="20"/>
      <c r="H940" s="20"/>
      <c r="I940" s="20"/>
      <c r="J940" s="20"/>
      <c r="K940" s="20"/>
      <c r="L940" s="20"/>
      <c r="M940" s="20"/>
      <c r="N940" s="20"/>
      <c r="O940" s="20"/>
      <c r="P940" s="20"/>
      <c r="Q940" s="20"/>
      <c r="R940" s="20"/>
      <c r="S940" s="20"/>
      <c r="T940" s="20"/>
      <c r="U940" s="20"/>
    </row>
    <row r="941">
      <c r="A941" s="20"/>
      <c r="B941" s="20"/>
      <c r="C941" s="20"/>
      <c r="D941" s="20"/>
      <c r="E941" s="20"/>
      <c r="F941" s="20"/>
      <c r="G941" s="20"/>
      <c r="H941" s="20"/>
      <c r="I941" s="20"/>
      <c r="J941" s="20"/>
      <c r="K941" s="20"/>
      <c r="L941" s="20"/>
      <c r="M941" s="20"/>
      <c r="N941" s="20"/>
      <c r="O941" s="20"/>
      <c r="P941" s="20"/>
      <c r="Q941" s="20"/>
      <c r="R941" s="20"/>
      <c r="S941" s="20"/>
      <c r="T941" s="20"/>
      <c r="U941" s="20"/>
    </row>
    <row r="942">
      <c r="A942" s="20"/>
      <c r="B942" s="20"/>
      <c r="C942" s="20"/>
      <c r="D942" s="20"/>
      <c r="E942" s="20"/>
      <c r="F942" s="20"/>
      <c r="G942" s="20"/>
      <c r="H942" s="20"/>
      <c r="I942" s="20"/>
      <c r="J942" s="20"/>
      <c r="K942" s="20"/>
      <c r="L942" s="20"/>
      <c r="M942" s="20"/>
      <c r="N942" s="20"/>
      <c r="O942" s="20"/>
      <c r="P942" s="20"/>
      <c r="Q942" s="20"/>
      <c r="R942" s="20"/>
      <c r="S942" s="20"/>
      <c r="T942" s="20"/>
      <c r="U942" s="20"/>
    </row>
    <row r="943">
      <c r="A943" s="20"/>
      <c r="B943" s="20"/>
      <c r="C943" s="20"/>
      <c r="D943" s="20"/>
      <c r="E943" s="20"/>
      <c r="F943" s="20"/>
      <c r="G943" s="20"/>
      <c r="H943" s="20"/>
      <c r="I943" s="20"/>
      <c r="J943" s="20"/>
      <c r="K943" s="20"/>
      <c r="L943" s="20"/>
      <c r="M943" s="20"/>
      <c r="N943" s="20"/>
      <c r="O943" s="20"/>
      <c r="P943" s="20"/>
      <c r="Q943" s="20"/>
      <c r="R943" s="20"/>
      <c r="S943" s="20"/>
      <c r="T943" s="20"/>
      <c r="U943" s="20"/>
    </row>
    <row r="944">
      <c r="A944" s="20"/>
      <c r="B944" s="20"/>
      <c r="C944" s="20"/>
      <c r="D944" s="20"/>
      <c r="E944" s="20"/>
      <c r="F944" s="20"/>
      <c r="G944" s="20"/>
      <c r="H944" s="20"/>
      <c r="I944" s="20"/>
      <c r="J944" s="20"/>
      <c r="K944" s="20"/>
      <c r="L944" s="20"/>
      <c r="M944" s="20"/>
      <c r="N944" s="20"/>
      <c r="O944" s="20"/>
      <c r="P944" s="20"/>
      <c r="Q944" s="20"/>
      <c r="R944" s="20"/>
      <c r="S944" s="20"/>
      <c r="T944" s="20"/>
      <c r="U944" s="20"/>
    </row>
    <row r="945">
      <c r="A945" s="20"/>
      <c r="B945" s="20"/>
      <c r="C945" s="20"/>
      <c r="D945" s="20"/>
      <c r="E945" s="20"/>
      <c r="F945" s="20"/>
      <c r="G945" s="20"/>
      <c r="H945" s="20"/>
      <c r="I945" s="20"/>
      <c r="J945" s="20"/>
      <c r="K945" s="20"/>
      <c r="L945" s="20"/>
      <c r="M945" s="20"/>
      <c r="N945" s="20"/>
      <c r="O945" s="20"/>
      <c r="P945" s="20"/>
      <c r="Q945" s="20"/>
      <c r="R945" s="20"/>
      <c r="S945" s="20"/>
      <c r="T945" s="20"/>
      <c r="U945" s="20"/>
    </row>
    <row r="946">
      <c r="A946" s="20"/>
      <c r="B946" s="20"/>
      <c r="C946" s="20"/>
      <c r="D946" s="20"/>
      <c r="E946" s="20"/>
      <c r="F946" s="20"/>
      <c r="G946" s="20"/>
      <c r="H946" s="20"/>
      <c r="I946" s="20"/>
      <c r="J946" s="20"/>
      <c r="K946" s="20"/>
      <c r="L946" s="20"/>
      <c r="M946" s="20"/>
      <c r="N946" s="20"/>
      <c r="O946" s="20"/>
      <c r="P946" s="20"/>
      <c r="Q946" s="20"/>
      <c r="R946" s="20"/>
      <c r="S946" s="20"/>
      <c r="T946" s="20"/>
      <c r="U946" s="20"/>
    </row>
    <row r="947">
      <c r="A947" s="20"/>
      <c r="B947" s="20"/>
      <c r="C947" s="20"/>
      <c r="D947" s="20"/>
      <c r="E947" s="20"/>
      <c r="F947" s="20"/>
      <c r="G947" s="20"/>
      <c r="H947" s="20"/>
      <c r="I947" s="20"/>
      <c r="J947" s="20"/>
      <c r="K947" s="20"/>
      <c r="L947" s="20"/>
      <c r="M947" s="20"/>
      <c r="N947" s="20"/>
      <c r="O947" s="20"/>
      <c r="P947" s="20"/>
      <c r="Q947" s="20"/>
      <c r="R947" s="20"/>
      <c r="S947" s="20"/>
      <c r="T947" s="20"/>
      <c r="U947" s="20"/>
    </row>
    <row r="948">
      <c r="A948" s="20"/>
      <c r="B948" s="20"/>
      <c r="C948" s="20"/>
      <c r="D948" s="20"/>
      <c r="E948" s="20"/>
      <c r="F948" s="20"/>
      <c r="G948" s="20"/>
      <c r="H948" s="20"/>
      <c r="I948" s="20"/>
      <c r="J948" s="20"/>
      <c r="K948" s="20"/>
      <c r="L948" s="20"/>
      <c r="M948" s="20"/>
      <c r="N948" s="20"/>
      <c r="O948" s="20"/>
      <c r="P948" s="20"/>
      <c r="Q948" s="20"/>
      <c r="R948" s="20"/>
      <c r="S948" s="20"/>
      <c r="T948" s="20"/>
      <c r="U948" s="20"/>
    </row>
    <row r="949">
      <c r="A949" s="20"/>
      <c r="B949" s="20"/>
      <c r="C949" s="20"/>
      <c r="D949" s="20"/>
      <c r="E949" s="20"/>
      <c r="F949" s="20"/>
      <c r="G949" s="20"/>
      <c r="H949" s="20"/>
      <c r="I949" s="20"/>
      <c r="J949" s="20"/>
      <c r="K949" s="20"/>
      <c r="L949" s="20"/>
      <c r="M949" s="20"/>
      <c r="N949" s="20"/>
      <c r="O949" s="20"/>
      <c r="P949" s="20"/>
      <c r="Q949" s="20"/>
      <c r="R949" s="20"/>
      <c r="S949" s="20"/>
      <c r="T949" s="20"/>
      <c r="U949" s="20"/>
    </row>
    <row r="950">
      <c r="A950" s="20"/>
      <c r="B950" s="20"/>
      <c r="C950" s="20"/>
      <c r="D950" s="20"/>
      <c r="E950" s="20"/>
      <c r="F950" s="20"/>
      <c r="G950" s="20"/>
      <c r="H950" s="20"/>
      <c r="I950" s="20"/>
      <c r="J950" s="20"/>
      <c r="K950" s="20"/>
      <c r="L950" s="20"/>
      <c r="M950" s="20"/>
      <c r="N950" s="20"/>
      <c r="O950" s="20"/>
      <c r="P950" s="20"/>
      <c r="Q950" s="20"/>
      <c r="R950" s="20"/>
      <c r="S950" s="20"/>
      <c r="T950" s="20"/>
      <c r="U950" s="20"/>
    </row>
    <row r="951">
      <c r="A951" s="20"/>
      <c r="B951" s="20"/>
      <c r="C951" s="20"/>
      <c r="D951" s="20"/>
      <c r="E951" s="20"/>
      <c r="F951" s="20"/>
      <c r="G951" s="20"/>
      <c r="H951" s="20"/>
      <c r="I951" s="20"/>
      <c r="J951" s="20"/>
      <c r="K951" s="20"/>
      <c r="L951" s="20"/>
      <c r="M951" s="20"/>
      <c r="N951" s="20"/>
      <c r="O951" s="20"/>
      <c r="P951" s="20"/>
      <c r="Q951" s="20"/>
      <c r="R951" s="20"/>
      <c r="S951" s="20"/>
      <c r="T951" s="20"/>
      <c r="U951" s="20"/>
    </row>
    <row r="952">
      <c r="A952" s="20"/>
      <c r="B952" s="20"/>
      <c r="C952" s="20"/>
      <c r="D952" s="20"/>
      <c r="E952" s="20"/>
      <c r="F952" s="20"/>
      <c r="G952" s="20"/>
      <c r="H952" s="20"/>
      <c r="I952" s="20"/>
      <c r="J952" s="20"/>
      <c r="K952" s="20"/>
      <c r="L952" s="20"/>
      <c r="M952" s="20"/>
      <c r="N952" s="20"/>
      <c r="O952" s="20"/>
      <c r="P952" s="20"/>
      <c r="Q952" s="20"/>
      <c r="R952" s="20"/>
      <c r="S952" s="20"/>
      <c r="T952" s="20"/>
      <c r="U952" s="20"/>
    </row>
    <row r="953">
      <c r="A953" s="20"/>
      <c r="B953" s="20"/>
      <c r="C953" s="20"/>
      <c r="D953" s="20"/>
      <c r="E953" s="20"/>
      <c r="F953" s="20"/>
      <c r="G953" s="20"/>
      <c r="H953" s="20"/>
      <c r="I953" s="20"/>
      <c r="J953" s="20"/>
      <c r="K953" s="20"/>
      <c r="L953" s="20"/>
      <c r="M953" s="20"/>
      <c r="N953" s="20"/>
      <c r="O953" s="20"/>
      <c r="P953" s="20"/>
      <c r="Q953" s="20"/>
      <c r="R953" s="20"/>
      <c r="S953" s="20"/>
      <c r="T953" s="20"/>
      <c r="U953" s="20"/>
    </row>
    <row r="954">
      <c r="A954" s="20"/>
      <c r="B954" s="20"/>
      <c r="C954" s="20"/>
      <c r="D954" s="20"/>
      <c r="E954" s="20"/>
      <c r="F954" s="20"/>
      <c r="G954" s="20"/>
      <c r="H954" s="20"/>
      <c r="I954" s="20"/>
      <c r="J954" s="20"/>
      <c r="K954" s="20"/>
      <c r="L954" s="20"/>
      <c r="M954" s="20"/>
      <c r="N954" s="20"/>
      <c r="O954" s="20"/>
      <c r="P954" s="20"/>
      <c r="Q954" s="20"/>
      <c r="R954" s="20"/>
      <c r="S954" s="20"/>
      <c r="T954" s="20"/>
      <c r="U954" s="20"/>
    </row>
    <row r="955">
      <c r="A955" s="20"/>
      <c r="B955" s="20"/>
      <c r="C955" s="20"/>
      <c r="D955" s="20"/>
      <c r="E955" s="20"/>
      <c r="F955" s="20"/>
      <c r="G955" s="20"/>
      <c r="H955" s="20"/>
      <c r="I955" s="20"/>
      <c r="J955" s="20"/>
      <c r="K955" s="20"/>
      <c r="L955" s="20"/>
      <c r="M955" s="20"/>
      <c r="N955" s="20"/>
      <c r="O955" s="20"/>
      <c r="P955" s="20"/>
      <c r="Q955" s="20"/>
      <c r="R955" s="20"/>
      <c r="S955" s="20"/>
      <c r="T955" s="20"/>
      <c r="U955" s="20"/>
    </row>
    <row r="956">
      <c r="A956" s="20"/>
      <c r="B956" s="20"/>
      <c r="C956" s="20"/>
      <c r="D956" s="20"/>
      <c r="E956" s="20"/>
      <c r="F956" s="20"/>
      <c r="G956" s="20"/>
      <c r="H956" s="20"/>
      <c r="I956" s="20"/>
      <c r="J956" s="20"/>
      <c r="K956" s="20"/>
      <c r="L956" s="20"/>
      <c r="M956" s="20"/>
      <c r="N956" s="20"/>
      <c r="O956" s="20"/>
      <c r="P956" s="20"/>
      <c r="Q956" s="20"/>
      <c r="R956" s="20"/>
      <c r="S956" s="20"/>
      <c r="T956" s="20"/>
      <c r="U956" s="20"/>
    </row>
    <row r="957">
      <c r="A957" s="20"/>
      <c r="B957" s="20"/>
      <c r="C957" s="20"/>
      <c r="D957" s="20"/>
      <c r="E957" s="20"/>
      <c r="F957" s="20"/>
      <c r="G957" s="20"/>
      <c r="H957" s="20"/>
      <c r="I957" s="20"/>
      <c r="J957" s="20"/>
      <c r="K957" s="20"/>
      <c r="L957" s="20"/>
      <c r="M957" s="20"/>
      <c r="N957" s="20"/>
      <c r="O957" s="20"/>
      <c r="P957" s="20"/>
      <c r="Q957" s="20"/>
      <c r="R957" s="20"/>
      <c r="S957" s="20"/>
      <c r="T957" s="20"/>
      <c r="U957" s="20"/>
    </row>
    <row r="958">
      <c r="A958" s="20"/>
      <c r="B958" s="20"/>
      <c r="C958" s="20"/>
      <c r="D958" s="20"/>
      <c r="E958" s="20"/>
      <c r="F958" s="20"/>
      <c r="G958" s="20"/>
      <c r="H958" s="20"/>
      <c r="I958" s="20"/>
      <c r="J958" s="20"/>
      <c r="K958" s="20"/>
      <c r="L958" s="20"/>
      <c r="M958" s="20"/>
      <c r="N958" s="20"/>
      <c r="O958" s="20"/>
      <c r="P958" s="20"/>
      <c r="Q958" s="20"/>
      <c r="R958" s="20"/>
      <c r="S958" s="20"/>
      <c r="T958" s="20"/>
      <c r="U958" s="20"/>
    </row>
    <row r="959">
      <c r="A959" s="20"/>
      <c r="B959" s="20"/>
      <c r="C959" s="20"/>
      <c r="D959" s="20"/>
      <c r="E959" s="20"/>
      <c r="F959" s="20"/>
      <c r="G959" s="20"/>
      <c r="H959" s="20"/>
      <c r="I959" s="20"/>
      <c r="J959" s="20"/>
      <c r="K959" s="20"/>
      <c r="L959" s="20"/>
      <c r="M959" s="20"/>
      <c r="N959" s="20"/>
      <c r="O959" s="20"/>
      <c r="P959" s="20"/>
      <c r="Q959" s="20"/>
      <c r="R959" s="20"/>
      <c r="S959" s="20"/>
      <c r="T959" s="20"/>
      <c r="U959" s="20"/>
    </row>
    <row r="960">
      <c r="A960" s="20"/>
      <c r="B960" s="20"/>
      <c r="C960" s="20"/>
      <c r="D960" s="20"/>
      <c r="E960" s="20"/>
      <c r="F960" s="20"/>
      <c r="G960" s="20"/>
      <c r="H960" s="20"/>
      <c r="I960" s="20"/>
      <c r="J960" s="20"/>
      <c r="K960" s="20"/>
      <c r="L960" s="20"/>
      <c r="M960" s="20"/>
      <c r="N960" s="20"/>
      <c r="O960" s="20"/>
      <c r="P960" s="20"/>
      <c r="Q960" s="20"/>
      <c r="R960" s="20"/>
      <c r="S960" s="20"/>
      <c r="T960" s="20"/>
      <c r="U960" s="20"/>
    </row>
    <row r="961">
      <c r="A961" s="20"/>
      <c r="B961" s="20"/>
      <c r="C961" s="20"/>
      <c r="D961" s="20"/>
      <c r="E961" s="20"/>
      <c r="F961" s="20"/>
      <c r="G961" s="20"/>
      <c r="H961" s="20"/>
      <c r="I961" s="20"/>
      <c r="J961" s="20"/>
      <c r="K961" s="20"/>
      <c r="L961" s="20"/>
      <c r="M961" s="20"/>
      <c r="N961" s="20"/>
      <c r="O961" s="20"/>
      <c r="P961" s="20"/>
      <c r="Q961" s="20"/>
      <c r="R961" s="20"/>
      <c r="S961" s="20"/>
      <c r="T961" s="20"/>
      <c r="U961" s="20"/>
    </row>
    <row r="962">
      <c r="A962" s="20"/>
      <c r="B962" s="20"/>
      <c r="C962" s="20"/>
      <c r="D962" s="20"/>
      <c r="E962" s="20"/>
      <c r="F962" s="20"/>
      <c r="G962" s="20"/>
      <c r="H962" s="20"/>
      <c r="I962" s="20"/>
      <c r="J962" s="20"/>
      <c r="K962" s="20"/>
      <c r="L962" s="20"/>
      <c r="M962" s="20"/>
      <c r="N962" s="20"/>
      <c r="O962" s="20"/>
      <c r="P962" s="20"/>
      <c r="Q962" s="20"/>
      <c r="R962" s="20"/>
      <c r="S962" s="20"/>
      <c r="T962" s="20"/>
      <c r="U962" s="20"/>
    </row>
    <row r="963">
      <c r="A963" s="20"/>
      <c r="B963" s="20"/>
      <c r="C963" s="20"/>
      <c r="D963" s="20"/>
      <c r="E963" s="20"/>
      <c r="F963" s="20"/>
      <c r="G963" s="20"/>
      <c r="H963" s="20"/>
      <c r="I963" s="20"/>
      <c r="J963" s="20"/>
      <c r="K963" s="20"/>
      <c r="L963" s="20"/>
      <c r="M963" s="20"/>
      <c r="N963" s="20"/>
      <c r="O963" s="20"/>
      <c r="P963" s="20"/>
      <c r="Q963" s="20"/>
      <c r="R963" s="20"/>
      <c r="S963" s="20"/>
      <c r="T963" s="20"/>
      <c r="U963" s="20"/>
    </row>
    <row r="964">
      <c r="A964" s="20"/>
      <c r="B964" s="20"/>
      <c r="C964" s="20"/>
      <c r="D964" s="20"/>
      <c r="E964" s="20"/>
      <c r="F964" s="20"/>
      <c r="G964" s="20"/>
      <c r="H964" s="20"/>
      <c r="I964" s="20"/>
      <c r="J964" s="20"/>
      <c r="K964" s="20"/>
      <c r="L964" s="20"/>
      <c r="M964" s="20"/>
      <c r="N964" s="20"/>
      <c r="O964" s="20"/>
      <c r="P964" s="20"/>
      <c r="Q964" s="20"/>
      <c r="R964" s="20"/>
      <c r="S964" s="20"/>
      <c r="T964" s="20"/>
      <c r="U964" s="20"/>
    </row>
    <row r="965">
      <c r="A965" s="20"/>
      <c r="B965" s="20"/>
      <c r="C965" s="20"/>
      <c r="D965" s="20"/>
      <c r="E965" s="20"/>
      <c r="F965" s="20"/>
      <c r="G965" s="20"/>
      <c r="H965" s="20"/>
      <c r="I965" s="20"/>
      <c r="J965" s="20"/>
      <c r="K965" s="20"/>
      <c r="L965" s="20"/>
      <c r="M965" s="20"/>
      <c r="N965" s="20"/>
      <c r="O965" s="20"/>
      <c r="P965" s="20"/>
      <c r="Q965" s="20"/>
      <c r="R965" s="20"/>
      <c r="S965" s="20"/>
      <c r="T965" s="20"/>
      <c r="U965" s="20"/>
    </row>
    <row r="966">
      <c r="A966" s="20"/>
      <c r="B966" s="20"/>
      <c r="C966" s="20"/>
      <c r="D966" s="20"/>
      <c r="E966" s="20"/>
      <c r="F966" s="20"/>
      <c r="G966" s="20"/>
      <c r="H966" s="20"/>
      <c r="I966" s="20"/>
      <c r="J966" s="20"/>
      <c r="K966" s="20"/>
      <c r="L966" s="20"/>
      <c r="M966" s="20"/>
      <c r="N966" s="20"/>
      <c r="O966" s="20"/>
      <c r="P966" s="20"/>
      <c r="Q966" s="20"/>
      <c r="R966" s="20"/>
      <c r="S966" s="20"/>
      <c r="T966" s="20"/>
      <c r="U966" s="20"/>
    </row>
    <row r="967">
      <c r="A967" s="20"/>
      <c r="B967" s="20"/>
      <c r="C967" s="20"/>
      <c r="D967" s="20"/>
      <c r="E967" s="20"/>
      <c r="F967" s="20"/>
      <c r="G967" s="20"/>
      <c r="H967" s="20"/>
      <c r="I967" s="20"/>
      <c r="J967" s="20"/>
      <c r="K967" s="20"/>
      <c r="L967" s="20"/>
      <c r="M967" s="20"/>
      <c r="N967" s="20"/>
      <c r="O967" s="20"/>
      <c r="P967" s="20"/>
      <c r="Q967" s="20"/>
      <c r="R967" s="20"/>
      <c r="S967" s="20"/>
      <c r="T967" s="20"/>
      <c r="U967" s="20"/>
    </row>
    <row r="968">
      <c r="A968" s="20"/>
      <c r="B968" s="20"/>
      <c r="C968" s="20"/>
      <c r="D968" s="20"/>
      <c r="E968" s="20"/>
      <c r="F968" s="20"/>
      <c r="G968" s="20"/>
      <c r="H968" s="20"/>
      <c r="I968" s="20"/>
      <c r="J968" s="20"/>
      <c r="K968" s="20"/>
      <c r="L968" s="20"/>
      <c r="M968" s="20"/>
      <c r="N968" s="20"/>
      <c r="O968" s="20"/>
      <c r="P968" s="20"/>
      <c r="Q968" s="20"/>
      <c r="R968" s="20"/>
      <c r="S968" s="20"/>
      <c r="T968" s="20"/>
      <c r="U968" s="20"/>
    </row>
    <row r="969">
      <c r="A969" s="20"/>
      <c r="B969" s="20"/>
      <c r="C969" s="20"/>
      <c r="D969" s="20"/>
      <c r="E969" s="20"/>
      <c r="F969" s="20"/>
      <c r="G969" s="20"/>
      <c r="H969" s="20"/>
      <c r="I969" s="20"/>
      <c r="J969" s="20"/>
      <c r="K969" s="20"/>
      <c r="L969" s="20"/>
      <c r="M969" s="20"/>
      <c r="N969" s="20"/>
      <c r="O969" s="20"/>
      <c r="P969" s="20"/>
      <c r="Q969" s="20"/>
      <c r="R969" s="20"/>
      <c r="S969" s="20"/>
      <c r="T969" s="20"/>
      <c r="U969" s="20"/>
    </row>
    <row r="970">
      <c r="A970" s="20"/>
      <c r="B970" s="20"/>
      <c r="C970" s="20"/>
      <c r="D970" s="20"/>
      <c r="E970" s="20"/>
      <c r="F970" s="20"/>
      <c r="G970" s="20"/>
      <c r="H970" s="20"/>
      <c r="I970" s="20"/>
      <c r="J970" s="20"/>
      <c r="K970" s="20"/>
      <c r="L970" s="20"/>
      <c r="M970" s="20"/>
      <c r="N970" s="20"/>
      <c r="O970" s="20"/>
      <c r="P970" s="20"/>
      <c r="Q970" s="20"/>
      <c r="R970" s="20"/>
      <c r="S970" s="20"/>
      <c r="T970" s="20"/>
      <c r="U970" s="20"/>
    </row>
    <row r="971">
      <c r="A971" s="20"/>
      <c r="B971" s="20"/>
      <c r="C971" s="20"/>
      <c r="D971" s="20"/>
      <c r="E971" s="20"/>
      <c r="F971" s="20"/>
      <c r="G971" s="20"/>
      <c r="H971" s="20"/>
      <c r="I971" s="20"/>
      <c r="J971" s="20"/>
      <c r="K971" s="20"/>
      <c r="L971" s="20"/>
      <c r="M971" s="20"/>
      <c r="N971" s="20"/>
      <c r="O971" s="20"/>
      <c r="P971" s="20"/>
      <c r="Q971" s="20"/>
      <c r="R971" s="20"/>
      <c r="S971" s="20"/>
      <c r="T971" s="20"/>
      <c r="U971" s="20"/>
    </row>
    <row r="972">
      <c r="A972" s="20"/>
      <c r="B972" s="20"/>
      <c r="C972" s="20"/>
      <c r="D972" s="20"/>
      <c r="E972" s="20"/>
      <c r="F972" s="20"/>
      <c r="G972" s="20"/>
      <c r="H972" s="20"/>
      <c r="I972" s="20"/>
      <c r="J972" s="20"/>
      <c r="K972" s="20"/>
      <c r="L972" s="20"/>
      <c r="M972" s="20"/>
      <c r="N972" s="20"/>
      <c r="O972" s="20"/>
      <c r="P972" s="20"/>
      <c r="Q972" s="20"/>
      <c r="R972" s="20"/>
      <c r="S972" s="20"/>
      <c r="T972" s="20"/>
      <c r="U972" s="20"/>
    </row>
    <row r="973">
      <c r="A973" s="20"/>
      <c r="B973" s="20"/>
      <c r="C973" s="20"/>
      <c r="D973" s="20"/>
      <c r="E973" s="20"/>
      <c r="F973" s="20"/>
      <c r="G973" s="20"/>
      <c r="H973" s="20"/>
      <c r="I973" s="20"/>
      <c r="J973" s="20"/>
      <c r="K973" s="20"/>
      <c r="L973" s="20"/>
      <c r="M973" s="20"/>
      <c r="N973" s="20"/>
      <c r="O973" s="20"/>
      <c r="P973" s="20"/>
      <c r="Q973" s="20"/>
      <c r="R973" s="20"/>
      <c r="S973" s="20"/>
      <c r="T973" s="20"/>
      <c r="U973" s="20"/>
    </row>
    <row r="974">
      <c r="A974" s="20"/>
      <c r="B974" s="20"/>
      <c r="C974" s="20"/>
      <c r="D974" s="20"/>
      <c r="E974" s="20"/>
      <c r="F974" s="20"/>
      <c r="G974" s="20"/>
      <c r="H974" s="20"/>
      <c r="I974" s="20"/>
      <c r="J974" s="20"/>
      <c r="K974" s="20"/>
      <c r="L974" s="20"/>
      <c r="M974" s="20"/>
      <c r="N974" s="20"/>
      <c r="O974" s="20"/>
      <c r="P974" s="20"/>
      <c r="Q974" s="20"/>
      <c r="R974" s="20"/>
      <c r="S974" s="20"/>
      <c r="T974" s="20"/>
      <c r="U974" s="20"/>
    </row>
    <row r="975">
      <c r="A975" s="20"/>
      <c r="B975" s="20"/>
      <c r="C975" s="20"/>
      <c r="D975" s="20"/>
      <c r="E975" s="20"/>
      <c r="F975" s="20"/>
      <c r="G975" s="20"/>
      <c r="H975" s="20"/>
      <c r="I975" s="20"/>
      <c r="J975" s="20"/>
      <c r="K975" s="20"/>
      <c r="L975" s="20"/>
      <c r="M975" s="20"/>
      <c r="N975" s="20"/>
      <c r="O975" s="20"/>
      <c r="P975" s="20"/>
      <c r="Q975" s="20"/>
      <c r="R975" s="20"/>
      <c r="S975" s="20"/>
      <c r="T975" s="20"/>
      <c r="U975" s="20"/>
    </row>
    <row r="976">
      <c r="A976" s="20"/>
      <c r="B976" s="20"/>
      <c r="C976" s="20"/>
      <c r="D976" s="20"/>
      <c r="E976" s="20"/>
      <c r="F976" s="20"/>
      <c r="G976" s="20"/>
      <c r="H976" s="20"/>
      <c r="I976" s="20"/>
      <c r="J976" s="20"/>
      <c r="K976" s="20"/>
      <c r="L976" s="20"/>
      <c r="M976" s="20"/>
      <c r="N976" s="20"/>
      <c r="O976" s="20"/>
      <c r="P976" s="20"/>
      <c r="Q976" s="20"/>
      <c r="R976" s="20"/>
      <c r="S976" s="20"/>
      <c r="T976" s="20"/>
      <c r="U976" s="20"/>
    </row>
    <row r="977">
      <c r="A977" s="20"/>
      <c r="B977" s="20"/>
      <c r="C977" s="20"/>
      <c r="D977" s="20"/>
      <c r="E977" s="20"/>
      <c r="F977" s="20"/>
      <c r="G977" s="20"/>
      <c r="H977" s="20"/>
      <c r="I977" s="20"/>
      <c r="J977" s="20"/>
      <c r="K977" s="20"/>
      <c r="L977" s="20"/>
      <c r="M977" s="20"/>
      <c r="N977" s="20"/>
      <c r="O977" s="20"/>
      <c r="P977" s="20"/>
      <c r="Q977" s="20"/>
      <c r="R977" s="20"/>
      <c r="S977" s="20"/>
      <c r="T977" s="20"/>
      <c r="U977" s="20"/>
    </row>
    <row r="978">
      <c r="A978" s="20"/>
      <c r="B978" s="20"/>
      <c r="C978" s="20"/>
      <c r="D978" s="20"/>
      <c r="E978" s="20"/>
      <c r="F978" s="20"/>
      <c r="G978" s="20"/>
      <c r="H978" s="20"/>
      <c r="I978" s="20"/>
      <c r="J978" s="20"/>
      <c r="K978" s="20"/>
      <c r="L978" s="20"/>
      <c r="M978" s="20"/>
      <c r="N978" s="20"/>
      <c r="O978" s="20"/>
      <c r="P978" s="20"/>
      <c r="Q978" s="20"/>
      <c r="R978" s="20"/>
      <c r="S978" s="20"/>
      <c r="T978" s="20"/>
      <c r="U978" s="20"/>
    </row>
    <row r="979">
      <c r="A979" s="20"/>
      <c r="B979" s="20"/>
      <c r="C979" s="20"/>
      <c r="D979" s="20"/>
      <c r="E979" s="20"/>
      <c r="F979" s="20"/>
      <c r="G979" s="20"/>
      <c r="H979" s="20"/>
      <c r="I979" s="20"/>
      <c r="J979" s="20"/>
      <c r="K979" s="20"/>
      <c r="L979" s="20"/>
      <c r="M979" s="20"/>
      <c r="N979" s="20"/>
      <c r="O979" s="20"/>
      <c r="P979" s="20"/>
      <c r="Q979" s="20"/>
      <c r="R979" s="20"/>
      <c r="S979" s="20"/>
      <c r="T979" s="20"/>
      <c r="U979" s="20"/>
    </row>
    <row r="980">
      <c r="A980" s="20"/>
      <c r="B980" s="20"/>
      <c r="C980" s="20"/>
      <c r="D980" s="20"/>
      <c r="E980" s="20"/>
      <c r="F980" s="20"/>
      <c r="G980" s="20"/>
      <c r="H980" s="20"/>
      <c r="I980" s="20"/>
      <c r="J980" s="20"/>
      <c r="K980" s="20"/>
      <c r="L980" s="20"/>
      <c r="M980" s="20"/>
      <c r="N980" s="20"/>
      <c r="O980" s="20"/>
      <c r="P980" s="20"/>
      <c r="Q980" s="20"/>
      <c r="R980" s="20"/>
      <c r="S980" s="20"/>
      <c r="T980" s="20"/>
      <c r="U980" s="20"/>
    </row>
    <row r="981">
      <c r="A981" s="20"/>
      <c r="B981" s="20"/>
      <c r="C981" s="20"/>
      <c r="D981" s="20"/>
      <c r="E981" s="20"/>
      <c r="F981" s="20"/>
      <c r="G981" s="20"/>
      <c r="H981" s="20"/>
      <c r="I981" s="20"/>
      <c r="J981" s="20"/>
      <c r="K981" s="20"/>
      <c r="L981" s="20"/>
      <c r="M981" s="20"/>
      <c r="N981" s="20"/>
      <c r="O981" s="20"/>
      <c r="P981" s="20"/>
      <c r="Q981" s="20"/>
      <c r="R981" s="20"/>
      <c r="S981" s="20"/>
      <c r="T981" s="20"/>
      <c r="U981" s="20"/>
    </row>
    <row r="982">
      <c r="A982" s="20"/>
      <c r="B982" s="20"/>
      <c r="C982" s="20"/>
      <c r="D982" s="20"/>
      <c r="E982" s="20"/>
      <c r="F982" s="20"/>
      <c r="G982" s="20"/>
      <c r="H982" s="20"/>
      <c r="I982" s="20"/>
      <c r="J982" s="20"/>
      <c r="K982" s="20"/>
      <c r="L982" s="20"/>
      <c r="M982" s="20"/>
      <c r="N982" s="20"/>
      <c r="O982" s="20"/>
      <c r="P982" s="20"/>
      <c r="Q982" s="20"/>
      <c r="R982" s="20"/>
      <c r="S982" s="20"/>
      <c r="T982" s="20"/>
      <c r="U982" s="20"/>
    </row>
    <row r="983">
      <c r="A983" s="20"/>
      <c r="B983" s="20"/>
      <c r="C983" s="20"/>
      <c r="D983" s="20"/>
      <c r="E983" s="20"/>
      <c r="F983" s="20"/>
      <c r="G983" s="20"/>
      <c r="H983" s="20"/>
      <c r="I983" s="20"/>
      <c r="J983" s="20"/>
      <c r="K983" s="20"/>
      <c r="L983" s="20"/>
      <c r="M983" s="20"/>
      <c r="N983" s="20"/>
      <c r="O983" s="20"/>
      <c r="P983" s="20"/>
      <c r="Q983" s="20"/>
      <c r="R983" s="20"/>
      <c r="S983" s="20"/>
      <c r="T983" s="20"/>
      <c r="U983" s="20"/>
    </row>
    <row r="984">
      <c r="A984" s="20"/>
      <c r="B984" s="20"/>
      <c r="C984" s="20"/>
      <c r="D984" s="20"/>
      <c r="E984" s="20"/>
      <c r="F984" s="20"/>
      <c r="G984" s="20"/>
      <c r="H984" s="20"/>
      <c r="I984" s="20"/>
      <c r="J984" s="20"/>
      <c r="K984" s="20"/>
      <c r="L984" s="20"/>
      <c r="M984" s="20"/>
      <c r="N984" s="20"/>
      <c r="O984" s="20"/>
      <c r="P984" s="20"/>
      <c r="Q984" s="20"/>
      <c r="R984" s="20"/>
      <c r="S984" s="20"/>
      <c r="T984" s="20"/>
      <c r="U984" s="20"/>
    </row>
    <row r="985">
      <c r="A985" s="20"/>
      <c r="B985" s="20"/>
      <c r="C985" s="20"/>
      <c r="D985" s="20"/>
      <c r="E985" s="20"/>
      <c r="F985" s="20"/>
      <c r="G985" s="20"/>
      <c r="H985" s="20"/>
      <c r="I985" s="20"/>
      <c r="J985" s="20"/>
      <c r="K985" s="20"/>
      <c r="L985" s="20"/>
      <c r="M985" s="20"/>
      <c r="N985" s="20"/>
      <c r="O985" s="20"/>
      <c r="P985" s="20"/>
      <c r="Q985" s="20"/>
      <c r="R985" s="20"/>
      <c r="S985" s="20"/>
      <c r="T985" s="20"/>
      <c r="U985" s="20"/>
    </row>
    <row r="986">
      <c r="A986" s="20"/>
      <c r="B986" s="20"/>
      <c r="C986" s="20"/>
      <c r="D986" s="20"/>
      <c r="E986" s="20"/>
      <c r="F986" s="20"/>
      <c r="G986" s="20"/>
      <c r="H986" s="20"/>
      <c r="I986" s="20"/>
      <c r="J986" s="20"/>
      <c r="K986" s="20"/>
      <c r="L986" s="20"/>
      <c r="M986" s="20"/>
      <c r="N986" s="20"/>
      <c r="O986" s="20"/>
      <c r="P986" s="20"/>
      <c r="Q986" s="20"/>
      <c r="R986" s="20"/>
      <c r="S986" s="20"/>
      <c r="T986" s="20"/>
      <c r="U986" s="20"/>
    </row>
    <row r="987">
      <c r="A987" s="20"/>
      <c r="B987" s="20"/>
      <c r="C987" s="20"/>
      <c r="D987" s="20"/>
      <c r="E987" s="20"/>
      <c r="F987" s="20"/>
      <c r="G987" s="20"/>
      <c r="H987" s="20"/>
      <c r="I987" s="20"/>
      <c r="J987" s="20"/>
      <c r="K987" s="20"/>
      <c r="L987" s="20"/>
      <c r="M987" s="20"/>
      <c r="N987" s="20"/>
      <c r="O987" s="20"/>
      <c r="P987" s="20"/>
      <c r="Q987" s="20"/>
      <c r="R987" s="20"/>
      <c r="S987" s="20"/>
      <c r="T987" s="20"/>
      <c r="U987" s="20"/>
    </row>
    <row r="988">
      <c r="A988" s="20"/>
      <c r="B988" s="20"/>
      <c r="C988" s="20"/>
      <c r="D988" s="20"/>
      <c r="E988" s="20"/>
      <c r="F988" s="20"/>
      <c r="G988" s="20"/>
      <c r="H988" s="20"/>
      <c r="I988" s="20"/>
      <c r="J988" s="20"/>
      <c r="K988" s="20"/>
      <c r="L988" s="20"/>
      <c r="M988" s="20"/>
      <c r="N988" s="20"/>
      <c r="O988" s="20"/>
      <c r="P988" s="20"/>
      <c r="Q988" s="20"/>
      <c r="R988" s="20"/>
      <c r="S988" s="20"/>
      <c r="T988" s="20"/>
      <c r="U988" s="20"/>
    </row>
    <row r="989">
      <c r="A989" s="20"/>
      <c r="B989" s="20"/>
      <c r="C989" s="20"/>
      <c r="D989" s="20"/>
      <c r="E989" s="20"/>
      <c r="F989" s="20"/>
      <c r="G989" s="20"/>
      <c r="H989" s="20"/>
      <c r="I989" s="20"/>
      <c r="J989" s="20"/>
      <c r="K989" s="20"/>
      <c r="L989" s="20"/>
      <c r="M989" s="20"/>
      <c r="N989" s="20"/>
      <c r="O989" s="20"/>
      <c r="P989" s="20"/>
      <c r="Q989" s="20"/>
      <c r="R989" s="20"/>
      <c r="S989" s="20"/>
      <c r="T989" s="20"/>
      <c r="U989" s="20"/>
    </row>
    <row r="990">
      <c r="A990" s="20"/>
      <c r="B990" s="20"/>
      <c r="C990" s="20"/>
      <c r="D990" s="20"/>
      <c r="E990" s="20"/>
      <c r="F990" s="20"/>
      <c r="G990" s="20"/>
      <c r="H990" s="20"/>
      <c r="I990" s="20"/>
      <c r="J990" s="20"/>
      <c r="K990" s="20"/>
      <c r="L990" s="20"/>
      <c r="M990" s="20"/>
      <c r="N990" s="20"/>
      <c r="O990" s="20"/>
      <c r="P990" s="20"/>
      <c r="Q990" s="20"/>
      <c r="R990" s="20"/>
      <c r="S990" s="20"/>
      <c r="T990" s="20"/>
      <c r="U990" s="20"/>
    </row>
    <row r="991">
      <c r="A991" s="20"/>
      <c r="B991" s="20"/>
      <c r="C991" s="20"/>
      <c r="D991" s="20"/>
      <c r="E991" s="20"/>
      <c r="F991" s="20"/>
      <c r="G991" s="20"/>
      <c r="H991" s="20"/>
      <c r="I991" s="20"/>
      <c r="J991" s="20"/>
      <c r="K991" s="20"/>
      <c r="L991" s="20"/>
      <c r="M991" s="20"/>
      <c r="N991" s="20"/>
      <c r="O991" s="20"/>
      <c r="P991" s="20"/>
      <c r="Q991" s="20"/>
      <c r="R991" s="20"/>
      <c r="S991" s="20"/>
      <c r="T991" s="20"/>
      <c r="U991" s="20"/>
    </row>
    <row r="992">
      <c r="A992" s="20"/>
      <c r="B992" s="20"/>
      <c r="C992" s="20"/>
      <c r="D992" s="20"/>
      <c r="E992" s="20"/>
      <c r="F992" s="20"/>
      <c r="G992" s="20"/>
      <c r="H992" s="20"/>
      <c r="I992" s="20"/>
      <c r="J992" s="20"/>
      <c r="K992" s="20"/>
      <c r="L992" s="20"/>
      <c r="M992" s="20"/>
      <c r="N992" s="20"/>
      <c r="O992" s="20"/>
      <c r="P992" s="20"/>
      <c r="Q992" s="20"/>
      <c r="R992" s="20"/>
      <c r="S992" s="20"/>
      <c r="T992" s="20"/>
      <c r="U992" s="20"/>
    </row>
    <row r="993">
      <c r="A993" s="20"/>
      <c r="B993" s="20"/>
      <c r="C993" s="20"/>
      <c r="D993" s="20"/>
      <c r="E993" s="20"/>
      <c r="F993" s="20"/>
      <c r="G993" s="20"/>
      <c r="H993" s="20"/>
      <c r="I993" s="20"/>
      <c r="J993" s="20"/>
      <c r="K993" s="20"/>
      <c r="L993" s="20"/>
      <c r="M993" s="20"/>
      <c r="N993" s="20"/>
      <c r="O993" s="20"/>
      <c r="P993" s="20"/>
      <c r="Q993" s="20"/>
      <c r="R993" s="20"/>
      <c r="S993" s="20"/>
      <c r="T993" s="20"/>
      <c r="U993" s="20"/>
    </row>
    <row r="994">
      <c r="A994" s="20"/>
      <c r="B994" s="20"/>
      <c r="C994" s="20"/>
      <c r="D994" s="20"/>
      <c r="E994" s="20"/>
      <c r="F994" s="20"/>
      <c r="G994" s="20"/>
      <c r="H994" s="20"/>
      <c r="I994" s="20"/>
      <c r="J994" s="20"/>
      <c r="K994" s="20"/>
      <c r="L994" s="20"/>
      <c r="M994" s="20"/>
      <c r="N994" s="20"/>
      <c r="O994" s="20"/>
      <c r="P994" s="20"/>
      <c r="Q994" s="20"/>
      <c r="R994" s="20"/>
      <c r="S994" s="20"/>
      <c r="T994" s="20"/>
      <c r="U994" s="20"/>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 customWidth="1" min="3" max="4" width="12.63"/>
  </cols>
  <sheetData>
    <row r="1">
      <c r="A1" s="151" t="s">
        <v>276</v>
      </c>
      <c r="B1" s="151" t="s">
        <v>7</v>
      </c>
      <c r="C1" s="151" t="s">
        <v>435</v>
      </c>
      <c r="D1" s="151" t="s">
        <v>436</v>
      </c>
      <c r="E1" s="151" t="s">
        <v>437</v>
      </c>
      <c r="F1" s="43"/>
      <c r="G1" s="43"/>
      <c r="H1" s="43"/>
      <c r="I1" s="43"/>
      <c r="J1" s="43"/>
      <c r="K1" s="43"/>
      <c r="L1" s="43"/>
      <c r="M1" s="43"/>
      <c r="N1" s="43"/>
      <c r="O1" s="43"/>
      <c r="P1" s="43"/>
      <c r="Q1" s="43"/>
      <c r="R1" s="43"/>
      <c r="S1" s="43"/>
      <c r="T1" s="43"/>
      <c r="U1" s="43"/>
      <c r="V1" s="43"/>
      <c r="W1" s="43"/>
      <c r="X1" s="43"/>
      <c r="Y1" s="43"/>
      <c r="Z1" s="43"/>
    </row>
    <row r="2">
      <c r="A2" s="5" t="s">
        <v>279</v>
      </c>
      <c r="B2" s="5" t="s">
        <v>280</v>
      </c>
      <c r="C2" s="5" t="s">
        <v>110</v>
      </c>
      <c r="D2" s="5" t="s">
        <v>438</v>
      </c>
      <c r="E2" s="5" t="s">
        <v>439</v>
      </c>
      <c r="F2" s="20"/>
      <c r="G2" s="20"/>
      <c r="H2" s="20"/>
      <c r="I2" s="20"/>
      <c r="J2" s="20"/>
      <c r="K2" s="20"/>
      <c r="L2" s="20"/>
      <c r="M2" s="20"/>
      <c r="N2" s="20"/>
      <c r="O2" s="20"/>
      <c r="P2" s="20"/>
      <c r="Q2" s="20"/>
      <c r="R2" s="20"/>
      <c r="S2" s="20"/>
      <c r="T2" s="20"/>
      <c r="U2" s="20"/>
      <c r="V2" s="20"/>
      <c r="W2" s="20"/>
      <c r="X2" s="20"/>
      <c r="Y2" s="20"/>
      <c r="Z2" s="20"/>
    </row>
    <row r="3">
      <c r="A3" s="5" t="s">
        <v>281</v>
      </c>
      <c r="B3" s="5" t="s">
        <v>406</v>
      </c>
      <c r="C3" s="5" t="s">
        <v>440</v>
      </c>
      <c r="D3" s="5" t="s">
        <v>441</v>
      </c>
      <c r="E3" s="5" t="s">
        <v>442</v>
      </c>
      <c r="F3" s="20"/>
      <c r="G3" s="134"/>
      <c r="H3" s="134"/>
      <c r="J3" s="134"/>
      <c r="K3" s="20"/>
      <c r="L3" s="20"/>
      <c r="M3" s="20"/>
      <c r="N3" s="20"/>
      <c r="O3" s="20"/>
      <c r="P3" s="20"/>
      <c r="Q3" s="20"/>
      <c r="R3" s="20"/>
      <c r="S3" s="20"/>
      <c r="T3" s="20"/>
      <c r="U3" s="20"/>
      <c r="V3" s="20"/>
      <c r="W3" s="20"/>
      <c r="X3" s="20"/>
      <c r="Y3" s="20"/>
      <c r="Z3" s="20"/>
    </row>
    <row r="4">
      <c r="A4" s="5" t="s">
        <v>285</v>
      </c>
      <c r="B4" s="5" t="s">
        <v>286</v>
      </c>
      <c r="C4" s="5" t="s">
        <v>443</v>
      </c>
      <c r="D4" s="5" t="s">
        <v>444</v>
      </c>
      <c r="E4" s="5" t="s">
        <v>445</v>
      </c>
      <c r="F4" s="20"/>
      <c r="G4" s="134"/>
      <c r="H4" s="134"/>
      <c r="J4" s="134"/>
      <c r="K4" s="20"/>
      <c r="L4" s="20"/>
      <c r="M4" s="20"/>
      <c r="N4" s="20"/>
      <c r="O4" s="20"/>
      <c r="P4" s="20"/>
      <c r="Q4" s="20"/>
      <c r="R4" s="20"/>
      <c r="S4" s="20"/>
      <c r="T4" s="20"/>
      <c r="U4" s="20"/>
      <c r="V4" s="20"/>
      <c r="W4" s="20"/>
      <c r="X4" s="20"/>
      <c r="Y4" s="20"/>
      <c r="Z4" s="20"/>
    </row>
    <row r="5">
      <c r="A5" s="5" t="s">
        <v>289</v>
      </c>
      <c r="B5" s="5" t="s">
        <v>290</v>
      </c>
      <c r="C5" s="5" t="s">
        <v>446</v>
      </c>
      <c r="D5" s="5" t="s">
        <v>447</v>
      </c>
      <c r="E5" s="5" t="s">
        <v>448</v>
      </c>
      <c r="F5" s="20"/>
      <c r="G5" s="134"/>
      <c r="H5" s="134"/>
      <c r="J5" s="134"/>
      <c r="K5" s="20"/>
      <c r="L5" s="20"/>
      <c r="M5" s="20"/>
      <c r="N5" s="20"/>
      <c r="O5" s="20"/>
      <c r="P5" s="20"/>
      <c r="Q5" s="20"/>
      <c r="R5" s="20"/>
      <c r="S5" s="20"/>
      <c r="T5" s="20"/>
      <c r="U5" s="20"/>
      <c r="V5" s="20"/>
      <c r="W5" s="20"/>
      <c r="X5" s="20"/>
      <c r="Y5" s="20"/>
      <c r="Z5" s="20"/>
    </row>
    <row r="6">
      <c r="A6" s="152" t="s">
        <v>292</v>
      </c>
      <c r="B6" s="160"/>
      <c r="C6" s="171" t="s">
        <v>449</v>
      </c>
      <c r="D6" s="171" t="s">
        <v>438</v>
      </c>
      <c r="E6" s="171" t="s">
        <v>450</v>
      </c>
      <c r="F6" s="161"/>
      <c r="G6" s="161"/>
      <c r="H6" s="161"/>
      <c r="I6" s="161"/>
      <c r="J6" s="161"/>
      <c r="K6" s="161"/>
      <c r="L6" s="161"/>
      <c r="M6" s="161"/>
      <c r="N6" s="161"/>
      <c r="O6" s="161"/>
      <c r="P6" s="161"/>
      <c r="Q6" s="161"/>
      <c r="R6" s="161"/>
      <c r="S6" s="161"/>
      <c r="T6" s="161"/>
      <c r="U6" s="161"/>
      <c r="V6" s="161"/>
      <c r="W6" s="161"/>
      <c r="X6" s="161"/>
      <c r="Y6" s="161"/>
      <c r="Z6" s="161"/>
    </row>
    <row r="7">
      <c r="A7" s="5" t="s">
        <v>295</v>
      </c>
      <c r="B7" s="5"/>
      <c r="C7" s="5" t="s">
        <v>449</v>
      </c>
      <c r="D7" s="5" t="s">
        <v>438</v>
      </c>
      <c r="E7" s="5" t="s">
        <v>450</v>
      </c>
      <c r="F7" s="20"/>
      <c r="G7" s="20"/>
      <c r="H7" s="20"/>
      <c r="I7" s="20"/>
      <c r="J7" s="20"/>
      <c r="K7" s="20"/>
      <c r="L7" s="20"/>
      <c r="M7" s="20"/>
      <c r="N7" s="20"/>
      <c r="O7" s="20"/>
      <c r="P7" s="20"/>
      <c r="Q7" s="20"/>
      <c r="R7" s="20"/>
      <c r="S7" s="20"/>
      <c r="T7" s="20"/>
      <c r="U7" s="20"/>
      <c r="V7" s="20"/>
      <c r="W7" s="20"/>
      <c r="X7" s="20"/>
      <c r="Y7" s="20"/>
      <c r="Z7" s="20"/>
    </row>
    <row r="8">
      <c r="A8" s="11" t="s">
        <v>298</v>
      </c>
      <c r="B8" s="154" t="s">
        <v>299</v>
      </c>
      <c r="C8" s="5" t="s">
        <v>451</v>
      </c>
      <c r="D8" s="5" t="s">
        <v>452</v>
      </c>
      <c r="E8" s="5" t="s">
        <v>453</v>
      </c>
      <c r="F8" s="20"/>
      <c r="G8" s="11"/>
      <c r="H8" s="11"/>
      <c r="I8" s="164"/>
      <c r="J8" s="164"/>
      <c r="K8" s="164"/>
      <c r="L8" s="164"/>
      <c r="M8" s="164"/>
      <c r="N8" s="20"/>
      <c r="O8" s="20"/>
      <c r="P8" s="20"/>
      <c r="Q8" s="20"/>
      <c r="R8" s="20"/>
      <c r="S8" s="20"/>
      <c r="T8" s="20"/>
      <c r="U8" s="20"/>
      <c r="V8" s="20"/>
      <c r="W8" s="20"/>
      <c r="X8" s="20"/>
      <c r="Y8" s="20"/>
      <c r="Z8" s="20"/>
    </row>
    <row r="9">
      <c r="A9" s="107" t="s">
        <v>302</v>
      </c>
      <c r="B9" s="156"/>
      <c r="C9" s="102" t="s">
        <v>454</v>
      </c>
      <c r="D9" s="102" t="s">
        <v>455</v>
      </c>
      <c r="E9" s="102" t="s">
        <v>456</v>
      </c>
      <c r="F9" s="104"/>
      <c r="G9" s="107"/>
      <c r="H9" s="107"/>
      <c r="I9" s="172"/>
      <c r="J9" s="172"/>
      <c r="K9" s="172"/>
      <c r="L9" s="172"/>
      <c r="M9" s="172"/>
      <c r="N9" s="104"/>
      <c r="O9" s="104"/>
      <c r="P9" s="104"/>
      <c r="Q9" s="104"/>
      <c r="R9" s="104"/>
      <c r="S9" s="104"/>
      <c r="T9" s="104"/>
      <c r="U9" s="104"/>
      <c r="V9" s="104"/>
      <c r="W9" s="104"/>
      <c r="X9" s="104"/>
      <c r="Y9" s="104"/>
      <c r="Z9" s="104"/>
    </row>
    <row r="10">
      <c r="A10" s="154" t="s">
        <v>311</v>
      </c>
      <c r="B10" s="154" t="s">
        <v>312</v>
      </c>
      <c r="C10" s="5" t="s">
        <v>451</v>
      </c>
      <c r="D10" s="5" t="s">
        <v>452</v>
      </c>
      <c r="E10" s="5" t="s">
        <v>453</v>
      </c>
      <c r="F10" s="20"/>
      <c r="G10" s="11"/>
      <c r="H10" s="11"/>
      <c r="I10" s="164"/>
      <c r="J10" s="164"/>
      <c r="K10" s="164"/>
      <c r="L10" s="164"/>
      <c r="M10" s="164"/>
      <c r="N10" s="20"/>
      <c r="O10" s="20"/>
      <c r="P10" s="20"/>
      <c r="Q10" s="20"/>
      <c r="R10" s="20"/>
      <c r="S10" s="20"/>
      <c r="T10" s="20"/>
      <c r="U10" s="20"/>
      <c r="V10" s="20"/>
      <c r="W10" s="20"/>
      <c r="X10" s="20"/>
      <c r="Y10" s="20"/>
      <c r="Z10" s="20"/>
    </row>
    <row r="11">
      <c r="A11" s="154" t="s">
        <v>314</v>
      </c>
      <c r="B11" s="154" t="s">
        <v>315</v>
      </c>
      <c r="C11" s="5" t="s">
        <v>457</v>
      </c>
      <c r="D11" s="5" t="s">
        <v>458</v>
      </c>
      <c r="E11" s="5" t="s">
        <v>459</v>
      </c>
      <c r="F11" s="20"/>
      <c r="G11" s="20"/>
      <c r="H11" s="20"/>
      <c r="I11" s="20"/>
      <c r="J11" s="20"/>
      <c r="K11" s="20"/>
      <c r="L11" s="20"/>
      <c r="M11" s="20"/>
      <c r="N11" s="20"/>
      <c r="O11" s="20"/>
      <c r="P11" s="20"/>
      <c r="Q11" s="20"/>
      <c r="R11" s="20"/>
      <c r="S11" s="20"/>
      <c r="T11" s="20"/>
      <c r="U11" s="20"/>
      <c r="V11" s="20"/>
      <c r="W11" s="20"/>
      <c r="X11" s="20"/>
      <c r="Y11" s="20"/>
      <c r="Z11" s="20"/>
    </row>
    <row r="12">
      <c r="A12" s="154" t="s">
        <v>317</v>
      </c>
      <c r="B12" s="154" t="s">
        <v>318</v>
      </c>
      <c r="C12" s="5" t="s">
        <v>460</v>
      </c>
      <c r="D12" s="5" t="s">
        <v>461</v>
      </c>
      <c r="E12" s="5" t="s">
        <v>462</v>
      </c>
      <c r="F12" s="20"/>
      <c r="G12" s="20"/>
      <c r="H12" s="20"/>
      <c r="I12" s="20"/>
      <c r="J12" s="20"/>
      <c r="K12" s="20"/>
      <c r="L12" s="20"/>
      <c r="M12" s="20"/>
      <c r="N12" s="20"/>
      <c r="O12" s="20"/>
      <c r="P12" s="20"/>
      <c r="Q12" s="20"/>
      <c r="R12" s="20"/>
      <c r="S12" s="20"/>
      <c r="T12" s="20"/>
      <c r="U12" s="20"/>
      <c r="V12" s="20"/>
      <c r="W12" s="20"/>
      <c r="X12" s="20"/>
      <c r="Y12" s="20"/>
      <c r="Z12" s="20"/>
    </row>
    <row r="13">
      <c r="A13" s="156" t="s">
        <v>320</v>
      </c>
      <c r="B13" s="156" t="s">
        <v>321</v>
      </c>
      <c r="C13" s="5" t="s">
        <v>458</v>
      </c>
      <c r="D13" s="5" t="s">
        <v>459</v>
      </c>
      <c r="E13" s="102" t="s">
        <v>463</v>
      </c>
      <c r="F13" s="104"/>
      <c r="G13" s="104"/>
      <c r="H13" s="104"/>
      <c r="I13" s="104"/>
      <c r="J13" s="104"/>
      <c r="K13" s="104"/>
      <c r="L13" s="104"/>
      <c r="M13" s="104"/>
      <c r="N13" s="104"/>
      <c r="O13" s="104"/>
      <c r="P13" s="104"/>
      <c r="Q13" s="104"/>
      <c r="R13" s="20"/>
      <c r="S13" s="20"/>
      <c r="T13" s="20"/>
      <c r="U13" s="20"/>
      <c r="V13" s="20"/>
      <c r="W13" s="20"/>
      <c r="X13" s="20"/>
      <c r="Y13" s="20"/>
      <c r="Z13" s="20"/>
    </row>
    <row r="14">
      <c r="A14" s="109" t="s">
        <v>323</v>
      </c>
      <c r="B14" s="109"/>
      <c r="C14" s="109" t="s">
        <v>369</v>
      </c>
      <c r="D14" s="109" t="s">
        <v>460</v>
      </c>
      <c r="E14" s="109" t="s">
        <v>461</v>
      </c>
      <c r="F14" s="111"/>
      <c r="G14" s="111"/>
      <c r="H14" s="111"/>
      <c r="I14" s="111"/>
      <c r="J14" s="111"/>
      <c r="K14" s="111"/>
      <c r="L14" s="111"/>
      <c r="M14" s="111"/>
      <c r="N14" s="111"/>
      <c r="O14" s="111"/>
      <c r="P14" s="111"/>
      <c r="Q14" s="111"/>
      <c r="R14" s="20"/>
      <c r="S14" s="20"/>
      <c r="T14" s="20"/>
      <c r="U14" s="20"/>
      <c r="V14" s="20"/>
      <c r="W14" s="20"/>
      <c r="X14" s="20"/>
      <c r="Y14" s="20"/>
      <c r="Z14" s="20"/>
    </row>
    <row r="15">
      <c r="A15" s="11" t="s">
        <v>325</v>
      </c>
      <c r="B15" s="154" t="s">
        <v>378</v>
      </c>
      <c r="C15" s="5" t="s">
        <v>457</v>
      </c>
      <c r="D15" s="5" t="s">
        <v>464</v>
      </c>
      <c r="E15" s="5" t="s">
        <v>465</v>
      </c>
      <c r="F15" s="163"/>
      <c r="G15" s="162"/>
      <c r="H15" s="162"/>
      <c r="I15" s="173"/>
      <c r="J15" s="163"/>
      <c r="K15" s="163"/>
      <c r="L15" s="163"/>
      <c r="M15" s="163"/>
      <c r="N15" s="163"/>
      <c r="O15" s="163"/>
      <c r="P15" s="163"/>
      <c r="Q15" s="163"/>
      <c r="R15" s="163"/>
      <c r="S15" s="163"/>
      <c r="T15" s="163"/>
      <c r="U15" s="163"/>
      <c r="V15" s="163"/>
      <c r="W15" s="163"/>
      <c r="X15" s="163"/>
      <c r="Y15" s="163"/>
      <c r="Z15" s="163"/>
    </row>
    <row r="16">
      <c r="A16" s="5" t="s">
        <v>328</v>
      </c>
      <c r="B16" s="5" t="s">
        <v>329</v>
      </c>
      <c r="C16" s="5">
        <v>1.0</v>
      </c>
      <c r="D16" s="5">
        <v>1.0</v>
      </c>
      <c r="E16" s="5">
        <v>1.0</v>
      </c>
      <c r="F16" s="20"/>
      <c r="G16" s="134"/>
      <c r="H16" s="134"/>
      <c r="I16" s="174"/>
      <c r="J16" s="20"/>
      <c r="K16" s="20"/>
      <c r="L16" s="20"/>
      <c r="M16" s="20"/>
      <c r="N16" s="20"/>
      <c r="O16" s="20"/>
      <c r="P16" s="20"/>
      <c r="Q16" s="20"/>
      <c r="R16" s="20"/>
      <c r="S16" s="20"/>
      <c r="T16" s="20"/>
      <c r="U16" s="20"/>
      <c r="V16" s="20"/>
      <c r="W16" s="20"/>
      <c r="X16" s="20"/>
      <c r="Y16" s="20"/>
      <c r="Z16" s="20"/>
    </row>
    <row r="17">
      <c r="A17" s="5" t="s">
        <v>330</v>
      </c>
      <c r="B17" s="5" t="s">
        <v>331</v>
      </c>
      <c r="C17" s="5" t="s">
        <v>332</v>
      </c>
      <c r="D17" s="5" t="s">
        <v>333</v>
      </c>
      <c r="E17" s="96" t="s">
        <v>466</v>
      </c>
      <c r="F17" s="20"/>
      <c r="G17" s="20"/>
      <c r="H17" s="20"/>
      <c r="I17" s="20"/>
      <c r="J17" s="20"/>
      <c r="K17" s="20"/>
      <c r="L17" s="20"/>
      <c r="M17" s="20"/>
      <c r="N17" s="20"/>
      <c r="O17" s="20"/>
      <c r="P17" s="20"/>
      <c r="Q17" s="20"/>
      <c r="R17" s="20"/>
      <c r="S17" s="20"/>
      <c r="T17" s="20"/>
      <c r="U17" s="20"/>
      <c r="V17" s="20"/>
      <c r="W17" s="20"/>
      <c r="X17" s="20"/>
      <c r="Y17" s="20"/>
      <c r="Z17" s="20"/>
    </row>
    <row r="18">
      <c r="A18" s="5" t="s">
        <v>334</v>
      </c>
      <c r="B18" s="5" t="s">
        <v>335</v>
      </c>
      <c r="C18" s="5"/>
      <c r="D18" s="5"/>
      <c r="E18" s="5"/>
      <c r="F18" s="20"/>
      <c r="G18" s="20"/>
      <c r="H18" s="20"/>
      <c r="I18" s="20"/>
      <c r="J18" s="20"/>
      <c r="K18" s="20"/>
      <c r="L18" s="20"/>
      <c r="M18" s="20"/>
      <c r="N18" s="20"/>
      <c r="O18" s="20"/>
      <c r="P18" s="20"/>
      <c r="Q18" s="20"/>
      <c r="R18" s="20"/>
      <c r="S18" s="20"/>
      <c r="T18" s="20"/>
      <c r="U18" s="20"/>
      <c r="V18" s="20"/>
      <c r="W18" s="20"/>
      <c r="X18" s="20"/>
      <c r="Y18" s="20"/>
      <c r="Z18" s="20"/>
    </row>
    <row r="19">
      <c r="A19" s="5" t="s">
        <v>336</v>
      </c>
      <c r="B19" s="5" t="s">
        <v>337</v>
      </c>
      <c r="C19" s="5" t="s">
        <v>467</v>
      </c>
      <c r="D19" s="5" t="s">
        <v>467</v>
      </c>
      <c r="E19" s="5" t="s">
        <v>467</v>
      </c>
      <c r="F19" s="20"/>
      <c r="G19" s="20"/>
      <c r="H19" s="20"/>
      <c r="I19" s="20"/>
      <c r="J19" s="20"/>
      <c r="K19" s="20"/>
      <c r="L19" s="20"/>
      <c r="M19" s="20"/>
      <c r="N19" s="20"/>
      <c r="O19" s="20"/>
      <c r="P19" s="20"/>
      <c r="Q19" s="20"/>
      <c r="R19" s="20"/>
      <c r="S19" s="20"/>
      <c r="T19" s="20"/>
      <c r="U19" s="20"/>
      <c r="V19" s="20"/>
      <c r="W19" s="20"/>
      <c r="X19" s="20"/>
      <c r="Y19" s="20"/>
      <c r="Z19" s="20"/>
    </row>
    <row r="20">
      <c r="A20" s="102" t="s">
        <v>343</v>
      </c>
      <c r="B20" s="102" t="s">
        <v>344</v>
      </c>
      <c r="C20" s="102" t="b">
        <v>1</v>
      </c>
      <c r="D20" s="102" t="b">
        <v>1</v>
      </c>
      <c r="E20" s="102" t="b">
        <v>1</v>
      </c>
      <c r="F20" s="104"/>
      <c r="G20" s="104"/>
      <c r="H20" s="104"/>
      <c r="I20" s="104"/>
      <c r="J20" s="104"/>
      <c r="K20" s="104"/>
      <c r="L20" s="104"/>
      <c r="M20" s="104"/>
      <c r="N20" s="104"/>
      <c r="O20" s="104"/>
      <c r="P20" s="104"/>
      <c r="Q20" s="104"/>
      <c r="R20" s="20"/>
      <c r="S20" s="20"/>
      <c r="T20" s="20"/>
      <c r="U20" s="20"/>
      <c r="V20" s="20"/>
      <c r="W20" s="20"/>
      <c r="X20" s="20"/>
      <c r="Y20" s="20"/>
      <c r="Z20" s="20"/>
    </row>
    <row r="21">
      <c r="A21" s="109" t="s">
        <v>345</v>
      </c>
      <c r="B21" s="109" t="s">
        <v>346</v>
      </c>
      <c r="C21" s="109" t="s">
        <v>468</v>
      </c>
      <c r="D21" s="109" t="s">
        <v>469</v>
      </c>
      <c r="E21" s="109" t="s">
        <v>470</v>
      </c>
      <c r="F21" s="111"/>
      <c r="G21" s="111"/>
      <c r="H21" s="111"/>
      <c r="I21" s="111"/>
      <c r="J21" s="111"/>
      <c r="K21" s="111"/>
      <c r="L21" s="111"/>
      <c r="M21" s="111"/>
      <c r="N21" s="111"/>
      <c r="O21" s="111"/>
      <c r="P21" s="111"/>
      <c r="Q21" s="111"/>
      <c r="R21" s="20"/>
      <c r="S21" s="20"/>
      <c r="T21" s="20"/>
      <c r="U21" s="20"/>
      <c r="V21" s="20"/>
      <c r="W21" s="20"/>
      <c r="X21" s="20"/>
      <c r="Y21" s="20"/>
      <c r="Z21" s="20"/>
    </row>
    <row r="22">
      <c r="A22" s="5" t="s">
        <v>347</v>
      </c>
      <c r="B22" s="2" t="s">
        <v>348</v>
      </c>
      <c r="C22" s="5" t="s">
        <v>471</v>
      </c>
      <c r="D22" s="5" t="s">
        <v>472</v>
      </c>
      <c r="E22" s="5" t="s">
        <v>473</v>
      </c>
      <c r="F22" s="20"/>
      <c r="G22" s="20"/>
      <c r="H22" s="20"/>
      <c r="I22" s="20"/>
      <c r="J22" s="20"/>
      <c r="K22" s="20"/>
      <c r="L22" s="20"/>
      <c r="M22" s="20"/>
      <c r="N22" s="20"/>
      <c r="O22" s="20"/>
      <c r="P22" s="20"/>
      <c r="Q22" s="20"/>
      <c r="R22" s="20"/>
      <c r="S22" s="20"/>
      <c r="T22" s="20"/>
      <c r="U22" s="20"/>
      <c r="V22" s="20"/>
      <c r="W22" s="20"/>
      <c r="X22" s="20"/>
      <c r="Y22" s="20"/>
      <c r="Z22" s="20"/>
    </row>
    <row r="23">
      <c r="A23" s="5" t="s">
        <v>349</v>
      </c>
      <c r="B23" s="20"/>
      <c r="C23" s="5" t="s">
        <v>474</v>
      </c>
      <c r="D23" s="5" t="s">
        <v>475</v>
      </c>
      <c r="E23" s="5" t="s">
        <v>313</v>
      </c>
      <c r="F23" s="20"/>
      <c r="G23" s="20"/>
      <c r="H23" s="20"/>
      <c r="I23" s="20"/>
      <c r="J23" s="20"/>
      <c r="K23" s="20"/>
      <c r="L23" s="20"/>
      <c r="M23" s="20"/>
      <c r="N23" s="20"/>
      <c r="O23" s="20"/>
      <c r="P23" s="20"/>
      <c r="Q23" s="20"/>
      <c r="R23" s="20"/>
      <c r="S23" s="20"/>
      <c r="T23" s="20"/>
      <c r="U23" s="20"/>
      <c r="V23" s="20"/>
      <c r="W23" s="20"/>
      <c r="X23" s="20"/>
      <c r="Y23" s="20"/>
      <c r="Z23" s="20"/>
    </row>
    <row r="24">
      <c r="A24" s="5" t="s">
        <v>350</v>
      </c>
      <c r="B24" s="5" t="s">
        <v>351</v>
      </c>
      <c r="C24" s="158">
        <f>74.093/24.305*1.15</f>
        <v>3.505737503</v>
      </c>
      <c r="D24" s="5">
        <v>1.0</v>
      </c>
      <c r="E24" s="5">
        <v>0.5</v>
      </c>
      <c r="F24" s="20"/>
      <c r="G24" s="20"/>
      <c r="H24" s="20"/>
      <c r="I24" s="20"/>
      <c r="J24" s="20"/>
      <c r="K24" s="20"/>
      <c r="L24" s="20"/>
      <c r="M24" s="20"/>
      <c r="N24" s="20"/>
      <c r="O24" s="20"/>
      <c r="P24" s="20"/>
      <c r="Q24" s="20"/>
      <c r="R24" s="20"/>
      <c r="S24" s="20"/>
      <c r="T24" s="20"/>
      <c r="U24" s="20"/>
      <c r="V24" s="20"/>
      <c r="W24" s="20"/>
      <c r="X24" s="20"/>
      <c r="Y24" s="20"/>
      <c r="Z24" s="20"/>
    </row>
    <row r="25">
      <c r="A25" s="5" t="s">
        <v>352</v>
      </c>
      <c r="B25" s="5" t="s">
        <v>353</v>
      </c>
      <c r="C25" s="5">
        <v>1.0</v>
      </c>
      <c r="D25" s="96">
        <v>1.0</v>
      </c>
      <c r="E25" s="5">
        <v>0.0</v>
      </c>
      <c r="F25" s="20"/>
      <c r="G25" s="20"/>
      <c r="H25" s="20"/>
      <c r="I25" s="20"/>
      <c r="J25" s="20"/>
      <c r="K25" s="20"/>
      <c r="L25" s="20"/>
      <c r="M25" s="20"/>
      <c r="N25" s="20"/>
      <c r="O25" s="20"/>
      <c r="P25" s="20"/>
      <c r="Q25" s="20"/>
      <c r="R25" s="20"/>
      <c r="S25" s="20"/>
      <c r="T25" s="20"/>
      <c r="U25" s="20"/>
      <c r="V25" s="20"/>
      <c r="W25" s="20"/>
      <c r="X25" s="20"/>
      <c r="Y25" s="20"/>
      <c r="Z25" s="20"/>
    </row>
    <row r="26">
      <c r="A26" s="5" t="s">
        <v>354</v>
      </c>
      <c r="B26" s="20"/>
      <c r="C26" s="5" t="s">
        <v>476</v>
      </c>
      <c r="D26" s="5" t="s">
        <v>477</v>
      </c>
      <c r="E26" s="5" t="s">
        <v>478</v>
      </c>
      <c r="F26" s="20"/>
      <c r="G26" s="20"/>
      <c r="H26" s="20"/>
      <c r="I26" s="20"/>
      <c r="J26" s="20"/>
      <c r="K26" s="20"/>
      <c r="L26" s="20"/>
      <c r="M26" s="20"/>
      <c r="N26" s="20"/>
      <c r="O26" s="20"/>
      <c r="P26" s="20"/>
      <c r="Q26" s="20"/>
      <c r="R26" s="20"/>
      <c r="S26" s="20"/>
      <c r="T26" s="20"/>
      <c r="U26" s="20"/>
      <c r="V26" s="20"/>
      <c r="W26" s="20"/>
      <c r="X26" s="20"/>
      <c r="Y26" s="20"/>
      <c r="Z26" s="20"/>
    </row>
    <row r="27">
      <c r="A27" s="5" t="s">
        <v>355</v>
      </c>
      <c r="B27" s="5" t="s">
        <v>346</v>
      </c>
      <c r="C27" s="5" t="s">
        <v>479</v>
      </c>
      <c r="D27" s="5" t="s">
        <v>480</v>
      </c>
      <c r="E27" s="5" t="s">
        <v>481</v>
      </c>
      <c r="F27" s="20"/>
      <c r="G27" s="20"/>
      <c r="H27" s="20"/>
      <c r="I27" s="20"/>
      <c r="J27" s="20"/>
      <c r="K27" s="20"/>
      <c r="L27" s="20"/>
      <c r="M27" s="20"/>
      <c r="N27" s="20"/>
      <c r="O27" s="20"/>
      <c r="P27" s="20"/>
      <c r="Q27" s="20"/>
      <c r="R27" s="20"/>
      <c r="S27" s="20"/>
      <c r="T27" s="20"/>
      <c r="U27" s="20"/>
      <c r="V27" s="20"/>
      <c r="W27" s="20"/>
      <c r="X27" s="20"/>
      <c r="Y27" s="20"/>
      <c r="Z27" s="20"/>
    </row>
    <row r="28">
      <c r="A28" s="5" t="s">
        <v>356</v>
      </c>
      <c r="B28" s="2" t="s">
        <v>348</v>
      </c>
      <c r="C28" s="5" t="s">
        <v>266</v>
      </c>
      <c r="D28" s="5" t="s">
        <v>482</v>
      </c>
      <c r="E28" s="5" t="s">
        <v>483</v>
      </c>
      <c r="F28" s="20"/>
      <c r="G28" s="20"/>
      <c r="H28" s="20"/>
      <c r="I28" s="20"/>
      <c r="J28" s="20"/>
      <c r="K28" s="20"/>
      <c r="L28" s="20"/>
      <c r="M28" s="20"/>
      <c r="N28" s="20"/>
      <c r="O28" s="20"/>
      <c r="P28" s="20"/>
      <c r="Q28" s="20"/>
      <c r="R28" s="20"/>
      <c r="S28" s="20"/>
      <c r="T28" s="20"/>
      <c r="U28" s="20"/>
      <c r="V28" s="20"/>
      <c r="W28" s="20"/>
      <c r="X28" s="20"/>
      <c r="Y28" s="20"/>
      <c r="Z28" s="20"/>
    </row>
    <row r="29">
      <c r="A29" s="5" t="s">
        <v>357</v>
      </c>
      <c r="B29" s="20"/>
      <c r="C29" s="5" t="s">
        <v>313</v>
      </c>
      <c r="D29" s="5" t="s">
        <v>475</v>
      </c>
      <c r="E29" s="5" t="s">
        <v>313</v>
      </c>
      <c r="F29" s="20"/>
      <c r="G29" s="20"/>
      <c r="H29" s="20"/>
      <c r="I29" s="20"/>
      <c r="J29" s="20"/>
      <c r="K29" s="20"/>
      <c r="L29" s="20"/>
      <c r="M29" s="20"/>
      <c r="N29" s="20"/>
      <c r="O29" s="20"/>
      <c r="P29" s="20"/>
      <c r="Q29" s="20"/>
      <c r="R29" s="20"/>
      <c r="S29" s="20"/>
      <c r="T29" s="20"/>
      <c r="U29" s="20"/>
      <c r="V29" s="20"/>
      <c r="W29" s="20"/>
      <c r="X29" s="20"/>
      <c r="Y29" s="20"/>
      <c r="Z29" s="20"/>
    </row>
    <row r="30">
      <c r="A30" s="5" t="s">
        <v>358</v>
      </c>
      <c r="B30" s="5" t="s">
        <v>351</v>
      </c>
      <c r="C30" s="96">
        <f>C24*8500/10^9</f>
        <v>0.00002979876877</v>
      </c>
      <c r="D30" s="96">
        <v>1.1</v>
      </c>
      <c r="E30" s="2">
        <v>1.0</v>
      </c>
      <c r="F30" s="20"/>
      <c r="G30" s="20"/>
      <c r="H30" s="20"/>
      <c r="I30" s="20"/>
      <c r="J30" s="20"/>
      <c r="K30" s="20"/>
      <c r="L30" s="20"/>
      <c r="M30" s="20"/>
      <c r="N30" s="20"/>
      <c r="O30" s="20"/>
      <c r="P30" s="20"/>
      <c r="Q30" s="20"/>
      <c r="R30" s="20"/>
      <c r="S30" s="20"/>
      <c r="T30" s="20"/>
      <c r="U30" s="20"/>
      <c r="V30" s="20"/>
      <c r="W30" s="20"/>
      <c r="X30" s="20"/>
      <c r="Y30" s="20"/>
      <c r="Z30" s="20"/>
    </row>
    <row r="31">
      <c r="A31" s="5" t="s">
        <v>359</v>
      </c>
      <c r="B31" s="5" t="s">
        <v>353</v>
      </c>
      <c r="C31" s="5">
        <v>0.0</v>
      </c>
      <c r="D31" s="5">
        <v>0.0</v>
      </c>
      <c r="E31" s="5">
        <v>0.0</v>
      </c>
      <c r="F31" s="20"/>
      <c r="G31" s="20"/>
      <c r="H31" s="20"/>
      <c r="I31" s="20"/>
      <c r="J31" s="20"/>
      <c r="K31" s="20"/>
      <c r="L31" s="20"/>
      <c r="M31" s="20"/>
      <c r="N31" s="20"/>
      <c r="O31" s="20"/>
      <c r="P31" s="20"/>
      <c r="Q31" s="20"/>
      <c r="R31" s="20"/>
      <c r="S31" s="20"/>
      <c r="T31" s="20"/>
      <c r="U31" s="20"/>
      <c r="V31" s="20"/>
      <c r="W31" s="20"/>
      <c r="X31" s="20"/>
      <c r="Y31" s="20"/>
      <c r="Z31" s="20"/>
    </row>
    <row r="32">
      <c r="A32" s="5" t="s">
        <v>360</v>
      </c>
      <c r="B32" s="20"/>
      <c r="C32" s="5" t="s">
        <v>484</v>
      </c>
      <c r="D32" s="5" t="s">
        <v>485</v>
      </c>
      <c r="E32" s="5" t="s">
        <v>486</v>
      </c>
      <c r="F32" s="20"/>
      <c r="G32" s="20"/>
      <c r="H32" s="20"/>
      <c r="I32" s="20"/>
      <c r="J32" s="20"/>
      <c r="K32" s="20"/>
      <c r="L32" s="20"/>
      <c r="M32" s="20"/>
      <c r="N32" s="20"/>
      <c r="O32" s="20"/>
      <c r="P32" s="20"/>
      <c r="Q32" s="20"/>
      <c r="R32" s="20"/>
      <c r="S32" s="20"/>
      <c r="T32" s="20"/>
      <c r="U32" s="20"/>
      <c r="V32" s="20"/>
      <c r="W32" s="20"/>
      <c r="X32" s="20"/>
      <c r="Y32" s="20"/>
      <c r="Z32" s="20"/>
    </row>
    <row r="33">
      <c r="A33" s="5" t="s">
        <v>361</v>
      </c>
      <c r="B33" s="5" t="s">
        <v>346</v>
      </c>
      <c r="E33" s="2" t="s">
        <v>487</v>
      </c>
      <c r="F33" s="20"/>
      <c r="G33" s="20"/>
      <c r="H33" s="20"/>
      <c r="I33" s="20"/>
      <c r="J33" s="20"/>
      <c r="K33" s="20"/>
      <c r="L33" s="20"/>
      <c r="M33" s="20"/>
      <c r="N33" s="20"/>
      <c r="O33" s="20"/>
      <c r="P33" s="20"/>
      <c r="Q33" s="20"/>
      <c r="R33" s="20"/>
      <c r="S33" s="20"/>
      <c r="T33" s="20"/>
      <c r="U33" s="20"/>
      <c r="V33" s="20"/>
      <c r="W33" s="20"/>
      <c r="X33" s="20"/>
      <c r="Y33" s="20"/>
      <c r="Z33" s="20"/>
    </row>
    <row r="34">
      <c r="A34" s="5" t="s">
        <v>362</v>
      </c>
      <c r="B34" s="2" t="s">
        <v>348</v>
      </c>
      <c r="E34" s="2" t="s">
        <v>488</v>
      </c>
      <c r="F34" s="20"/>
      <c r="G34" s="20"/>
      <c r="H34" s="20"/>
      <c r="I34" s="20"/>
      <c r="J34" s="20"/>
      <c r="K34" s="20"/>
      <c r="L34" s="20"/>
      <c r="M34" s="20"/>
      <c r="N34" s="20"/>
      <c r="O34" s="20"/>
      <c r="P34" s="20"/>
      <c r="Q34" s="20"/>
      <c r="R34" s="20"/>
      <c r="S34" s="20"/>
      <c r="T34" s="20"/>
      <c r="U34" s="20"/>
      <c r="V34" s="20"/>
      <c r="W34" s="20"/>
      <c r="X34" s="20"/>
      <c r="Y34" s="20"/>
      <c r="Z34" s="20"/>
    </row>
    <row r="35">
      <c r="A35" s="5" t="s">
        <v>363</v>
      </c>
      <c r="E35" s="2" t="s">
        <v>453</v>
      </c>
      <c r="F35" s="20"/>
      <c r="G35" s="20"/>
      <c r="H35" s="20"/>
      <c r="I35" s="20"/>
      <c r="J35" s="20"/>
      <c r="K35" s="20"/>
      <c r="L35" s="20"/>
      <c r="M35" s="20"/>
      <c r="N35" s="20"/>
      <c r="O35" s="20"/>
      <c r="P35" s="20"/>
      <c r="Q35" s="20"/>
      <c r="R35" s="20"/>
      <c r="S35" s="20"/>
      <c r="T35" s="20"/>
      <c r="U35" s="20"/>
      <c r="V35" s="20"/>
      <c r="W35" s="20"/>
      <c r="X35" s="20"/>
      <c r="Y35" s="20"/>
      <c r="Z35" s="20"/>
    </row>
    <row r="36">
      <c r="A36" s="5" t="s">
        <v>364</v>
      </c>
      <c r="B36" s="5" t="s">
        <v>351</v>
      </c>
      <c r="E36" s="2">
        <v>0.01</v>
      </c>
      <c r="F36" s="20"/>
      <c r="G36" s="20"/>
      <c r="H36" s="20"/>
      <c r="I36" s="20"/>
      <c r="J36" s="20"/>
      <c r="K36" s="20"/>
      <c r="L36" s="20"/>
      <c r="M36" s="20"/>
      <c r="N36" s="20"/>
      <c r="O36" s="20"/>
      <c r="P36" s="20"/>
      <c r="Q36" s="20"/>
      <c r="R36" s="20"/>
      <c r="S36" s="20"/>
      <c r="T36" s="20"/>
      <c r="U36" s="20"/>
      <c r="V36" s="20"/>
      <c r="W36" s="20"/>
      <c r="X36" s="20"/>
      <c r="Y36" s="20"/>
      <c r="Z36" s="20"/>
    </row>
    <row r="37">
      <c r="A37" s="5" t="s">
        <v>365</v>
      </c>
      <c r="B37" s="5" t="s">
        <v>353</v>
      </c>
      <c r="E37" s="2">
        <v>0.0</v>
      </c>
      <c r="F37" s="20"/>
      <c r="G37" s="20"/>
      <c r="H37" s="20"/>
      <c r="I37" s="20"/>
      <c r="J37" s="20"/>
      <c r="K37" s="20"/>
      <c r="L37" s="20"/>
      <c r="M37" s="20"/>
      <c r="N37" s="20"/>
      <c r="O37" s="20"/>
      <c r="P37" s="20"/>
      <c r="Q37" s="20"/>
      <c r="R37" s="20"/>
      <c r="S37" s="20"/>
      <c r="T37" s="20"/>
      <c r="U37" s="20"/>
      <c r="V37" s="20"/>
      <c r="W37" s="20"/>
      <c r="X37" s="20"/>
      <c r="Y37" s="20"/>
      <c r="Z37" s="20"/>
    </row>
    <row r="38">
      <c r="A38" s="102" t="s">
        <v>366</v>
      </c>
      <c r="B38" s="102"/>
      <c r="C38" s="102"/>
      <c r="D38" s="102"/>
      <c r="E38" s="102" t="s">
        <v>489</v>
      </c>
      <c r="F38" s="104"/>
      <c r="G38" s="104"/>
      <c r="H38" s="104"/>
      <c r="I38" s="104"/>
      <c r="J38" s="104"/>
      <c r="K38" s="104"/>
      <c r="L38" s="104"/>
      <c r="M38" s="104"/>
      <c r="N38" s="104"/>
      <c r="O38" s="104"/>
      <c r="P38" s="104"/>
      <c r="Q38" s="104"/>
      <c r="R38" s="20"/>
      <c r="S38" s="20"/>
      <c r="T38" s="20"/>
      <c r="U38" s="20"/>
      <c r="V38" s="20"/>
      <c r="W38" s="20"/>
      <c r="X38" s="20"/>
      <c r="Y38" s="20"/>
      <c r="Z38" s="20"/>
    </row>
    <row r="39">
      <c r="A39" s="109" t="s">
        <v>367</v>
      </c>
      <c r="B39" s="109" t="s">
        <v>368</v>
      </c>
      <c r="C39" s="109" t="s">
        <v>460</v>
      </c>
      <c r="D39" s="109" t="s">
        <v>461</v>
      </c>
      <c r="E39" s="109" t="s">
        <v>462</v>
      </c>
      <c r="F39" s="111"/>
      <c r="G39" s="111"/>
      <c r="H39" s="111"/>
      <c r="I39" s="111"/>
      <c r="J39" s="111"/>
      <c r="K39" s="111"/>
      <c r="L39" s="111"/>
      <c r="M39" s="111"/>
      <c r="N39" s="111"/>
      <c r="O39" s="111"/>
      <c r="P39" s="111"/>
      <c r="Q39" s="111"/>
      <c r="R39" s="20"/>
      <c r="S39" s="20"/>
      <c r="T39" s="20"/>
      <c r="U39" s="20"/>
      <c r="V39" s="20"/>
      <c r="W39" s="20"/>
      <c r="X39" s="20"/>
      <c r="Y39" s="20"/>
      <c r="Z39" s="20"/>
    </row>
    <row r="40">
      <c r="A40" s="5" t="s">
        <v>370</v>
      </c>
      <c r="B40" s="5" t="s">
        <v>371</v>
      </c>
      <c r="C40" s="5" t="s">
        <v>438</v>
      </c>
      <c r="D40" s="5" t="s">
        <v>439</v>
      </c>
      <c r="E40" s="5" t="s">
        <v>372</v>
      </c>
      <c r="F40" s="20"/>
      <c r="G40" s="20"/>
      <c r="H40" s="20"/>
      <c r="I40" s="20"/>
      <c r="J40" s="20"/>
      <c r="K40" s="20"/>
      <c r="L40" s="20"/>
      <c r="M40" s="20"/>
      <c r="N40" s="20"/>
      <c r="O40" s="20"/>
      <c r="P40" s="20"/>
      <c r="Q40" s="20"/>
      <c r="R40" s="20"/>
      <c r="S40" s="20"/>
      <c r="T40" s="20"/>
      <c r="U40" s="20"/>
      <c r="V40" s="20"/>
      <c r="W40" s="20"/>
      <c r="X40" s="20"/>
      <c r="Y40" s="20"/>
      <c r="Z40" s="20"/>
    </row>
    <row r="41">
      <c r="A41" s="5" t="s">
        <v>377</v>
      </c>
      <c r="B41" s="11" t="s">
        <v>376</v>
      </c>
      <c r="C41" s="5" t="s">
        <v>464</v>
      </c>
      <c r="D41" s="5" t="s">
        <v>465</v>
      </c>
      <c r="E41" s="5" t="s">
        <v>490</v>
      </c>
      <c r="F41" s="5"/>
      <c r="G41" s="20"/>
      <c r="H41" s="20"/>
      <c r="I41" s="20"/>
      <c r="J41" s="20"/>
      <c r="K41" s="20"/>
      <c r="L41" s="20"/>
      <c r="M41" s="20"/>
      <c r="N41" s="20"/>
      <c r="O41" s="20"/>
      <c r="P41" s="20"/>
      <c r="Q41" s="20"/>
      <c r="R41" s="20"/>
      <c r="S41" s="20"/>
      <c r="T41" s="20"/>
      <c r="U41" s="20"/>
      <c r="V41" s="20"/>
      <c r="W41" s="20"/>
      <c r="X41" s="20"/>
      <c r="Y41" s="20"/>
      <c r="Z41" s="20"/>
    </row>
    <row r="42">
      <c r="A42" s="5" t="s">
        <v>375</v>
      </c>
      <c r="B42" s="5" t="s">
        <v>378</v>
      </c>
      <c r="C42" s="5">
        <v>1.0</v>
      </c>
      <c r="D42" s="5">
        <v>1.0</v>
      </c>
      <c r="E42" s="5">
        <v>1.0</v>
      </c>
      <c r="F42" s="5"/>
      <c r="G42" s="20"/>
      <c r="H42" s="20"/>
      <c r="I42" s="20"/>
      <c r="J42" s="20"/>
      <c r="K42" s="20"/>
      <c r="L42" s="20"/>
      <c r="M42" s="20"/>
      <c r="N42" s="20"/>
      <c r="O42" s="20"/>
      <c r="P42" s="20"/>
      <c r="Q42" s="20"/>
    </row>
    <row r="43">
      <c r="A43" s="5" t="s">
        <v>380</v>
      </c>
      <c r="B43" s="20"/>
      <c r="C43" s="5" t="s">
        <v>332</v>
      </c>
      <c r="D43" s="5" t="s">
        <v>381</v>
      </c>
      <c r="E43" s="5" t="s">
        <v>381</v>
      </c>
      <c r="F43" s="5"/>
      <c r="G43" s="20"/>
      <c r="H43" s="20"/>
      <c r="I43" s="20"/>
      <c r="J43" s="20"/>
      <c r="K43" s="20"/>
      <c r="L43" s="20"/>
      <c r="M43" s="20"/>
      <c r="N43" s="20"/>
      <c r="O43" s="20"/>
      <c r="P43" s="20"/>
      <c r="Q43" s="20"/>
      <c r="R43" s="20"/>
      <c r="S43" s="20"/>
      <c r="T43" s="20"/>
      <c r="U43" s="20"/>
      <c r="V43" s="20"/>
      <c r="W43" s="20"/>
      <c r="X43" s="20"/>
      <c r="Y43" s="20"/>
      <c r="Z43" s="20"/>
    </row>
    <row r="44">
      <c r="A44" s="154" t="s">
        <v>383</v>
      </c>
      <c r="B44" s="163"/>
      <c r="C44" s="162"/>
      <c r="D44" s="162"/>
      <c r="E44" s="162"/>
      <c r="F44" s="163"/>
      <c r="G44" s="163"/>
      <c r="H44" s="163"/>
      <c r="I44" s="163"/>
      <c r="J44" s="163"/>
      <c r="K44" s="163"/>
      <c r="L44" s="163"/>
      <c r="M44" s="163"/>
      <c r="N44" s="163"/>
      <c r="O44" s="163"/>
      <c r="P44" s="163"/>
      <c r="Q44" s="163"/>
      <c r="R44" s="163"/>
      <c r="S44" s="163"/>
      <c r="T44" s="163"/>
      <c r="U44" s="163"/>
      <c r="V44" s="163"/>
      <c r="W44" s="163"/>
      <c r="X44" s="163"/>
      <c r="Y44" s="163"/>
      <c r="Z44" s="163"/>
    </row>
    <row r="45">
      <c r="A45" s="5" t="s">
        <v>382</v>
      </c>
      <c r="B45" s="20"/>
      <c r="C45" s="5"/>
      <c r="D45" s="5"/>
      <c r="E45" s="5"/>
      <c r="F45" s="20"/>
      <c r="G45" s="20"/>
      <c r="H45" s="20"/>
      <c r="I45" s="20"/>
      <c r="J45" s="20"/>
      <c r="K45" s="20"/>
      <c r="L45" s="20"/>
      <c r="M45" s="20"/>
      <c r="N45" s="20"/>
      <c r="O45" s="20"/>
      <c r="P45" s="20"/>
      <c r="Q45" s="20"/>
      <c r="R45" s="20"/>
      <c r="S45" s="20"/>
      <c r="T45" s="20"/>
      <c r="U45" s="20"/>
      <c r="V45" s="20"/>
      <c r="W45" s="20"/>
      <c r="X45" s="20"/>
      <c r="Y45" s="20"/>
      <c r="Z45" s="20"/>
    </row>
    <row r="46">
      <c r="A46" s="102" t="s">
        <v>387</v>
      </c>
      <c r="B46" s="102" t="s">
        <v>388</v>
      </c>
      <c r="C46" s="102" t="b">
        <v>1</v>
      </c>
      <c r="D46" s="102" t="b">
        <v>1</v>
      </c>
      <c r="E46" s="102" t="b">
        <v>1</v>
      </c>
      <c r="F46" s="104"/>
      <c r="G46" s="104"/>
      <c r="H46" s="104"/>
      <c r="I46" s="104"/>
      <c r="J46" s="104"/>
      <c r="K46" s="104"/>
      <c r="L46" s="104"/>
      <c r="M46" s="104"/>
      <c r="N46" s="104"/>
      <c r="O46" s="104"/>
      <c r="P46" s="104"/>
      <c r="Q46" s="104"/>
      <c r="R46" s="20"/>
      <c r="S46" s="20"/>
      <c r="T46" s="20"/>
      <c r="U46" s="20"/>
      <c r="V46" s="20"/>
      <c r="W46" s="20"/>
      <c r="X46" s="20"/>
      <c r="Y46" s="20"/>
      <c r="Z46" s="20"/>
    </row>
    <row r="47">
      <c r="A47" s="109" t="s">
        <v>389</v>
      </c>
      <c r="B47" s="109"/>
      <c r="C47" s="109" t="s">
        <v>491</v>
      </c>
      <c r="D47" s="109" t="s">
        <v>492</v>
      </c>
      <c r="E47" s="109" t="s">
        <v>493</v>
      </c>
      <c r="F47" s="111"/>
      <c r="G47" s="111"/>
      <c r="H47" s="111"/>
      <c r="I47" s="111"/>
      <c r="J47" s="111"/>
      <c r="K47" s="111"/>
      <c r="L47" s="111"/>
      <c r="M47" s="111"/>
      <c r="N47" s="111"/>
      <c r="O47" s="111"/>
      <c r="P47" s="111"/>
      <c r="Q47" s="111"/>
      <c r="R47" s="20"/>
      <c r="S47" s="20"/>
      <c r="T47" s="20"/>
      <c r="U47" s="20"/>
      <c r="V47" s="20"/>
      <c r="W47" s="20"/>
      <c r="X47" s="20"/>
      <c r="Y47" s="20"/>
      <c r="Z47" s="20"/>
    </row>
    <row r="48">
      <c r="A48" s="5" t="s">
        <v>390</v>
      </c>
      <c r="B48" s="20"/>
      <c r="C48" s="5" t="s">
        <v>494</v>
      </c>
      <c r="D48" s="5" t="s">
        <v>495</v>
      </c>
      <c r="E48" s="5" t="s">
        <v>496</v>
      </c>
      <c r="F48" s="5"/>
      <c r="G48" s="20"/>
      <c r="H48" s="20"/>
      <c r="I48" s="20"/>
      <c r="J48" s="20"/>
      <c r="K48" s="20"/>
      <c r="L48" s="20"/>
      <c r="M48" s="20"/>
      <c r="N48" s="20"/>
      <c r="O48" s="20"/>
      <c r="P48" s="20"/>
      <c r="Q48" s="20"/>
      <c r="R48" s="20"/>
      <c r="S48" s="20"/>
      <c r="T48" s="20"/>
      <c r="U48" s="20"/>
      <c r="V48" s="20"/>
      <c r="W48" s="20"/>
      <c r="X48" s="20"/>
      <c r="Y48" s="20"/>
      <c r="Z48" s="20"/>
    </row>
    <row r="49">
      <c r="A49" s="5" t="s">
        <v>392</v>
      </c>
      <c r="B49" s="20"/>
      <c r="C49" s="5">
        <v>0.05</v>
      </c>
      <c r="D49" s="5">
        <v>0.1</v>
      </c>
      <c r="E49" s="5">
        <v>0.04</v>
      </c>
      <c r="F49" s="5"/>
      <c r="G49" s="20"/>
      <c r="H49" s="20"/>
      <c r="I49" s="20"/>
      <c r="J49" s="20"/>
      <c r="K49" s="20"/>
      <c r="L49" s="20"/>
      <c r="M49" s="20"/>
      <c r="N49" s="20"/>
      <c r="O49" s="20"/>
      <c r="P49" s="20"/>
      <c r="Q49" s="20"/>
      <c r="R49" s="20"/>
      <c r="S49" s="20"/>
      <c r="T49" s="20"/>
      <c r="U49" s="20"/>
      <c r="V49" s="20"/>
      <c r="W49" s="20"/>
      <c r="X49" s="20"/>
      <c r="Y49" s="20"/>
      <c r="Z49" s="20"/>
    </row>
    <row r="50">
      <c r="A50" s="5" t="s">
        <v>393</v>
      </c>
      <c r="B50" s="20"/>
      <c r="C50" s="5"/>
      <c r="D50" s="5"/>
      <c r="E50" s="5"/>
      <c r="F50" s="5"/>
      <c r="G50" s="20"/>
      <c r="H50" s="20"/>
      <c r="I50" s="20"/>
      <c r="J50" s="20"/>
      <c r="K50" s="20"/>
      <c r="L50" s="20"/>
      <c r="M50" s="20"/>
      <c r="N50" s="20"/>
      <c r="O50" s="20"/>
      <c r="P50" s="20"/>
      <c r="Q50" s="20"/>
      <c r="R50" s="20"/>
      <c r="S50" s="20"/>
      <c r="T50" s="20"/>
      <c r="U50" s="20"/>
      <c r="V50" s="20"/>
      <c r="W50" s="20"/>
      <c r="X50" s="20"/>
      <c r="Y50" s="20"/>
      <c r="Z50" s="20"/>
    </row>
    <row r="51">
      <c r="A51" s="5" t="s">
        <v>394</v>
      </c>
      <c r="B51" s="20"/>
      <c r="C51" s="5" t="s">
        <v>497</v>
      </c>
      <c r="D51" s="5" t="s">
        <v>498</v>
      </c>
      <c r="E51" s="5" t="s">
        <v>499</v>
      </c>
      <c r="F51" s="5"/>
      <c r="G51" s="20"/>
      <c r="H51" s="20"/>
      <c r="I51" s="20"/>
      <c r="J51" s="20"/>
      <c r="K51" s="20"/>
      <c r="L51" s="20"/>
      <c r="M51" s="20"/>
      <c r="N51" s="20"/>
      <c r="O51" s="20"/>
      <c r="P51" s="20"/>
      <c r="Q51" s="20"/>
      <c r="R51" s="20"/>
      <c r="S51" s="20"/>
      <c r="T51" s="20"/>
      <c r="U51" s="20"/>
      <c r="V51" s="20"/>
      <c r="W51" s="20"/>
      <c r="X51" s="20"/>
      <c r="Y51" s="20"/>
      <c r="Z51" s="20"/>
    </row>
    <row r="52">
      <c r="A52" s="5" t="s">
        <v>395</v>
      </c>
      <c r="B52" s="20"/>
      <c r="C52" s="5">
        <v>1.0</v>
      </c>
      <c r="D52" s="5">
        <v>1.0</v>
      </c>
      <c r="E52" s="5">
        <v>1.0</v>
      </c>
      <c r="F52" s="20"/>
      <c r="G52" s="20"/>
      <c r="H52" s="20"/>
      <c r="I52" s="20"/>
      <c r="J52" s="20"/>
      <c r="K52" s="20"/>
      <c r="L52" s="20"/>
      <c r="M52" s="20"/>
      <c r="N52" s="20"/>
      <c r="O52" s="20"/>
      <c r="P52" s="20"/>
      <c r="Q52" s="20"/>
      <c r="R52" s="20"/>
      <c r="S52" s="20"/>
      <c r="T52" s="20"/>
      <c r="U52" s="20"/>
      <c r="V52" s="20"/>
      <c r="W52" s="20"/>
      <c r="X52" s="20"/>
      <c r="Y52" s="20"/>
      <c r="Z52" s="20"/>
    </row>
    <row r="53">
      <c r="A53" s="5" t="s">
        <v>396</v>
      </c>
      <c r="B53" s="20"/>
      <c r="C53" s="5" t="s">
        <v>500</v>
      </c>
      <c r="D53" s="20"/>
      <c r="E53" s="5" t="s">
        <v>501</v>
      </c>
      <c r="F53" s="20"/>
      <c r="G53" s="20"/>
      <c r="H53" s="20"/>
      <c r="I53" s="20"/>
      <c r="J53" s="20"/>
      <c r="K53" s="20"/>
      <c r="L53" s="20"/>
      <c r="M53" s="20"/>
      <c r="N53" s="20"/>
      <c r="O53" s="20"/>
      <c r="P53" s="20"/>
      <c r="Q53" s="20"/>
      <c r="R53" s="20"/>
      <c r="S53" s="20"/>
      <c r="T53" s="20"/>
      <c r="U53" s="20"/>
      <c r="V53" s="20"/>
      <c r="W53" s="20"/>
      <c r="X53" s="20"/>
      <c r="Y53" s="20"/>
      <c r="Z53" s="20"/>
    </row>
    <row r="54">
      <c r="A54" s="5" t="s">
        <v>397</v>
      </c>
      <c r="B54" s="20"/>
      <c r="C54" s="5" t="s">
        <v>496</v>
      </c>
      <c r="D54" s="20"/>
      <c r="E54" s="5" t="s">
        <v>502</v>
      </c>
      <c r="F54" s="20"/>
      <c r="G54" s="20"/>
      <c r="H54" s="20"/>
      <c r="I54" s="20"/>
      <c r="J54" s="20"/>
      <c r="K54" s="20"/>
      <c r="L54" s="20"/>
      <c r="M54" s="20"/>
      <c r="N54" s="20"/>
      <c r="O54" s="20"/>
      <c r="P54" s="20"/>
      <c r="Q54" s="20"/>
      <c r="R54" s="20"/>
      <c r="S54" s="20"/>
      <c r="T54" s="20"/>
      <c r="U54" s="20"/>
      <c r="V54" s="20"/>
      <c r="W54" s="20"/>
      <c r="X54" s="20"/>
      <c r="Y54" s="20"/>
      <c r="Z54" s="20"/>
    </row>
    <row r="55">
      <c r="A55" s="5" t="s">
        <v>398</v>
      </c>
      <c r="B55" s="20"/>
      <c r="C55" s="5">
        <v>0.05</v>
      </c>
      <c r="D55" s="20"/>
      <c r="E55" s="5">
        <v>0.01</v>
      </c>
      <c r="F55" s="20"/>
      <c r="G55" s="20"/>
      <c r="H55" s="20"/>
      <c r="I55" s="20"/>
      <c r="J55" s="20"/>
      <c r="K55" s="20"/>
      <c r="L55" s="20"/>
      <c r="M55" s="20"/>
      <c r="N55" s="20"/>
      <c r="O55" s="20"/>
      <c r="P55" s="20"/>
      <c r="Q55" s="20"/>
      <c r="R55" s="20"/>
      <c r="S55" s="20"/>
      <c r="T55" s="20"/>
      <c r="U55" s="20"/>
      <c r="V55" s="20"/>
      <c r="W55" s="20"/>
      <c r="X55" s="20"/>
      <c r="Y55" s="20"/>
      <c r="Z55" s="20"/>
    </row>
    <row r="56">
      <c r="A56" s="5" t="s">
        <v>399</v>
      </c>
      <c r="B56" s="20"/>
      <c r="C56" s="5"/>
      <c r="D56" s="20"/>
      <c r="E56" s="5"/>
      <c r="F56" s="20"/>
      <c r="G56" s="20"/>
      <c r="H56" s="20"/>
      <c r="I56" s="20"/>
      <c r="J56" s="20"/>
      <c r="K56" s="20"/>
      <c r="L56" s="20"/>
      <c r="M56" s="20"/>
      <c r="N56" s="20"/>
      <c r="O56" s="20"/>
      <c r="P56" s="20"/>
      <c r="Q56" s="20"/>
      <c r="R56" s="20"/>
      <c r="S56" s="20"/>
      <c r="T56" s="20"/>
      <c r="U56" s="20"/>
      <c r="V56" s="20"/>
      <c r="W56" s="20"/>
      <c r="X56" s="20"/>
      <c r="Y56" s="20"/>
      <c r="Z56" s="20"/>
    </row>
    <row r="57">
      <c r="A57" s="5" t="s">
        <v>400</v>
      </c>
      <c r="B57" s="20"/>
      <c r="C57" s="5" t="s">
        <v>503</v>
      </c>
      <c r="D57" s="20"/>
      <c r="E57" s="5" t="s">
        <v>504</v>
      </c>
      <c r="F57" s="20"/>
      <c r="G57" s="20"/>
      <c r="H57" s="20"/>
      <c r="I57" s="20"/>
      <c r="J57" s="20"/>
      <c r="K57" s="20"/>
      <c r="L57" s="20"/>
      <c r="M57" s="20"/>
      <c r="N57" s="20"/>
      <c r="O57" s="20"/>
      <c r="P57" s="20"/>
      <c r="Q57" s="20"/>
      <c r="R57" s="20"/>
      <c r="S57" s="20"/>
      <c r="T57" s="20"/>
      <c r="U57" s="20"/>
      <c r="V57" s="20"/>
      <c r="W57" s="20"/>
      <c r="X57" s="20"/>
      <c r="Y57" s="20"/>
      <c r="Z57" s="20"/>
    </row>
    <row r="58">
      <c r="A58" s="5" t="s">
        <v>401</v>
      </c>
      <c r="B58" s="20"/>
      <c r="C58" s="5">
        <v>1.0</v>
      </c>
      <c r="D58" s="20"/>
      <c r="E58" s="5">
        <v>1.0</v>
      </c>
      <c r="F58" s="20"/>
      <c r="G58" s="20"/>
      <c r="H58" s="20"/>
      <c r="I58" s="20"/>
      <c r="J58" s="20"/>
      <c r="K58" s="20"/>
      <c r="L58" s="20"/>
      <c r="M58" s="20"/>
      <c r="N58" s="20"/>
      <c r="O58" s="20"/>
      <c r="P58" s="20"/>
      <c r="Q58" s="20"/>
      <c r="R58" s="20"/>
      <c r="S58" s="20"/>
      <c r="T58" s="20"/>
      <c r="U58" s="20"/>
      <c r="V58" s="20"/>
      <c r="W58" s="20"/>
      <c r="X58" s="20"/>
      <c r="Y58" s="20"/>
      <c r="Z58" s="20"/>
    </row>
    <row r="59">
      <c r="D59" s="20"/>
      <c r="E59" s="20"/>
      <c r="F59" s="20"/>
      <c r="G59" s="20"/>
      <c r="H59" s="20"/>
      <c r="I59" s="20"/>
      <c r="J59" s="20"/>
      <c r="K59" s="20"/>
      <c r="L59" s="20"/>
      <c r="M59" s="20"/>
      <c r="N59" s="20"/>
      <c r="O59" s="20"/>
      <c r="P59" s="20"/>
      <c r="Q59" s="20"/>
      <c r="R59" s="20"/>
      <c r="S59" s="20"/>
      <c r="T59" s="20"/>
      <c r="U59" s="20"/>
      <c r="V59" s="20"/>
      <c r="W59" s="20"/>
      <c r="X59" s="20"/>
      <c r="Y59" s="20"/>
      <c r="Z59" s="20"/>
    </row>
    <row r="60">
      <c r="A60" s="134"/>
      <c r="B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5"/>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51" t="s">
        <v>276</v>
      </c>
      <c r="B1" s="151" t="s">
        <v>7</v>
      </c>
      <c r="C1" s="151" t="s">
        <v>403</v>
      </c>
      <c r="D1" s="151"/>
      <c r="E1" s="151"/>
      <c r="F1" s="151"/>
      <c r="G1" s="151"/>
      <c r="H1" s="151"/>
      <c r="I1" s="43"/>
      <c r="J1" s="43"/>
      <c r="K1" s="43"/>
      <c r="L1" s="43"/>
      <c r="M1" s="43"/>
      <c r="N1" s="43"/>
      <c r="O1" s="43"/>
      <c r="P1" s="43"/>
      <c r="Q1" s="43"/>
      <c r="R1" s="43"/>
      <c r="S1" s="43"/>
      <c r="T1" s="43"/>
    </row>
    <row r="2">
      <c r="A2" s="5" t="s">
        <v>279</v>
      </c>
      <c r="B2" s="5" t="s">
        <v>280</v>
      </c>
      <c r="C2" s="5" t="s">
        <v>405</v>
      </c>
      <c r="D2" s="5"/>
      <c r="E2" s="5"/>
      <c r="F2" s="5"/>
      <c r="G2" s="5"/>
      <c r="H2" s="5"/>
      <c r="I2" s="20"/>
      <c r="J2" s="20"/>
      <c r="K2" s="20"/>
      <c r="L2" s="20"/>
      <c r="M2" s="20"/>
      <c r="N2" s="20"/>
      <c r="O2" s="20"/>
      <c r="P2" s="20"/>
      <c r="Q2" s="20"/>
      <c r="R2" s="20"/>
      <c r="S2" s="20"/>
      <c r="T2" s="20"/>
    </row>
    <row r="3">
      <c r="A3" s="5" t="s">
        <v>281</v>
      </c>
      <c r="B3" s="5" t="s">
        <v>406</v>
      </c>
      <c r="C3" s="5" t="s">
        <v>408</v>
      </c>
      <c r="D3" s="5"/>
      <c r="E3" s="5"/>
      <c r="F3" s="5"/>
      <c r="G3" s="5"/>
      <c r="H3" s="5"/>
      <c r="I3" s="20"/>
      <c r="J3" s="134"/>
      <c r="K3" s="134"/>
      <c r="L3" s="134"/>
      <c r="M3" s="134"/>
      <c r="N3" s="20"/>
      <c r="O3" s="20"/>
      <c r="P3" s="20"/>
      <c r="Q3" s="20"/>
      <c r="R3" s="20"/>
      <c r="S3" s="20"/>
      <c r="T3" s="20"/>
    </row>
    <row r="4">
      <c r="A4" s="5" t="s">
        <v>285</v>
      </c>
      <c r="B4" s="5" t="s">
        <v>286</v>
      </c>
      <c r="C4" s="5" t="s">
        <v>409</v>
      </c>
      <c r="D4" s="5"/>
      <c r="E4" s="5"/>
      <c r="F4" s="5"/>
      <c r="G4" s="5"/>
      <c r="H4" s="5"/>
      <c r="I4" s="20"/>
      <c r="J4" s="134"/>
      <c r="K4" s="134"/>
      <c r="L4" s="134"/>
      <c r="M4" s="134"/>
      <c r="N4" s="20"/>
      <c r="O4" s="20"/>
      <c r="P4" s="20"/>
      <c r="Q4" s="20"/>
      <c r="R4" s="20"/>
      <c r="S4" s="20"/>
      <c r="T4" s="20"/>
    </row>
    <row r="5">
      <c r="A5" s="5" t="s">
        <v>289</v>
      </c>
      <c r="B5" s="5" t="s">
        <v>290</v>
      </c>
      <c r="C5" s="5" t="s">
        <v>410</v>
      </c>
      <c r="D5" s="5"/>
      <c r="E5" s="5"/>
      <c r="F5" s="5"/>
      <c r="G5" s="5"/>
      <c r="H5" s="5"/>
      <c r="I5" s="20"/>
      <c r="J5" s="134"/>
      <c r="K5" s="134"/>
      <c r="L5" s="134"/>
      <c r="M5" s="134"/>
      <c r="N5" s="20"/>
      <c r="O5" s="20"/>
      <c r="P5" s="20"/>
      <c r="Q5" s="20"/>
      <c r="R5" s="20"/>
      <c r="S5" s="20"/>
      <c r="T5" s="20"/>
    </row>
    <row r="6">
      <c r="A6" s="152" t="s">
        <v>292</v>
      </c>
      <c r="B6" s="152"/>
      <c r="C6" s="114" t="s">
        <v>505</v>
      </c>
      <c r="D6" s="160"/>
      <c r="E6" s="160"/>
      <c r="F6" s="160"/>
      <c r="G6" s="160"/>
      <c r="H6" s="160"/>
      <c r="I6" s="160"/>
      <c r="J6" s="161"/>
      <c r="K6" s="161"/>
      <c r="L6" s="161"/>
      <c r="M6" s="161"/>
      <c r="N6" s="161"/>
      <c r="O6" s="161"/>
      <c r="P6" s="161"/>
      <c r="Q6" s="161"/>
      <c r="R6" s="161"/>
      <c r="S6" s="161"/>
      <c r="T6" s="161"/>
      <c r="U6" s="161"/>
      <c r="V6" s="161"/>
      <c r="W6" s="161"/>
      <c r="X6" s="161"/>
      <c r="Y6" s="161"/>
      <c r="Z6" s="161"/>
    </row>
    <row r="7">
      <c r="A7" s="154" t="s">
        <v>295</v>
      </c>
      <c r="B7" s="154"/>
      <c r="C7" s="11" t="s">
        <v>414</v>
      </c>
      <c r="D7" s="162"/>
      <c r="E7" s="162"/>
      <c r="F7" s="162"/>
      <c r="G7" s="162"/>
      <c r="H7" s="162"/>
      <c r="I7" s="162"/>
      <c r="J7" s="163"/>
      <c r="K7" s="163"/>
      <c r="L7" s="163"/>
      <c r="M7" s="163"/>
      <c r="N7" s="163"/>
      <c r="O7" s="163"/>
      <c r="P7" s="163"/>
      <c r="Q7" s="163"/>
      <c r="R7" s="163"/>
      <c r="S7" s="163"/>
      <c r="T7" s="163"/>
      <c r="U7" s="163"/>
      <c r="V7" s="163"/>
      <c r="W7" s="163"/>
      <c r="X7" s="163"/>
      <c r="Y7" s="163"/>
      <c r="Z7" s="163"/>
    </row>
    <row r="8">
      <c r="A8" s="11" t="s">
        <v>298</v>
      </c>
      <c r="B8" s="154" t="s">
        <v>299</v>
      </c>
      <c r="C8" s="5" t="s">
        <v>416</v>
      </c>
      <c r="D8" s="5"/>
      <c r="E8" s="5"/>
      <c r="F8" s="20"/>
      <c r="G8" s="11"/>
      <c r="H8" s="11"/>
      <c r="I8" s="164"/>
      <c r="J8" s="164"/>
      <c r="K8" s="164"/>
      <c r="L8" s="164"/>
      <c r="M8" s="164"/>
      <c r="N8" s="20"/>
      <c r="O8" s="20"/>
      <c r="P8" s="20"/>
      <c r="Q8" s="20"/>
      <c r="R8" s="20"/>
      <c r="S8" s="20"/>
      <c r="T8" s="20"/>
      <c r="U8" s="20"/>
      <c r="V8" s="20"/>
      <c r="W8" s="20"/>
      <c r="X8" s="20"/>
      <c r="Y8" s="20"/>
      <c r="Z8" s="20"/>
    </row>
    <row r="9">
      <c r="A9" s="11" t="s">
        <v>302</v>
      </c>
      <c r="B9" s="154"/>
      <c r="C9" s="5" t="s">
        <v>418</v>
      </c>
      <c r="D9" s="5"/>
      <c r="E9" s="5"/>
      <c r="F9" s="5"/>
      <c r="G9" s="5"/>
      <c r="H9" s="5"/>
      <c r="I9" s="20"/>
      <c r="J9" s="20"/>
      <c r="K9" s="20"/>
      <c r="L9" s="20"/>
      <c r="M9" s="20"/>
      <c r="N9" s="20"/>
      <c r="O9" s="20"/>
      <c r="P9" s="20"/>
      <c r="Q9" s="20"/>
      <c r="R9" s="20"/>
      <c r="S9" s="20"/>
      <c r="T9" s="20"/>
    </row>
    <row r="10">
      <c r="A10" s="154" t="s">
        <v>305</v>
      </c>
      <c r="B10" s="154" t="s">
        <v>306</v>
      </c>
      <c r="C10" s="165">
        <v>0.001</v>
      </c>
      <c r="D10" s="162"/>
      <c r="E10" s="162"/>
      <c r="F10" s="162"/>
      <c r="G10" s="162"/>
      <c r="H10" s="162"/>
      <c r="I10" s="163"/>
      <c r="J10" s="163"/>
      <c r="K10" s="163"/>
      <c r="L10" s="163"/>
      <c r="M10" s="163"/>
      <c r="N10" s="163"/>
      <c r="O10" s="163"/>
      <c r="P10" s="163"/>
      <c r="Q10" s="163"/>
      <c r="R10" s="163"/>
      <c r="S10" s="163"/>
      <c r="T10" s="163"/>
      <c r="U10" s="163"/>
      <c r="V10" s="163"/>
      <c r="W10" s="163"/>
      <c r="X10" s="163"/>
      <c r="Y10" s="163"/>
      <c r="Z10" s="20"/>
    </row>
    <row r="11">
      <c r="A11" s="156" t="s">
        <v>307</v>
      </c>
      <c r="B11" s="156" t="s">
        <v>308</v>
      </c>
      <c r="C11" s="107" t="s">
        <v>420</v>
      </c>
      <c r="D11" s="156"/>
      <c r="E11" s="166"/>
      <c r="F11" s="166"/>
      <c r="G11" s="166"/>
      <c r="H11" s="166"/>
      <c r="I11" s="167"/>
      <c r="J11" s="167"/>
      <c r="K11" s="167"/>
      <c r="L11" s="167"/>
      <c r="M11" s="167"/>
      <c r="N11" s="167"/>
      <c r="O11" s="167"/>
      <c r="P11" s="167"/>
      <c r="Q11" s="167"/>
      <c r="R11" s="167"/>
      <c r="S11" s="167"/>
      <c r="T11" s="167"/>
      <c r="U11" s="167"/>
      <c r="V11" s="167"/>
      <c r="W11" s="167"/>
      <c r="X11" s="167"/>
      <c r="Y11" s="167"/>
      <c r="Z11" s="20"/>
    </row>
    <row r="12">
      <c r="A12" s="152" t="s">
        <v>311</v>
      </c>
      <c r="B12" s="152" t="s">
        <v>312</v>
      </c>
      <c r="C12" s="109" t="s">
        <v>416</v>
      </c>
      <c r="D12" s="109"/>
      <c r="E12" s="109"/>
      <c r="F12" s="109"/>
      <c r="G12" s="109"/>
      <c r="H12" s="109"/>
      <c r="I12" s="111"/>
      <c r="J12" s="111"/>
      <c r="K12" s="111"/>
      <c r="L12" s="111"/>
      <c r="M12" s="111"/>
      <c r="N12" s="111"/>
      <c r="O12" s="111"/>
      <c r="P12" s="111"/>
      <c r="Q12" s="111"/>
      <c r="R12" s="111"/>
      <c r="S12" s="111"/>
      <c r="T12" s="111"/>
    </row>
    <row r="13">
      <c r="A13" s="154" t="s">
        <v>314</v>
      </c>
      <c r="B13" s="154" t="s">
        <v>315</v>
      </c>
      <c r="C13" s="168" t="s">
        <v>422</v>
      </c>
      <c r="D13" s="5"/>
      <c r="E13" s="5"/>
      <c r="F13" s="5"/>
      <c r="G13" s="5"/>
      <c r="H13" s="5"/>
      <c r="I13" s="20"/>
      <c r="J13" s="20"/>
      <c r="K13" s="20"/>
      <c r="L13" s="20"/>
      <c r="M13" s="20"/>
      <c r="N13" s="20"/>
      <c r="O13" s="20"/>
      <c r="P13" s="20"/>
      <c r="Q13" s="20"/>
      <c r="R13" s="20"/>
      <c r="S13" s="20"/>
      <c r="T13" s="20"/>
    </row>
    <row r="14">
      <c r="A14" s="154" t="s">
        <v>317</v>
      </c>
      <c r="B14" s="154" t="s">
        <v>318</v>
      </c>
      <c r="C14" s="5" t="s">
        <v>424</v>
      </c>
      <c r="D14" s="5"/>
      <c r="E14" s="5"/>
      <c r="F14" s="5"/>
      <c r="G14" s="5"/>
      <c r="H14" s="5"/>
      <c r="I14" s="20"/>
      <c r="J14" s="20"/>
      <c r="K14" s="20"/>
      <c r="L14" s="20"/>
      <c r="M14" s="20"/>
      <c r="N14" s="20"/>
      <c r="O14" s="20"/>
      <c r="P14" s="20"/>
      <c r="Q14" s="20"/>
      <c r="R14" s="20"/>
      <c r="S14" s="20"/>
      <c r="T14" s="20"/>
    </row>
    <row r="15">
      <c r="A15" s="156" t="s">
        <v>320</v>
      </c>
      <c r="B15" s="156" t="s">
        <v>321</v>
      </c>
      <c r="C15" s="5" t="s">
        <v>422</v>
      </c>
      <c r="D15" s="102"/>
      <c r="E15" s="5"/>
      <c r="F15" s="5"/>
      <c r="G15" s="5"/>
      <c r="H15" s="102"/>
      <c r="I15" s="104"/>
      <c r="J15" s="104"/>
      <c r="K15" s="104"/>
      <c r="L15" s="104"/>
      <c r="M15" s="104"/>
      <c r="N15" s="104"/>
      <c r="O15" s="104"/>
      <c r="P15" s="104"/>
      <c r="Q15" s="104"/>
      <c r="R15" s="104"/>
      <c r="S15" s="104"/>
      <c r="T15" s="104"/>
    </row>
    <row r="16">
      <c r="A16" s="109" t="s">
        <v>323</v>
      </c>
      <c r="B16" s="109"/>
      <c r="C16" s="109" t="s">
        <v>425</v>
      </c>
      <c r="D16" s="109"/>
      <c r="E16" s="109"/>
      <c r="F16" s="109"/>
      <c r="G16" s="109"/>
      <c r="H16" s="109"/>
      <c r="I16" s="111"/>
      <c r="J16" s="111"/>
      <c r="K16" s="111"/>
      <c r="L16" s="111"/>
      <c r="M16" s="111"/>
      <c r="N16" s="111"/>
      <c r="O16" s="111"/>
      <c r="P16" s="111"/>
      <c r="Q16" s="111"/>
      <c r="R16" s="111"/>
      <c r="S16" s="111"/>
      <c r="T16" s="111"/>
    </row>
    <row r="17">
      <c r="A17" s="11" t="s">
        <v>325</v>
      </c>
      <c r="B17" s="11" t="s">
        <v>326</v>
      </c>
      <c r="C17" s="5"/>
      <c r="D17" s="5"/>
      <c r="E17" s="157"/>
      <c r="F17" s="158"/>
      <c r="G17" s="5"/>
      <c r="H17" s="158"/>
      <c r="I17" s="20"/>
      <c r="J17" s="134"/>
      <c r="K17" s="134"/>
      <c r="L17" s="20"/>
      <c r="M17" s="20"/>
      <c r="N17" s="20"/>
      <c r="O17" s="20"/>
      <c r="P17" s="20"/>
      <c r="Q17" s="20"/>
      <c r="R17" s="20"/>
      <c r="S17" s="20"/>
      <c r="T17" s="20"/>
    </row>
    <row r="18">
      <c r="A18" s="5" t="s">
        <v>328</v>
      </c>
      <c r="B18" s="5" t="s">
        <v>329</v>
      </c>
      <c r="C18" s="71">
        <v>1.0</v>
      </c>
      <c r="D18" s="5"/>
      <c r="E18" s="157"/>
      <c r="F18" s="158"/>
      <c r="G18" s="5"/>
      <c r="H18" s="158"/>
      <c r="I18" s="20"/>
      <c r="J18" s="134"/>
      <c r="K18" s="134"/>
      <c r="L18" s="20"/>
      <c r="M18" s="20"/>
      <c r="N18" s="20"/>
      <c r="O18" s="20"/>
      <c r="P18" s="20"/>
      <c r="Q18" s="20"/>
      <c r="R18" s="20"/>
      <c r="S18" s="20"/>
      <c r="T18" s="20"/>
    </row>
    <row r="19">
      <c r="A19" s="5" t="s">
        <v>330</v>
      </c>
      <c r="B19" s="5" t="s">
        <v>331</v>
      </c>
      <c r="C19" s="5" t="s">
        <v>313</v>
      </c>
      <c r="D19" s="5"/>
      <c r="E19" s="5"/>
      <c r="F19" s="5"/>
      <c r="G19" s="5"/>
      <c r="H19" s="5"/>
      <c r="I19" s="20"/>
      <c r="J19" s="20"/>
      <c r="K19" s="20"/>
      <c r="L19" s="20"/>
      <c r="M19" s="20"/>
      <c r="N19" s="20"/>
      <c r="O19" s="20"/>
      <c r="P19" s="20"/>
      <c r="Q19" s="20"/>
      <c r="R19" s="20"/>
      <c r="S19" s="20"/>
      <c r="T19" s="20"/>
    </row>
    <row r="20">
      <c r="A20" s="5" t="s">
        <v>334</v>
      </c>
      <c r="B20" s="5" t="s">
        <v>335</v>
      </c>
      <c r="C20" s="5"/>
      <c r="D20" s="5"/>
      <c r="E20" s="5"/>
      <c r="F20" s="5"/>
      <c r="G20" s="5"/>
      <c r="H20" s="5"/>
      <c r="I20" s="20"/>
      <c r="J20" s="20"/>
      <c r="K20" s="20"/>
      <c r="L20" s="20"/>
      <c r="M20" s="20"/>
      <c r="N20" s="20"/>
      <c r="O20" s="20"/>
      <c r="P20" s="20"/>
      <c r="Q20" s="20"/>
      <c r="R20" s="20"/>
      <c r="S20" s="20"/>
      <c r="T20" s="20"/>
    </row>
    <row r="21">
      <c r="A21" s="5" t="s">
        <v>336</v>
      </c>
      <c r="B21" s="5" t="s">
        <v>337</v>
      </c>
      <c r="C21" s="5" t="s">
        <v>506</v>
      </c>
      <c r="D21" s="5"/>
      <c r="E21" s="5"/>
      <c r="I21" s="20"/>
      <c r="J21" s="20"/>
      <c r="K21" s="20"/>
      <c r="L21" s="20"/>
      <c r="M21" s="20"/>
      <c r="N21" s="20"/>
      <c r="O21" s="20"/>
      <c r="P21" s="20"/>
      <c r="Q21" s="20"/>
      <c r="R21" s="20"/>
      <c r="S21" s="20"/>
      <c r="T21" s="20"/>
    </row>
    <row r="22">
      <c r="A22" s="5" t="s">
        <v>339</v>
      </c>
      <c r="B22" s="5" t="s">
        <v>340</v>
      </c>
      <c r="C22" s="5">
        <f>1/1000</f>
        <v>0.001</v>
      </c>
      <c r="D22" s="5"/>
      <c r="E22" s="5"/>
      <c r="F22" s="5"/>
      <c r="G22" s="5"/>
      <c r="H22" s="5"/>
      <c r="I22" s="20"/>
      <c r="J22" s="20"/>
      <c r="K22" s="20"/>
      <c r="L22" s="20"/>
      <c r="M22" s="20"/>
      <c r="N22" s="20"/>
      <c r="O22" s="20"/>
      <c r="P22" s="20"/>
      <c r="Q22" s="20"/>
      <c r="R22" s="20"/>
      <c r="S22" s="20"/>
      <c r="T22" s="20"/>
      <c r="U22" s="20"/>
      <c r="V22" s="20"/>
      <c r="W22" s="20"/>
      <c r="X22" s="20"/>
      <c r="Y22" s="20"/>
    </row>
    <row r="23">
      <c r="A23" s="5" t="s">
        <v>341</v>
      </c>
      <c r="B23" s="5" t="s">
        <v>342</v>
      </c>
      <c r="C23" s="5" t="s">
        <v>419</v>
      </c>
      <c r="D23" s="5"/>
      <c r="E23" s="5"/>
      <c r="F23" s="5"/>
      <c r="G23" s="5"/>
      <c r="H23" s="5"/>
      <c r="I23" s="20"/>
      <c r="J23" s="20"/>
      <c r="K23" s="20"/>
      <c r="L23" s="20"/>
      <c r="M23" s="20"/>
      <c r="N23" s="20"/>
      <c r="O23" s="20"/>
      <c r="P23" s="20"/>
      <c r="Q23" s="20"/>
      <c r="R23" s="20"/>
      <c r="S23" s="20"/>
      <c r="T23" s="20"/>
      <c r="U23" s="20"/>
      <c r="V23" s="20"/>
      <c r="W23" s="20"/>
      <c r="X23" s="20"/>
      <c r="Y23" s="20"/>
    </row>
    <row r="24">
      <c r="A24" s="102" t="s">
        <v>343</v>
      </c>
      <c r="B24" s="102" t="s">
        <v>344</v>
      </c>
      <c r="C24" s="102" t="b">
        <v>0</v>
      </c>
      <c r="D24" s="102"/>
      <c r="E24" s="102"/>
      <c r="F24" s="102"/>
      <c r="G24" s="102"/>
      <c r="H24" s="102"/>
      <c r="I24" s="104"/>
      <c r="J24" s="104"/>
      <c r="K24" s="104"/>
      <c r="L24" s="104"/>
      <c r="M24" s="104"/>
      <c r="N24" s="104"/>
      <c r="O24" s="104"/>
      <c r="P24" s="104"/>
      <c r="Q24" s="104"/>
      <c r="R24" s="104"/>
      <c r="S24" s="104"/>
      <c r="T24" s="104"/>
    </row>
    <row r="25">
      <c r="A25" s="109" t="s">
        <v>345</v>
      </c>
      <c r="B25" s="109" t="s">
        <v>346</v>
      </c>
      <c r="C25" s="109"/>
      <c r="D25" s="109"/>
      <c r="E25" s="109"/>
      <c r="F25" s="109"/>
      <c r="G25" s="109"/>
      <c r="H25" s="109"/>
      <c r="I25" s="111"/>
      <c r="J25" s="111"/>
      <c r="K25" s="111"/>
      <c r="L25" s="111"/>
      <c r="M25" s="111"/>
      <c r="N25" s="111"/>
      <c r="O25" s="111"/>
      <c r="P25" s="111"/>
      <c r="Q25" s="111"/>
      <c r="R25" s="111"/>
      <c r="S25" s="111"/>
      <c r="T25" s="111"/>
    </row>
    <row r="26">
      <c r="A26" s="5" t="s">
        <v>347</v>
      </c>
      <c r="B26" s="5" t="s">
        <v>348</v>
      </c>
      <c r="C26" s="5"/>
      <c r="D26" s="5"/>
      <c r="E26" s="5"/>
      <c r="G26" s="5"/>
      <c r="H26" s="20"/>
      <c r="I26" s="20"/>
      <c r="J26" s="20"/>
      <c r="K26" s="20"/>
      <c r="L26" s="20"/>
      <c r="M26" s="20"/>
      <c r="N26" s="20"/>
      <c r="O26" s="20"/>
      <c r="P26" s="20"/>
      <c r="Q26" s="20"/>
      <c r="R26" s="20"/>
      <c r="S26" s="20"/>
      <c r="T26" s="20"/>
    </row>
    <row r="27">
      <c r="A27" s="5" t="s">
        <v>349</v>
      </c>
      <c r="B27" s="20"/>
      <c r="C27" s="5"/>
      <c r="D27" s="5"/>
      <c r="E27" s="5"/>
      <c r="G27" s="5"/>
      <c r="H27" s="20"/>
      <c r="I27" s="20"/>
      <c r="J27" s="20"/>
      <c r="K27" s="20"/>
      <c r="L27" s="20"/>
      <c r="M27" s="20"/>
      <c r="N27" s="20"/>
      <c r="O27" s="20"/>
      <c r="P27" s="20"/>
      <c r="Q27" s="20"/>
      <c r="R27" s="20"/>
      <c r="S27" s="20"/>
      <c r="T27" s="20"/>
    </row>
    <row r="28">
      <c r="A28" s="5" t="s">
        <v>350</v>
      </c>
      <c r="B28" s="5" t="s">
        <v>351</v>
      </c>
      <c r="C28" s="5"/>
      <c r="D28" s="5"/>
      <c r="E28" s="5"/>
      <c r="G28" s="5"/>
      <c r="H28" s="20"/>
      <c r="I28" s="20"/>
      <c r="J28" s="20"/>
      <c r="K28" s="20"/>
      <c r="L28" s="20"/>
      <c r="M28" s="20"/>
      <c r="N28" s="20"/>
      <c r="O28" s="20"/>
      <c r="P28" s="20"/>
      <c r="Q28" s="20"/>
      <c r="R28" s="20"/>
      <c r="S28" s="20"/>
      <c r="T28" s="20"/>
    </row>
    <row r="29">
      <c r="A29" s="5" t="s">
        <v>352</v>
      </c>
      <c r="B29" s="5" t="s">
        <v>353</v>
      </c>
      <c r="C29" s="5"/>
      <c r="D29" s="5"/>
      <c r="E29" s="5"/>
      <c r="G29" s="5"/>
      <c r="H29" s="20"/>
      <c r="I29" s="20"/>
      <c r="J29" s="20"/>
      <c r="K29" s="20"/>
      <c r="L29" s="20"/>
      <c r="M29" s="20"/>
      <c r="N29" s="20"/>
      <c r="O29" s="20"/>
      <c r="P29" s="20"/>
      <c r="Q29" s="20"/>
      <c r="R29" s="20"/>
      <c r="S29" s="20"/>
      <c r="T29" s="20"/>
    </row>
    <row r="30">
      <c r="A30" s="5" t="s">
        <v>354</v>
      </c>
      <c r="B30" s="20"/>
      <c r="C30" s="5"/>
      <c r="D30" s="5"/>
      <c r="E30" s="5"/>
      <c r="G30" s="5"/>
      <c r="H30" s="20"/>
      <c r="I30" s="20"/>
      <c r="J30" s="20"/>
      <c r="K30" s="20"/>
      <c r="L30" s="20"/>
      <c r="M30" s="20"/>
      <c r="N30" s="20"/>
      <c r="O30" s="20"/>
      <c r="P30" s="20"/>
      <c r="Q30" s="20"/>
      <c r="R30" s="20"/>
      <c r="S30" s="20"/>
      <c r="T30" s="20"/>
    </row>
    <row r="31">
      <c r="A31" s="5" t="s">
        <v>355</v>
      </c>
      <c r="B31" s="5" t="s">
        <v>346</v>
      </c>
      <c r="C31" s="5"/>
      <c r="D31" s="5"/>
      <c r="E31" s="20"/>
      <c r="F31" s="20"/>
      <c r="H31" s="20"/>
      <c r="I31" s="20"/>
      <c r="J31" s="20"/>
      <c r="K31" s="20"/>
      <c r="L31" s="20"/>
      <c r="M31" s="20"/>
      <c r="N31" s="20"/>
      <c r="O31" s="20"/>
      <c r="P31" s="20"/>
      <c r="Q31" s="20"/>
      <c r="R31" s="20"/>
      <c r="S31" s="20"/>
      <c r="T31" s="20"/>
    </row>
    <row r="32">
      <c r="A32" s="5" t="s">
        <v>356</v>
      </c>
      <c r="B32" s="5" t="s">
        <v>348</v>
      </c>
      <c r="C32" s="5"/>
      <c r="D32" s="5"/>
      <c r="E32" s="20"/>
      <c r="F32" s="20"/>
      <c r="H32" s="20"/>
      <c r="I32" s="20"/>
      <c r="J32" s="20"/>
      <c r="K32" s="20"/>
      <c r="L32" s="20"/>
      <c r="M32" s="20"/>
      <c r="N32" s="20"/>
      <c r="O32" s="20"/>
      <c r="P32" s="20"/>
      <c r="Q32" s="20"/>
      <c r="R32" s="20"/>
      <c r="S32" s="20"/>
      <c r="T32" s="20"/>
    </row>
    <row r="33">
      <c r="A33" s="5" t="s">
        <v>357</v>
      </c>
      <c r="B33" s="20"/>
      <c r="C33" s="5"/>
      <c r="D33" s="5"/>
      <c r="E33" s="20"/>
      <c r="F33" s="20"/>
      <c r="H33" s="20"/>
      <c r="I33" s="20"/>
      <c r="J33" s="20"/>
      <c r="K33" s="20"/>
      <c r="L33" s="20"/>
      <c r="M33" s="20"/>
      <c r="N33" s="20"/>
      <c r="O33" s="20"/>
      <c r="P33" s="20"/>
      <c r="Q33" s="20"/>
      <c r="R33" s="20"/>
      <c r="S33" s="20"/>
      <c r="T33" s="20"/>
    </row>
    <row r="34">
      <c r="A34" s="5" t="s">
        <v>358</v>
      </c>
      <c r="B34" s="5" t="s">
        <v>351</v>
      </c>
      <c r="C34" s="5"/>
      <c r="E34" s="20"/>
      <c r="F34" s="20"/>
      <c r="H34" s="20"/>
      <c r="I34" s="20"/>
      <c r="J34" s="20"/>
      <c r="K34" s="20"/>
      <c r="L34" s="20"/>
      <c r="M34" s="20"/>
      <c r="N34" s="20"/>
      <c r="O34" s="20"/>
      <c r="P34" s="20"/>
      <c r="Q34" s="20"/>
      <c r="R34" s="20"/>
      <c r="S34" s="20"/>
      <c r="T34" s="20"/>
    </row>
    <row r="35">
      <c r="A35" s="5" t="s">
        <v>359</v>
      </c>
      <c r="B35" s="5" t="s">
        <v>353</v>
      </c>
      <c r="C35" s="5"/>
      <c r="D35" s="5"/>
      <c r="E35" s="20"/>
      <c r="F35" s="20"/>
      <c r="G35" s="20"/>
      <c r="H35" s="20"/>
      <c r="I35" s="20"/>
      <c r="J35" s="20"/>
      <c r="K35" s="20"/>
      <c r="L35" s="20"/>
      <c r="M35" s="20"/>
      <c r="N35" s="20"/>
      <c r="O35" s="20"/>
      <c r="P35" s="20"/>
      <c r="Q35" s="20"/>
      <c r="R35" s="20"/>
      <c r="S35" s="20"/>
      <c r="T35" s="20"/>
    </row>
    <row r="36">
      <c r="A36" s="5" t="s">
        <v>360</v>
      </c>
      <c r="B36" s="20"/>
      <c r="C36" s="5"/>
      <c r="D36" s="5"/>
      <c r="E36" s="20"/>
      <c r="F36" s="20"/>
      <c r="G36" s="20"/>
      <c r="H36" s="20"/>
      <c r="I36" s="20"/>
      <c r="J36" s="20"/>
      <c r="K36" s="20"/>
      <c r="L36" s="20"/>
      <c r="M36" s="20"/>
      <c r="N36" s="20"/>
      <c r="O36" s="20"/>
      <c r="P36" s="20"/>
      <c r="Q36" s="20"/>
      <c r="R36" s="20"/>
      <c r="S36" s="20"/>
      <c r="T36" s="20"/>
    </row>
    <row r="37">
      <c r="A37" s="5" t="s">
        <v>361</v>
      </c>
      <c r="B37" s="5" t="s">
        <v>346</v>
      </c>
      <c r="C37" s="20"/>
      <c r="I37" s="20"/>
      <c r="J37" s="20"/>
      <c r="K37" s="20"/>
      <c r="L37" s="20"/>
      <c r="M37" s="20"/>
      <c r="N37" s="20"/>
      <c r="O37" s="20"/>
      <c r="P37" s="20"/>
      <c r="Q37" s="20"/>
      <c r="R37" s="20"/>
      <c r="S37" s="20"/>
      <c r="T37" s="20"/>
    </row>
    <row r="38">
      <c r="A38" s="5" t="s">
        <v>362</v>
      </c>
      <c r="B38" s="5" t="s">
        <v>348</v>
      </c>
      <c r="C38" s="20"/>
      <c r="I38" s="20"/>
      <c r="J38" s="20"/>
      <c r="K38" s="20"/>
      <c r="L38" s="20"/>
      <c r="M38" s="20"/>
      <c r="N38" s="20"/>
      <c r="O38" s="20"/>
      <c r="P38" s="20"/>
      <c r="Q38" s="20"/>
      <c r="R38" s="20"/>
      <c r="S38" s="20"/>
      <c r="T38" s="20"/>
    </row>
    <row r="39">
      <c r="A39" s="5" t="s">
        <v>363</v>
      </c>
      <c r="B39" s="20"/>
      <c r="C39" s="20"/>
      <c r="I39" s="20"/>
      <c r="J39" s="20"/>
      <c r="K39" s="20"/>
      <c r="L39" s="20"/>
      <c r="M39" s="20"/>
      <c r="N39" s="20"/>
      <c r="O39" s="20"/>
      <c r="P39" s="20"/>
      <c r="Q39" s="20"/>
      <c r="R39" s="20"/>
      <c r="S39" s="20"/>
      <c r="T39" s="20"/>
    </row>
    <row r="40">
      <c r="A40" s="5" t="s">
        <v>364</v>
      </c>
      <c r="B40" s="5" t="s">
        <v>351</v>
      </c>
      <c r="C40" s="20"/>
      <c r="I40" s="20"/>
      <c r="J40" s="20"/>
      <c r="K40" s="20"/>
      <c r="L40" s="20"/>
      <c r="M40" s="20"/>
      <c r="N40" s="20"/>
      <c r="O40" s="20"/>
      <c r="P40" s="20"/>
      <c r="Q40" s="20"/>
      <c r="R40" s="20"/>
      <c r="S40" s="20"/>
      <c r="T40" s="20"/>
    </row>
    <row r="41">
      <c r="A41" s="5" t="s">
        <v>365</v>
      </c>
      <c r="B41" s="5" t="s">
        <v>353</v>
      </c>
      <c r="C41" s="20"/>
      <c r="I41" s="20"/>
      <c r="J41" s="20"/>
      <c r="K41" s="20"/>
      <c r="L41" s="20"/>
      <c r="M41" s="20"/>
      <c r="N41" s="20"/>
      <c r="O41" s="20"/>
      <c r="P41" s="20"/>
      <c r="Q41" s="20"/>
      <c r="R41" s="20"/>
      <c r="S41" s="20"/>
      <c r="T41" s="20"/>
    </row>
    <row r="42">
      <c r="A42" s="102" t="s">
        <v>366</v>
      </c>
      <c r="B42" s="102"/>
      <c r="C42" s="102"/>
      <c r="D42" s="102"/>
      <c r="E42" s="102"/>
      <c r="F42" s="102"/>
      <c r="G42" s="102"/>
      <c r="H42" s="102"/>
      <c r="I42" s="104"/>
      <c r="J42" s="104"/>
      <c r="K42" s="104"/>
      <c r="L42" s="104"/>
      <c r="M42" s="104"/>
      <c r="N42" s="104"/>
      <c r="O42" s="104"/>
      <c r="P42" s="104"/>
      <c r="Q42" s="104"/>
      <c r="R42" s="104"/>
      <c r="S42" s="104"/>
      <c r="T42" s="104"/>
    </row>
    <row r="43">
      <c r="A43" s="109" t="s">
        <v>367</v>
      </c>
      <c r="B43" s="109" t="s">
        <v>368</v>
      </c>
      <c r="C43" s="109" t="s">
        <v>424</v>
      </c>
      <c r="D43" s="109"/>
      <c r="E43" s="109"/>
      <c r="F43" s="109"/>
      <c r="G43" s="109"/>
      <c r="H43" s="109"/>
      <c r="I43" s="111"/>
      <c r="J43" s="111"/>
      <c r="K43" s="111"/>
      <c r="L43" s="111"/>
      <c r="M43" s="111"/>
      <c r="N43" s="111"/>
      <c r="O43" s="111"/>
      <c r="P43" s="111"/>
      <c r="Q43" s="111"/>
      <c r="R43" s="111"/>
      <c r="S43" s="111"/>
      <c r="T43" s="111"/>
    </row>
    <row r="44">
      <c r="A44" s="5" t="s">
        <v>370</v>
      </c>
      <c r="B44" s="5" t="s">
        <v>371</v>
      </c>
      <c r="C44" s="5" t="s">
        <v>372</v>
      </c>
      <c r="D44" s="5"/>
      <c r="E44" s="5"/>
      <c r="F44" s="5"/>
      <c r="G44" s="5"/>
      <c r="H44" s="5"/>
      <c r="I44" s="20"/>
      <c r="J44" s="20"/>
      <c r="K44" s="20"/>
      <c r="L44" s="20"/>
      <c r="M44" s="20"/>
      <c r="N44" s="20"/>
      <c r="O44" s="20"/>
      <c r="P44" s="20"/>
      <c r="Q44" s="20"/>
      <c r="R44" s="20"/>
      <c r="S44" s="20"/>
      <c r="T44" s="20"/>
    </row>
    <row r="45">
      <c r="A45" s="5" t="s">
        <v>373</v>
      </c>
      <c r="B45" s="11" t="s">
        <v>374</v>
      </c>
      <c r="C45" s="5">
        <v>1.0</v>
      </c>
      <c r="D45" s="134"/>
      <c r="E45" s="5"/>
      <c r="F45" s="5"/>
      <c r="G45" s="5"/>
      <c r="H45" s="5"/>
      <c r="I45" s="5"/>
      <c r="J45" s="20"/>
      <c r="K45" s="20"/>
      <c r="L45" s="20"/>
      <c r="M45" s="20"/>
      <c r="N45" s="20"/>
      <c r="O45" s="20"/>
      <c r="P45" s="20"/>
      <c r="Q45" s="20"/>
      <c r="R45" s="20"/>
      <c r="S45" s="20"/>
      <c r="T45" s="20"/>
      <c r="Z45" s="163"/>
    </row>
    <row r="46">
      <c r="A46" s="154" t="s">
        <v>375</v>
      </c>
      <c r="B46" s="11" t="s">
        <v>376</v>
      </c>
      <c r="C46" s="170"/>
      <c r="D46" s="162"/>
      <c r="E46" s="162"/>
      <c r="F46" s="162"/>
      <c r="G46" s="162"/>
      <c r="H46" s="162"/>
      <c r="I46" s="162"/>
      <c r="J46" s="163"/>
      <c r="K46" s="163"/>
      <c r="L46" s="163"/>
      <c r="M46" s="163"/>
      <c r="N46" s="163"/>
      <c r="O46" s="163"/>
      <c r="P46" s="163"/>
      <c r="Q46" s="163"/>
      <c r="R46" s="163"/>
      <c r="S46" s="163"/>
      <c r="T46" s="163"/>
      <c r="U46" s="163"/>
      <c r="V46" s="163"/>
      <c r="W46" s="163"/>
      <c r="X46" s="163"/>
      <c r="Y46" s="163"/>
      <c r="Z46" s="163"/>
    </row>
    <row r="47">
      <c r="A47" s="5" t="s">
        <v>377</v>
      </c>
      <c r="B47" s="5" t="s">
        <v>378</v>
      </c>
      <c r="C47" s="168" t="s">
        <v>422</v>
      </c>
      <c r="D47" s="5"/>
      <c r="E47" s="5"/>
      <c r="F47" s="5"/>
      <c r="G47" s="5"/>
      <c r="H47" s="5"/>
      <c r="I47" s="5"/>
      <c r="J47" s="20"/>
      <c r="K47" s="20"/>
      <c r="L47" s="20"/>
      <c r="M47" s="20"/>
      <c r="N47" s="20"/>
      <c r="O47" s="20"/>
      <c r="P47" s="20"/>
      <c r="Q47" s="20"/>
      <c r="R47" s="20"/>
      <c r="S47" s="20"/>
      <c r="T47" s="20"/>
    </row>
    <row r="48">
      <c r="A48" s="5" t="s">
        <v>380</v>
      </c>
      <c r="B48" s="20"/>
      <c r="C48" s="5" t="s">
        <v>381</v>
      </c>
      <c r="D48" s="5"/>
      <c r="E48" s="5"/>
      <c r="F48" s="5"/>
      <c r="G48" s="5"/>
      <c r="H48" s="5"/>
      <c r="I48" s="5"/>
      <c r="J48" s="20"/>
      <c r="K48" s="20"/>
      <c r="L48" s="20"/>
      <c r="M48" s="20"/>
      <c r="N48" s="20"/>
      <c r="O48" s="20"/>
      <c r="P48" s="20"/>
      <c r="Q48" s="20"/>
      <c r="R48" s="20"/>
      <c r="S48" s="20"/>
      <c r="T48" s="20"/>
    </row>
    <row r="49">
      <c r="A49" s="5" t="s">
        <v>382</v>
      </c>
      <c r="B49" s="20"/>
      <c r="C49" s="5"/>
      <c r="D49" s="5"/>
      <c r="E49" s="5"/>
      <c r="F49" s="5"/>
      <c r="G49" s="5"/>
      <c r="H49" s="5"/>
      <c r="I49" s="5"/>
      <c r="J49" s="20"/>
      <c r="K49" s="20"/>
      <c r="L49" s="20"/>
      <c r="M49" s="20"/>
      <c r="N49" s="20"/>
      <c r="O49" s="20"/>
      <c r="P49" s="20"/>
      <c r="Q49" s="20"/>
      <c r="R49" s="20"/>
      <c r="S49" s="20"/>
      <c r="T49" s="20"/>
    </row>
    <row r="50">
      <c r="A50" s="154" t="s">
        <v>383</v>
      </c>
      <c r="B50" s="10"/>
      <c r="C50" s="5" t="s">
        <v>432</v>
      </c>
      <c r="D50" s="162"/>
      <c r="E50" s="162"/>
      <c r="F50" s="162"/>
      <c r="G50" s="162"/>
      <c r="H50" s="162"/>
      <c r="I50" s="162"/>
      <c r="J50" s="163"/>
      <c r="K50" s="163"/>
      <c r="L50" s="163"/>
      <c r="M50" s="163"/>
      <c r="N50" s="163"/>
      <c r="O50" s="163"/>
      <c r="P50" s="163"/>
      <c r="Q50" s="163"/>
      <c r="R50" s="163"/>
      <c r="S50" s="163"/>
      <c r="T50" s="163"/>
      <c r="U50" s="163"/>
      <c r="V50" s="163"/>
      <c r="W50" s="163"/>
      <c r="X50" s="163"/>
      <c r="Y50" s="163"/>
      <c r="Z50" s="163"/>
    </row>
    <row r="51">
      <c r="A51" s="5" t="s">
        <v>385</v>
      </c>
      <c r="B51" s="5" t="s">
        <v>340</v>
      </c>
      <c r="C51" s="165">
        <v>0.001</v>
      </c>
      <c r="D51" s="5"/>
      <c r="E51" s="5"/>
      <c r="F51" s="5"/>
      <c r="G51" s="5"/>
      <c r="H51" s="5"/>
      <c r="I51" s="20"/>
      <c r="J51" s="20"/>
      <c r="K51" s="20"/>
      <c r="L51" s="20"/>
      <c r="M51" s="20"/>
      <c r="N51" s="20"/>
      <c r="O51" s="20"/>
      <c r="P51" s="20"/>
      <c r="Q51" s="20"/>
      <c r="R51" s="20"/>
      <c r="S51" s="20"/>
      <c r="T51" s="20"/>
      <c r="U51" s="20"/>
      <c r="V51" s="20"/>
      <c r="W51" s="20"/>
      <c r="X51" s="20"/>
      <c r="Y51" s="20"/>
    </row>
    <row r="52">
      <c r="A52" s="5" t="s">
        <v>386</v>
      </c>
      <c r="B52" s="5" t="s">
        <v>342</v>
      </c>
      <c r="C52" s="5" t="s">
        <v>507</v>
      </c>
      <c r="D52" s="5"/>
      <c r="E52" s="5"/>
      <c r="F52" s="5"/>
      <c r="G52" s="5"/>
      <c r="H52" s="5"/>
      <c r="I52" s="20"/>
      <c r="J52" s="20"/>
      <c r="K52" s="20"/>
      <c r="L52" s="20"/>
      <c r="M52" s="20"/>
      <c r="N52" s="20"/>
      <c r="O52" s="20"/>
      <c r="P52" s="20"/>
      <c r="Q52" s="20"/>
      <c r="R52" s="20"/>
      <c r="S52" s="20"/>
      <c r="T52" s="20"/>
      <c r="U52" s="20"/>
      <c r="V52" s="20"/>
      <c r="W52" s="20"/>
      <c r="X52" s="20"/>
      <c r="Y52" s="20"/>
    </row>
    <row r="53">
      <c r="A53" s="102" t="s">
        <v>387</v>
      </c>
      <c r="B53" s="102" t="s">
        <v>388</v>
      </c>
      <c r="C53" s="102" t="b">
        <v>0</v>
      </c>
      <c r="D53" s="102"/>
      <c r="E53" s="102"/>
      <c r="F53" s="102"/>
      <c r="G53" s="102"/>
      <c r="H53" s="102"/>
      <c r="I53" s="104"/>
      <c r="J53" s="104"/>
      <c r="K53" s="104"/>
      <c r="L53" s="104"/>
      <c r="M53" s="104"/>
      <c r="N53" s="104"/>
      <c r="O53" s="104"/>
      <c r="P53" s="104"/>
      <c r="Q53" s="104"/>
      <c r="R53" s="104"/>
      <c r="S53" s="104"/>
      <c r="T53" s="104"/>
    </row>
    <row r="54">
      <c r="A54" s="109" t="s">
        <v>389</v>
      </c>
      <c r="B54" s="109"/>
      <c r="C54" s="109" t="s">
        <v>433</v>
      </c>
      <c r="D54" s="109"/>
      <c r="E54" s="109"/>
      <c r="F54" s="109"/>
      <c r="G54" s="109"/>
      <c r="H54" s="109"/>
      <c r="I54" s="111"/>
      <c r="J54" s="111"/>
      <c r="K54" s="111"/>
      <c r="L54" s="111"/>
      <c r="M54" s="111"/>
      <c r="N54" s="111"/>
      <c r="O54" s="111"/>
      <c r="P54" s="111"/>
      <c r="Q54" s="111"/>
      <c r="R54" s="111"/>
      <c r="S54" s="111"/>
      <c r="T54" s="111"/>
    </row>
    <row r="55">
      <c r="A55" s="5" t="s">
        <v>390</v>
      </c>
      <c r="B55" s="20"/>
      <c r="C55" s="5" t="s">
        <v>434</v>
      </c>
      <c r="D55" s="5"/>
      <c r="E55" s="5"/>
      <c r="G55" s="5"/>
      <c r="H55" s="5"/>
      <c r="I55" s="5"/>
      <c r="J55" s="20"/>
      <c r="K55" s="20"/>
      <c r="L55" s="20"/>
      <c r="M55" s="20"/>
      <c r="N55" s="20"/>
      <c r="O55" s="20"/>
      <c r="P55" s="20"/>
      <c r="Q55" s="20"/>
      <c r="R55" s="20"/>
      <c r="S55" s="20"/>
      <c r="T55" s="20"/>
    </row>
    <row r="56">
      <c r="A56" s="5" t="s">
        <v>392</v>
      </c>
      <c r="B56" s="20"/>
      <c r="C56" s="5">
        <v>0.0</v>
      </c>
      <c r="D56" s="5"/>
      <c r="E56" s="5"/>
      <c r="G56" s="5"/>
      <c r="H56" s="5"/>
      <c r="I56" s="5"/>
      <c r="J56" s="20"/>
      <c r="K56" s="20"/>
      <c r="L56" s="20"/>
      <c r="M56" s="20"/>
      <c r="N56" s="20"/>
      <c r="O56" s="20"/>
      <c r="P56" s="20"/>
      <c r="Q56" s="20"/>
      <c r="R56" s="20"/>
      <c r="S56" s="20"/>
      <c r="T56" s="20"/>
    </row>
    <row r="57">
      <c r="A57" s="5" t="s">
        <v>393</v>
      </c>
      <c r="B57" s="20"/>
      <c r="C57" s="5"/>
      <c r="D57" s="5"/>
      <c r="E57" s="5"/>
      <c r="G57" s="5"/>
      <c r="H57" s="5"/>
      <c r="I57" s="5"/>
      <c r="J57" s="20"/>
      <c r="K57" s="20"/>
      <c r="L57" s="20"/>
      <c r="M57" s="20"/>
      <c r="N57" s="20"/>
      <c r="O57" s="20"/>
      <c r="P57" s="20"/>
      <c r="Q57" s="20"/>
      <c r="R57" s="20"/>
      <c r="S57" s="20"/>
      <c r="T57" s="20"/>
    </row>
    <row r="58">
      <c r="A58" s="5" t="s">
        <v>394</v>
      </c>
      <c r="B58" s="20"/>
      <c r="C58" s="5"/>
      <c r="D58" s="5"/>
      <c r="E58" s="5"/>
      <c r="G58" s="5"/>
      <c r="H58" s="5"/>
      <c r="I58" s="5"/>
      <c r="J58" s="20"/>
      <c r="K58" s="20"/>
      <c r="L58" s="20"/>
      <c r="M58" s="20"/>
      <c r="N58" s="20"/>
      <c r="O58" s="20"/>
      <c r="P58" s="20"/>
      <c r="Q58" s="20"/>
      <c r="R58" s="20"/>
      <c r="S58" s="20"/>
      <c r="T58" s="20"/>
    </row>
    <row r="59">
      <c r="A59" s="5" t="s">
        <v>395</v>
      </c>
      <c r="B59" s="20"/>
      <c r="C59" s="5"/>
      <c r="D59" s="5"/>
      <c r="E59" s="5"/>
      <c r="G59" s="5"/>
      <c r="H59" s="5"/>
      <c r="I59" s="20"/>
      <c r="J59" s="20"/>
      <c r="K59" s="20"/>
      <c r="L59" s="20"/>
      <c r="M59" s="20"/>
      <c r="N59" s="20"/>
      <c r="O59" s="20"/>
      <c r="P59" s="20"/>
      <c r="Q59" s="20"/>
      <c r="R59" s="20"/>
      <c r="S59" s="20"/>
      <c r="T59" s="20"/>
    </row>
    <row r="60">
      <c r="A60" s="5" t="s">
        <v>396</v>
      </c>
      <c r="B60" s="20"/>
      <c r="C60" s="5"/>
      <c r="D60" s="5"/>
      <c r="E60" s="20"/>
      <c r="F60" s="20"/>
      <c r="G60" s="20"/>
      <c r="H60" s="20"/>
      <c r="I60" s="20"/>
      <c r="J60" s="20"/>
      <c r="K60" s="20"/>
      <c r="L60" s="20"/>
      <c r="M60" s="20"/>
      <c r="N60" s="20"/>
      <c r="O60" s="20"/>
      <c r="P60" s="20"/>
      <c r="Q60" s="20"/>
      <c r="R60" s="20"/>
      <c r="S60" s="20"/>
      <c r="T60" s="20"/>
    </row>
    <row r="61">
      <c r="A61" s="5" t="s">
        <v>397</v>
      </c>
      <c r="B61" s="20"/>
      <c r="C61" s="5"/>
      <c r="D61" s="5"/>
      <c r="E61" s="20"/>
      <c r="F61" s="20"/>
      <c r="G61" s="20"/>
      <c r="H61" s="20"/>
      <c r="I61" s="20"/>
      <c r="J61" s="20"/>
      <c r="K61" s="20"/>
      <c r="L61" s="20"/>
      <c r="M61" s="20"/>
      <c r="N61" s="20"/>
      <c r="O61" s="20"/>
      <c r="P61" s="20"/>
      <c r="Q61" s="20"/>
      <c r="R61" s="20"/>
      <c r="S61" s="20"/>
      <c r="T61" s="20"/>
    </row>
    <row r="62">
      <c r="A62" s="5" t="s">
        <v>398</v>
      </c>
      <c r="B62" s="20"/>
      <c r="C62" s="5"/>
      <c r="D62" s="5"/>
      <c r="E62" s="20"/>
      <c r="F62" s="20"/>
      <c r="G62" s="20"/>
      <c r="H62" s="20"/>
      <c r="I62" s="20"/>
      <c r="J62" s="20"/>
      <c r="K62" s="20"/>
      <c r="L62" s="20"/>
      <c r="M62" s="20"/>
      <c r="N62" s="20"/>
      <c r="O62" s="20"/>
      <c r="P62" s="20"/>
      <c r="Q62" s="20"/>
      <c r="R62" s="20"/>
      <c r="S62" s="20"/>
      <c r="T62" s="20"/>
    </row>
    <row r="63">
      <c r="A63" s="5" t="s">
        <v>399</v>
      </c>
      <c r="B63" s="20"/>
      <c r="C63" s="5"/>
      <c r="D63" s="5"/>
      <c r="E63" s="20"/>
      <c r="F63" s="20"/>
      <c r="G63" s="20"/>
      <c r="H63" s="20"/>
      <c r="I63" s="20"/>
      <c r="J63" s="20"/>
      <c r="K63" s="20"/>
      <c r="L63" s="20"/>
      <c r="M63" s="20"/>
      <c r="N63" s="20"/>
      <c r="O63" s="20"/>
      <c r="P63" s="20"/>
      <c r="Q63" s="20"/>
      <c r="R63" s="20"/>
      <c r="S63" s="20"/>
      <c r="T63" s="20"/>
    </row>
    <row r="64">
      <c r="A64" s="5" t="s">
        <v>400</v>
      </c>
      <c r="B64" s="20"/>
      <c r="C64" s="5"/>
      <c r="D64" s="5"/>
      <c r="E64" s="20"/>
      <c r="F64" s="20"/>
      <c r="G64" s="20"/>
      <c r="H64" s="20"/>
      <c r="I64" s="20"/>
      <c r="J64" s="20"/>
      <c r="K64" s="20"/>
      <c r="L64" s="20"/>
      <c r="M64" s="20"/>
      <c r="N64" s="20"/>
      <c r="O64" s="20"/>
      <c r="P64" s="20"/>
      <c r="Q64" s="20"/>
      <c r="R64" s="20"/>
      <c r="S64" s="20"/>
      <c r="T64" s="20"/>
    </row>
    <row r="65">
      <c r="A65" s="5" t="s">
        <v>401</v>
      </c>
      <c r="B65" s="20"/>
      <c r="C65" s="5"/>
      <c r="D65" s="5"/>
      <c r="E65" s="20"/>
      <c r="F65" s="20"/>
      <c r="G65" s="20"/>
      <c r="H65" s="20"/>
      <c r="I65" s="20"/>
      <c r="J65" s="20"/>
      <c r="K65" s="20"/>
      <c r="L65" s="20"/>
      <c r="M65" s="20"/>
      <c r="N65" s="20"/>
      <c r="O65" s="20"/>
      <c r="P65" s="20"/>
      <c r="Q65" s="20"/>
      <c r="R65" s="20"/>
      <c r="S65" s="20"/>
      <c r="T65" s="20"/>
    </row>
    <row r="66">
      <c r="A66" s="5" t="str">
        <f t="shared" ref="A66:A71" si="1">SUBSTITUTE(A60,"2","3")</f>
        <v>coproduct_3_name</v>
      </c>
      <c r="B66" s="20"/>
      <c r="C66" s="5"/>
      <c r="D66" s="20"/>
      <c r="E66" s="20"/>
      <c r="F66" s="20"/>
      <c r="G66" s="20"/>
      <c r="H66" s="20"/>
      <c r="I66" s="20"/>
      <c r="J66" s="20"/>
      <c r="K66" s="20"/>
      <c r="L66" s="20"/>
      <c r="M66" s="20"/>
      <c r="N66" s="20"/>
      <c r="O66" s="20"/>
      <c r="P66" s="20"/>
      <c r="Q66" s="20"/>
      <c r="R66" s="20"/>
      <c r="S66" s="20"/>
      <c r="T66" s="20"/>
    </row>
    <row r="67">
      <c r="A67" s="5" t="str">
        <f t="shared" si="1"/>
        <v>coproduct_3_sink</v>
      </c>
      <c r="B67" s="20"/>
      <c r="C67" s="5"/>
      <c r="D67" s="20"/>
      <c r="E67" s="20"/>
      <c r="F67" s="20"/>
      <c r="G67" s="20"/>
      <c r="H67" s="20"/>
      <c r="I67" s="20"/>
      <c r="J67" s="20"/>
      <c r="K67" s="20"/>
      <c r="L67" s="20"/>
      <c r="M67" s="20"/>
      <c r="N67" s="20"/>
      <c r="O67" s="20"/>
      <c r="P67" s="20"/>
      <c r="Q67" s="20"/>
      <c r="R67" s="20"/>
      <c r="S67" s="20"/>
      <c r="T67" s="20"/>
    </row>
    <row r="68">
      <c r="A68" s="5" t="str">
        <f t="shared" si="1"/>
        <v>coproduct_3_conversion_factor</v>
      </c>
      <c r="B68" s="20"/>
      <c r="C68" s="5"/>
      <c r="D68" s="20"/>
      <c r="E68" s="20"/>
      <c r="F68" s="20"/>
      <c r="G68" s="20"/>
      <c r="H68" s="20"/>
      <c r="I68" s="5"/>
      <c r="J68" s="20"/>
      <c r="K68" s="20"/>
      <c r="L68" s="20"/>
      <c r="M68" s="20"/>
      <c r="N68" s="20"/>
      <c r="O68" s="20"/>
      <c r="P68" s="20"/>
      <c r="Q68" s="20"/>
      <c r="R68" s="20"/>
      <c r="S68" s="20"/>
      <c r="T68" s="20"/>
    </row>
    <row r="69">
      <c r="A69" s="5" t="str">
        <f t="shared" si="1"/>
        <v>coproduct_3_units</v>
      </c>
      <c r="B69" s="20"/>
      <c r="C69" s="5"/>
      <c r="D69" s="20"/>
      <c r="E69" s="20"/>
      <c r="F69" s="20"/>
      <c r="G69" s="20"/>
      <c r="H69" s="20"/>
      <c r="I69" s="20"/>
      <c r="J69" s="20"/>
      <c r="K69" s="20"/>
      <c r="L69" s="20"/>
      <c r="M69" s="20"/>
      <c r="N69" s="20"/>
      <c r="O69" s="20"/>
      <c r="P69" s="20"/>
      <c r="Q69" s="20"/>
      <c r="R69" s="20"/>
      <c r="S69" s="20"/>
      <c r="T69" s="20"/>
    </row>
    <row r="70">
      <c r="A70" s="5" t="str">
        <f t="shared" si="1"/>
        <v>coproduct_3_constituents</v>
      </c>
      <c r="B70" s="20"/>
      <c r="C70" s="5"/>
      <c r="D70" s="20"/>
      <c r="E70" s="20"/>
      <c r="F70" s="20"/>
      <c r="G70" s="20"/>
      <c r="H70" s="20"/>
      <c r="I70" s="20"/>
      <c r="J70" s="20"/>
      <c r="K70" s="20"/>
      <c r="L70" s="20"/>
      <c r="M70" s="20"/>
      <c r="N70" s="20"/>
      <c r="O70" s="20"/>
      <c r="P70" s="20"/>
      <c r="Q70" s="20"/>
      <c r="R70" s="20"/>
      <c r="S70" s="20"/>
      <c r="T70" s="20"/>
    </row>
    <row r="71">
      <c r="A71" s="5" t="str">
        <f t="shared" si="1"/>
        <v>coproduct_3_constituent_fractions</v>
      </c>
      <c r="B71" s="20"/>
      <c r="C71" s="5"/>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row r="994">
      <c r="A994" s="20"/>
      <c r="B994" s="20"/>
      <c r="C994" s="20"/>
      <c r="D994" s="20"/>
      <c r="E994" s="20"/>
      <c r="F994" s="20"/>
      <c r="G994" s="20"/>
      <c r="H994" s="20"/>
      <c r="I994" s="20"/>
      <c r="J994" s="20"/>
      <c r="K994" s="20"/>
      <c r="L994" s="20"/>
      <c r="M994" s="20"/>
      <c r="N994" s="20"/>
      <c r="O994" s="20"/>
      <c r="P994" s="20"/>
      <c r="Q994" s="20"/>
      <c r="R994" s="20"/>
      <c r="S994" s="20"/>
      <c r="T994" s="2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 customWidth="1" min="3" max="4" width="12.63"/>
  </cols>
  <sheetData>
    <row r="1">
      <c r="A1" s="151" t="s">
        <v>276</v>
      </c>
      <c r="B1" s="151" t="s">
        <v>7</v>
      </c>
      <c r="C1" s="151" t="s">
        <v>508</v>
      </c>
      <c r="D1" s="151" t="s">
        <v>509</v>
      </c>
      <c r="E1" s="43"/>
      <c r="F1" s="43"/>
      <c r="G1" s="43"/>
      <c r="H1" s="43"/>
      <c r="I1" s="43"/>
      <c r="J1" s="43"/>
      <c r="K1" s="43"/>
      <c r="L1" s="43"/>
      <c r="M1" s="43"/>
      <c r="N1" s="43"/>
      <c r="O1" s="43"/>
      <c r="P1" s="43"/>
      <c r="Q1" s="43"/>
      <c r="R1" s="43"/>
      <c r="S1" s="43"/>
      <c r="T1" s="43"/>
      <c r="U1" s="43"/>
      <c r="V1" s="43"/>
      <c r="W1" s="43"/>
      <c r="X1" s="43"/>
      <c r="Y1" s="43"/>
      <c r="Z1" s="43"/>
    </row>
    <row r="2">
      <c r="A2" s="5" t="s">
        <v>279</v>
      </c>
      <c r="B2" s="5" t="s">
        <v>280</v>
      </c>
      <c r="C2" s="5" t="s">
        <v>111</v>
      </c>
      <c r="D2" s="5" t="s">
        <v>510</v>
      </c>
      <c r="E2" s="20"/>
      <c r="F2" s="20"/>
      <c r="G2" s="20"/>
      <c r="H2" s="20"/>
      <c r="I2" s="20"/>
      <c r="J2" s="20"/>
      <c r="K2" s="20"/>
      <c r="L2" s="20"/>
      <c r="M2" s="20"/>
      <c r="N2" s="20"/>
      <c r="O2" s="20"/>
      <c r="P2" s="20"/>
      <c r="Q2" s="20"/>
      <c r="R2" s="20"/>
      <c r="S2" s="20"/>
      <c r="T2" s="20"/>
      <c r="U2" s="20"/>
      <c r="V2" s="20"/>
      <c r="W2" s="20"/>
      <c r="X2" s="20"/>
      <c r="Y2" s="20"/>
      <c r="Z2" s="20"/>
    </row>
    <row r="3">
      <c r="A3" s="5" t="s">
        <v>281</v>
      </c>
      <c r="B3" s="5" t="s">
        <v>406</v>
      </c>
      <c r="C3" s="5" t="s">
        <v>511</v>
      </c>
      <c r="D3" s="5" t="s">
        <v>512</v>
      </c>
      <c r="E3" s="20"/>
      <c r="F3" s="134"/>
      <c r="G3" s="134"/>
      <c r="I3" s="134"/>
      <c r="J3" s="20"/>
      <c r="K3" s="20"/>
      <c r="L3" s="20"/>
      <c r="M3" s="20"/>
      <c r="N3" s="20"/>
      <c r="O3" s="20"/>
      <c r="P3" s="20"/>
      <c r="Q3" s="20"/>
      <c r="R3" s="20"/>
      <c r="S3" s="20"/>
      <c r="T3" s="20"/>
      <c r="U3" s="20"/>
      <c r="V3" s="20"/>
      <c r="W3" s="20"/>
      <c r="X3" s="20"/>
      <c r="Y3" s="20"/>
      <c r="Z3" s="20"/>
    </row>
    <row r="4">
      <c r="A4" s="5" t="s">
        <v>285</v>
      </c>
      <c r="B4" s="5" t="s">
        <v>286</v>
      </c>
      <c r="C4" s="5" t="s">
        <v>513</v>
      </c>
      <c r="D4" s="5"/>
      <c r="E4" s="20"/>
      <c r="F4" s="134"/>
      <c r="G4" s="134"/>
      <c r="I4" s="134"/>
      <c r="J4" s="20"/>
      <c r="K4" s="20"/>
      <c r="L4" s="20"/>
      <c r="M4" s="20"/>
      <c r="N4" s="20"/>
      <c r="O4" s="20"/>
      <c r="P4" s="20"/>
      <c r="Q4" s="20"/>
      <c r="R4" s="20"/>
      <c r="S4" s="20"/>
      <c r="T4" s="20"/>
      <c r="U4" s="20"/>
      <c r="V4" s="20"/>
      <c r="W4" s="20"/>
      <c r="X4" s="20"/>
      <c r="Y4" s="20"/>
      <c r="Z4" s="20"/>
    </row>
    <row r="5">
      <c r="A5" s="5" t="s">
        <v>289</v>
      </c>
      <c r="B5" s="5" t="s">
        <v>290</v>
      </c>
      <c r="C5" s="5" t="s">
        <v>514</v>
      </c>
      <c r="D5" s="5" t="s">
        <v>515</v>
      </c>
      <c r="E5" s="20"/>
      <c r="F5" s="134"/>
      <c r="G5" s="134"/>
      <c r="I5" s="134"/>
      <c r="J5" s="20"/>
      <c r="K5" s="20"/>
      <c r="L5" s="20"/>
      <c r="M5" s="20"/>
      <c r="N5" s="20"/>
      <c r="O5" s="20"/>
      <c r="P5" s="20"/>
      <c r="Q5" s="20"/>
      <c r="R5" s="20"/>
      <c r="S5" s="20"/>
      <c r="T5" s="20"/>
      <c r="U5" s="20"/>
      <c r="V5" s="20"/>
      <c r="W5" s="20"/>
      <c r="X5" s="20"/>
      <c r="Y5" s="20"/>
      <c r="Z5" s="20"/>
    </row>
    <row r="6">
      <c r="A6" s="152" t="s">
        <v>292</v>
      </c>
      <c r="B6" s="152"/>
      <c r="C6" s="114" t="s">
        <v>516</v>
      </c>
      <c r="D6" s="114" t="s">
        <v>517</v>
      </c>
      <c r="E6" s="175"/>
      <c r="F6" s="152"/>
      <c r="G6" s="152"/>
      <c r="H6" s="152"/>
      <c r="I6" s="152"/>
      <c r="J6" s="152"/>
      <c r="K6" s="152"/>
      <c r="L6" s="152"/>
      <c r="M6" s="175"/>
      <c r="N6" s="175"/>
      <c r="O6" s="175"/>
      <c r="P6" s="175"/>
      <c r="Q6" s="175"/>
      <c r="R6" s="175"/>
      <c r="S6" s="175"/>
      <c r="T6" s="175"/>
      <c r="U6" s="175"/>
      <c r="V6" s="175"/>
      <c r="W6" s="175"/>
      <c r="X6" s="175"/>
      <c r="Y6" s="175"/>
      <c r="Z6" s="175"/>
    </row>
    <row r="7">
      <c r="A7" s="154" t="s">
        <v>295</v>
      </c>
      <c r="B7" s="154"/>
      <c r="C7" s="11" t="s">
        <v>518</v>
      </c>
      <c r="D7" s="11" t="s">
        <v>519</v>
      </c>
      <c r="E7" s="10"/>
      <c r="F7" s="154"/>
      <c r="G7" s="154"/>
      <c r="H7" s="154"/>
      <c r="I7" s="154"/>
      <c r="J7" s="154"/>
      <c r="K7" s="154"/>
      <c r="L7" s="154"/>
      <c r="M7" s="10"/>
      <c r="N7" s="10"/>
      <c r="O7" s="10"/>
      <c r="P7" s="10"/>
      <c r="Q7" s="10"/>
      <c r="R7" s="10"/>
      <c r="S7" s="10"/>
      <c r="T7" s="10"/>
      <c r="U7" s="10"/>
      <c r="V7" s="10"/>
      <c r="W7" s="10"/>
      <c r="X7" s="10"/>
      <c r="Y7" s="10"/>
      <c r="Z7" s="10"/>
    </row>
    <row r="8">
      <c r="A8" s="11" t="s">
        <v>298</v>
      </c>
      <c r="B8" s="154" t="s">
        <v>299</v>
      </c>
      <c r="C8" s="5" t="s">
        <v>520</v>
      </c>
      <c r="D8" s="154" t="s">
        <v>521</v>
      </c>
      <c r="E8" s="5"/>
      <c r="F8" s="20"/>
      <c r="G8" s="11"/>
      <c r="H8" s="11"/>
      <c r="I8" s="164"/>
      <c r="J8" s="164"/>
      <c r="K8" s="164"/>
      <c r="L8" s="164"/>
      <c r="M8" s="164"/>
      <c r="N8" s="20"/>
      <c r="O8" s="20"/>
      <c r="P8" s="20"/>
      <c r="Q8" s="20"/>
      <c r="R8" s="20"/>
      <c r="S8" s="20"/>
      <c r="T8" s="20"/>
      <c r="U8" s="20"/>
      <c r="V8" s="20"/>
      <c r="W8" s="20"/>
      <c r="X8" s="20"/>
      <c r="Y8" s="20"/>
      <c r="Z8" s="20"/>
    </row>
    <row r="9">
      <c r="A9" s="11" t="s">
        <v>302</v>
      </c>
      <c r="B9" s="154"/>
      <c r="C9" s="5" t="s">
        <v>522</v>
      </c>
      <c r="D9" s="5" t="s">
        <v>523</v>
      </c>
      <c r="E9" s="5"/>
      <c r="F9" s="5"/>
      <c r="G9" s="5"/>
      <c r="H9" s="5"/>
      <c r="I9" s="20"/>
      <c r="J9" s="20"/>
      <c r="K9" s="20"/>
      <c r="L9" s="20"/>
      <c r="M9" s="20"/>
      <c r="N9" s="20"/>
      <c r="O9" s="20"/>
      <c r="P9" s="20"/>
      <c r="Q9" s="20"/>
      <c r="R9" s="20"/>
      <c r="S9" s="20"/>
      <c r="T9" s="20"/>
    </row>
    <row r="10">
      <c r="A10" s="154" t="s">
        <v>305</v>
      </c>
      <c r="B10" s="154" t="s">
        <v>306</v>
      </c>
      <c r="C10" s="165">
        <v>1.25E-6</v>
      </c>
      <c r="D10" s="165">
        <v>1.25E-6</v>
      </c>
      <c r="E10" s="162"/>
      <c r="F10" s="162"/>
      <c r="G10" s="162"/>
      <c r="H10" s="162"/>
      <c r="I10" s="163"/>
      <c r="J10" s="163"/>
      <c r="K10" s="163"/>
      <c r="L10" s="163"/>
      <c r="M10" s="163"/>
      <c r="N10" s="163"/>
      <c r="O10" s="163"/>
      <c r="P10" s="163"/>
      <c r="Q10" s="163"/>
      <c r="R10" s="163"/>
      <c r="S10" s="163"/>
      <c r="T10" s="163"/>
      <c r="U10" s="163"/>
      <c r="V10" s="163"/>
      <c r="W10" s="163"/>
      <c r="X10" s="163"/>
      <c r="Y10" s="163"/>
      <c r="Z10" s="20"/>
    </row>
    <row r="11">
      <c r="A11" s="156" t="s">
        <v>307</v>
      </c>
      <c r="B11" s="156" t="s">
        <v>308</v>
      </c>
      <c r="C11" s="107" t="s">
        <v>524</v>
      </c>
      <c r="D11" s="107" t="s">
        <v>525</v>
      </c>
      <c r="E11" s="166"/>
      <c r="F11" s="166"/>
      <c r="G11" s="166"/>
      <c r="H11" s="166"/>
      <c r="I11" s="167"/>
      <c r="J11" s="167"/>
      <c r="K11" s="167"/>
      <c r="L11" s="167"/>
      <c r="M11" s="167"/>
      <c r="N11" s="167"/>
      <c r="O11" s="167"/>
      <c r="P11" s="167"/>
      <c r="Q11" s="167"/>
      <c r="R11" s="167"/>
      <c r="S11" s="167"/>
      <c r="T11" s="167"/>
      <c r="U11" s="167"/>
      <c r="V11" s="167"/>
      <c r="W11" s="167"/>
      <c r="X11" s="167"/>
      <c r="Y11" s="167"/>
      <c r="Z11" s="20"/>
    </row>
    <row r="12">
      <c r="A12" s="154" t="s">
        <v>311</v>
      </c>
      <c r="B12" s="154" t="s">
        <v>312</v>
      </c>
      <c r="C12" s="5" t="s">
        <v>520</v>
      </c>
      <c r="D12" s="5" t="s">
        <v>521</v>
      </c>
      <c r="E12" s="20"/>
      <c r="F12" s="11"/>
      <c r="G12" s="11"/>
      <c r="H12" s="164"/>
      <c r="I12" s="164"/>
      <c r="J12" s="164"/>
      <c r="K12" s="164"/>
      <c r="L12" s="164"/>
      <c r="M12" s="20"/>
      <c r="N12" s="20"/>
      <c r="O12" s="20"/>
      <c r="P12" s="20"/>
      <c r="Q12" s="20"/>
      <c r="R12" s="20"/>
      <c r="S12" s="20"/>
      <c r="T12" s="20"/>
      <c r="U12" s="20"/>
      <c r="V12" s="20"/>
      <c r="W12" s="20"/>
      <c r="X12" s="20"/>
      <c r="Y12" s="20"/>
      <c r="Z12" s="20"/>
    </row>
    <row r="13">
      <c r="A13" s="154" t="s">
        <v>314</v>
      </c>
      <c r="B13" s="154" t="s">
        <v>315</v>
      </c>
      <c r="C13" s="5" t="s">
        <v>457</v>
      </c>
      <c r="D13" s="5" t="s">
        <v>526</v>
      </c>
      <c r="E13" s="20"/>
      <c r="F13" s="20"/>
      <c r="G13" s="20"/>
      <c r="H13" s="20"/>
      <c r="I13" s="20"/>
      <c r="J13" s="20"/>
      <c r="K13" s="20"/>
      <c r="L13" s="20"/>
      <c r="M13" s="20"/>
      <c r="N13" s="20"/>
      <c r="O13" s="20"/>
      <c r="P13" s="20"/>
      <c r="Q13" s="20"/>
      <c r="R13" s="20"/>
      <c r="S13" s="20"/>
      <c r="T13" s="20"/>
      <c r="U13" s="20"/>
      <c r="V13" s="20"/>
      <c r="W13" s="20"/>
      <c r="X13" s="20"/>
      <c r="Y13" s="20"/>
      <c r="Z13" s="20"/>
    </row>
    <row r="14">
      <c r="A14" s="154" t="s">
        <v>317</v>
      </c>
      <c r="B14" s="154" t="s">
        <v>318</v>
      </c>
      <c r="C14" s="5" t="s">
        <v>527</v>
      </c>
      <c r="D14" s="5" t="s">
        <v>528</v>
      </c>
      <c r="E14" s="20"/>
      <c r="F14" s="20"/>
      <c r="G14" s="20"/>
      <c r="H14" s="20"/>
      <c r="I14" s="20"/>
      <c r="J14" s="20"/>
      <c r="K14" s="20"/>
      <c r="L14" s="20"/>
      <c r="M14" s="20"/>
      <c r="N14" s="20"/>
      <c r="O14" s="20"/>
      <c r="P14" s="20"/>
      <c r="Q14" s="20"/>
      <c r="R14" s="20"/>
      <c r="S14" s="20"/>
      <c r="T14" s="20"/>
      <c r="U14" s="20"/>
      <c r="V14" s="20"/>
      <c r="W14" s="20"/>
      <c r="X14" s="20"/>
      <c r="Y14" s="20"/>
      <c r="Z14" s="20"/>
    </row>
    <row r="15">
      <c r="A15" s="156" t="s">
        <v>320</v>
      </c>
      <c r="B15" s="156" t="s">
        <v>321</v>
      </c>
      <c r="C15" s="5" t="s">
        <v>458</v>
      </c>
      <c r="D15" s="5" t="s">
        <v>463</v>
      </c>
      <c r="E15" s="104"/>
      <c r="F15" s="104"/>
      <c r="G15" s="104"/>
      <c r="H15" s="104"/>
      <c r="I15" s="104"/>
      <c r="J15" s="104"/>
      <c r="K15" s="104"/>
      <c r="L15" s="104"/>
      <c r="M15" s="104"/>
      <c r="N15" s="104"/>
      <c r="O15" s="104"/>
      <c r="P15" s="104"/>
      <c r="Q15" s="20"/>
      <c r="R15" s="20"/>
      <c r="S15" s="20"/>
      <c r="T15" s="20"/>
      <c r="U15" s="20"/>
      <c r="V15" s="20"/>
      <c r="W15" s="20"/>
      <c r="X15" s="20"/>
      <c r="Y15" s="20"/>
      <c r="Z15" s="20"/>
    </row>
    <row r="16">
      <c r="A16" s="109" t="s">
        <v>323</v>
      </c>
      <c r="B16" s="109"/>
      <c r="C16" s="109" t="s">
        <v>369</v>
      </c>
      <c r="D16" s="109" t="s">
        <v>527</v>
      </c>
      <c r="E16" s="111"/>
      <c r="F16" s="111"/>
      <c r="G16" s="111"/>
      <c r="H16" s="111"/>
      <c r="I16" s="111"/>
      <c r="J16" s="111"/>
      <c r="K16" s="111"/>
      <c r="L16" s="111"/>
      <c r="M16" s="111"/>
      <c r="N16" s="111"/>
      <c r="O16" s="111"/>
      <c r="P16" s="111"/>
      <c r="Q16" s="20"/>
      <c r="R16" s="20"/>
      <c r="S16" s="20"/>
      <c r="T16" s="20"/>
      <c r="U16" s="20"/>
      <c r="V16" s="20"/>
      <c r="W16" s="20"/>
      <c r="X16" s="20"/>
      <c r="Y16" s="20"/>
      <c r="Z16" s="20"/>
    </row>
    <row r="17">
      <c r="A17" s="11" t="s">
        <v>325</v>
      </c>
      <c r="B17" s="11" t="s">
        <v>326</v>
      </c>
      <c r="C17" s="5" t="s">
        <v>457</v>
      </c>
      <c r="D17" s="5" t="s">
        <v>529</v>
      </c>
      <c r="E17" s="163"/>
      <c r="F17" s="162"/>
      <c r="G17" s="162"/>
      <c r="H17" s="173"/>
      <c r="I17" s="163"/>
      <c r="J17" s="163"/>
      <c r="K17" s="163"/>
      <c r="L17" s="163"/>
      <c r="M17" s="163"/>
      <c r="N17" s="163"/>
      <c r="O17" s="163"/>
      <c r="P17" s="163"/>
      <c r="Q17" s="163"/>
      <c r="R17" s="163"/>
      <c r="S17" s="163"/>
      <c r="T17" s="163"/>
      <c r="U17" s="163"/>
      <c r="V17" s="163"/>
      <c r="W17" s="163"/>
      <c r="X17" s="163"/>
      <c r="Y17" s="163"/>
      <c r="Z17" s="163"/>
    </row>
    <row r="18">
      <c r="A18" s="5" t="s">
        <v>328</v>
      </c>
      <c r="B18" s="5" t="s">
        <v>329</v>
      </c>
      <c r="C18" s="5">
        <v>1.0</v>
      </c>
      <c r="D18" s="5">
        <v>0.001</v>
      </c>
      <c r="E18" s="20"/>
      <c r="F18" s="134"/>
      <c r="G18" s="134"/>
      <c r="H18" s="174"/>
      <c r="I18" s="20"/>
      <c r="J18" s="20"/>
      <c r="K18" s="20"/>
      <c r="L18" s="20"/>
      <c r="M18" s="20"/>
      <c r="N18" s="20"/>
      <c r="O18" s="20"/>
      <c r="P18" s="20"/>
      <c r="Q18" s="20"/>
      <c r="R18" s="20"/>
      <c r="S18" s="20"/>
      <c r="T18" s="20"/>
      <c r="U18" s="20"/>
      <c r="V18" s="20"/>
      <c r="W18" s="20"/>
      <c r="X18" s="20"/>
      <c r="Y18" s="20"/>
      <c r="Z18" s="20"/>
    </row>
    <row r="19">
      <c r="A19" s="5" t="s">
        <v>330</v>
      </c>
      <c r="B19" s="5" t="s">
        <v>331</v>
      </c>
      <c r="C19" s="5" t="s">
        <v>332</v>
      </c>
      <c r="D19" s="5" t="s">
        <v>530</v>
      </c>
      <c r="E19" s="20"/>
      <c r="F19" s="20"/>
      <c r="G19" s="20"/>
      <c r="H19" s="20"/>
      <c r="I19" s="20"/>
      <c r="J19" s="20"/>
      <c r="K19" s="20"/>
      <c r="L19" s="20"/>
      <c r="M19" s="20"/>
      <c r="N19" s="20"/>
      <c r="O19" s="20"/>
      <c r="P19" s="20"/>
      <c r="Q19" s="20"/>
      <c r="R19" s="20"/>
      <c r="S19" s="20"/>
      <c r="T19" s="20"/>
      <c r="U19" s="20"/>
      <c r="V19" s="20"/>
      <c r="W19" s="20"/>
      <c r="X19" s="20"/>
      <c r="Y19" s="20"/>
      <c r="Z19" s="20"/>
    </row>
    <row r="20">
      <c r="A20" s="5" t="s">
        <v>334</v>
      </c>
      <c r="B20" s="5" t="s">
        <v>335</v>
      </c>
      <c r="C20" s="5"/>
      <c r="D20" s="5"/>
      <c r="E20" s="20"/>
      <c r="F20" s="20"/>
      <c r="G20" s="20"/>
      <c r="H20" s="20"/>
      <c r="I20" s="20"/>
      <c r="J20" s="20"/>
      <c r="K20" s="20"/>
      <c r="L20" s="20"/>
      <c r="M20" s="20"/>
      <c r="N20" s="20"/>
      <c r="O20" s="20"/>
      <c r="P20" s="20"/>
      <c r="Q20" s="20"/>
      <c r="R20" s="20"/>
      <c r="S20" s="20"/>
      <c r="T20" s="20"/>
      <c r="U20" s="20"/>
      <c r="V20" s="20"/>
      <c r="W20" s="20"/>
      <c r="X20" s="20"/>
      <c r="Y20" s="20"/>
      <c r="Z20" s="20"/>
    </row>
    <row r="21">
      <c r="A21" s="5" t="s">
        <v>336</v>
      </c>
      <c r="B21" s="5" t="s">
        <v>337</v>
      </c>
      <c r="C21" s="5" t="s">
        <v>384</v>
      </c>
      <c r="D21" s="5" t="s">
        <v>384</v>
      </c>
      <c r="E21" s="20"/>
      <c r="F21" s="20"/>
      <c r="G21" s="20"/>
      <c r="H21" s="20"/>
      <c r="I21" s="20"/>
      <c r="J21" s="20"/>
      <c r="K21" s="20"/>
      <c r="L21" s="20"/>
      <c r="M21" s="20"/>
      <c r="N21" s="20"/>
      <c r="O21" s="20"/>
      <c r="P21" s="20"/>
      <c r="Q21" s="20"/>
      <c r="R21" s="20"/>
      <c r="S21" s="20"/>
      <c r="T21" s="20"/>
      <c r="U21" s="20"/>
      <c r="V21" s="20"/>
      <c r="W21" s="20"/>
      <c r="X21" s="20"/>
      <c r="Y21" s="20"/>
      <c r="Z21" s="20"/>
    </row>
    <row r="22">
      <c r="A22" s="154" t="s">
        <v>339</v>
      </c>
      <c r="B22" s="154" t="s">
        <v>340</v>
      </c>
      <c r="C22" s="11">
        <v>1.25E-6</v>
      </c>
      <c r="D22" s="11">
        <v>1.25E-6</v>
      </c>
      <c r="E22" s="163"/>
      <c r="F22" s="163"/>
      <c r="G22" s="163"/>
      <c r="H22" s="163"/>
      <c r="I22" s="163"/>
      <c r="J22" s="163"/>
      <c r="K22" s="163"/>
      <c r="L22" s="163"/>
      <c r="M22" s="163"/>
      <c r="N22" s="163"/>
      <c r="O22" s="163"/>
      <c r="P22" s="163"/>
      <c r="Q22" s="163"/>
      <c r="R22" s="163"/>
      <c r="S22" s="163"/>
      <c r="T22" s="163"/>
      <c r="U22" s="163"/>
      <c r="V22" s="163"/>
      <c r="W22" s="163"/>
      <c r="X22" s="163"/>
      <c r="Y22" s="163"/>
      <c r="Z22" s="20"/>
    </row>
    <row r="23">
      <c r="A23" s="154" t="s">
        <v>341</v>
      </c>
      <c r="B23" s="154" t="s">
        <v>342</v>
      </c>
      <c r="C23" s="11" t="s">
        <v>524</v>
      </c>
      <c r="D23" s="11" t="s">
        <v>531</v>
      </c>
      <c r="E23" s="163"/>
      <c r="F23" s="163"/>
      <c r="G23" s="163"/>
      <c r="H23" s="163"/>
      <c r="I23" s="163"/>
      <c r="J23" s="163"/>
      <c r="K23" s="163"/>
      <c r="L23" s="163"/>
      <c r="M23" s="163"/>
      <c r="N23" s="163"/>
      <c r="O23" s="163"/>
      <c r="P23" s="163"/>
      <c r="Q23" s="163"/>
      <c r="R23" s="163"/>
      <c r="S23" s="163"/>
      <c r="T23" s="163"/>
      <c r="U23" s="163"/>
      <c r="V23" s="163"/>
      <c r="W23" s="163"/>
      <c r="X23" s="163"/>
      <c r="Y23" s="163"/>
      <c r="Z23" s="20"/>
    </row>
    <row r="24">
      <c r="A24" s="102" t="s">
        <v>343</v>
      </c>
      <c r="B24" s="102" t="s">
        <v>344</v>
      </c>
      <c r="C24" s="102" t="b">
        <v>1</v>
      </c>
      <c r="D24" s="102" t="b">
        <v>1</v>
      </c>
      <c r="E24" s="104"/>
      <c r="F24" s="104"/>
      <c r="G24" s="104"/>
      <c r="H24" s="104"/>
      <c r="I24" s="104"/>
      <c r="J24" s="104"/>
      <c r="K24" s="104"/>
      <c r="L24" s="104"/>
      <c r="M24" s="104"/>
      <c r="N24" s="104"/>
      <c r="O24" s="104"/>
      <c r="P24" s="104"/>
      <c r="Q24" s="20"/>
      <c r="R24" s="20"/>
      <c r="S24" s="20"/>
      <c r="T24" s="20"/>
      <c r="U24" s="20"/>
      <c r="V24" s="20"/>
      <c r="W24" s="20"/>
      <c r="X24" s="20"/>
      <c r="Y24" s="20"/>
      <c r="Z24" s="20"/>
    </row>
    <row r="25">
      <c r="A25" s="109" t="s">
        <v>345</v>
      </c>
      <c r="B25" s="109" t="s">
        <v>346</v>
      </c>
      <c r="C25" s="109" t="s">
        <v>468</v>
      </c>
      <c r="D25" s="109" t="s">
        <v>532</v>
      </c>
      <c r="E25" s="111"/>
      <c r="F25" s="111"/>
      <c r="G25" s="111"/>
      <c r="H25" s="111"/>
      <c r="I25" s="111"/>
      <c r="J25" s="111"/>
      <c r="K25" s="111"/>
      <c r="L25" s="111"/>
      <c r="M25" s="111"/>
      <c r="N25" s="111"/>
      <c r="O25" s="111"/>
      <c r="P25" s="111"/>
      <c r="Q25" s="20"/>
      <c r="R25" s="20"/>
      <c r="S25" s="20"/>
      <c r="T25" s="20"/>
      <c r="U25" s="20"/>
      <c r="V25" s="20"/>
      <c r="W25" s="20"/>
      <c r="X25" s="20"/>
      <c r="Y25" s="20"/>
      <c r="Z25" s="20"/>
    </row>
    <row r="26">
      <c r="A26" s="5" t="s">
        <v>347</v>
      </c>
      <c r="B26" s="5" t="s">
        <v>348</v>
      </c>
      <c r="C26" s="5" t="s">
        <v>533</v>
      </c>
      <c r="D26" s="5" t="s">
        <v>534</v>
      </c>
      <c r="E26" s="20"/>
      <c r="F26" s="20"/>
      <c r="G26" s="20"/>
      <c r="H26" s="20"/>
      <c r="I26" s="20"/>
      <c r="J26" s="20"/>
      <c r="K26" s="20"/>
      <c r="L26" s="20"/>
      <c r="M26" s="20"/>
      <c r="N26" s="20"/>
      <c r="O26" s="20"/>
      <c r="P26" s="20"/>
      <c r="Q26" s="20"/>
      <c r="R26" s="20"/>
      <c r="S26" s="20"/>
      <c r="T26" s="20"/>
      <c r="U26" s="20"/>
      <c r="V26" s="20"/>
      <c r="W26" s="20"/>
      <c r="X26" s="20"/>
      <c r="Y26" s="20"/>
      <c r="Z26" s="20"/>
    </row>
    <row r="27">
      <c r="A27" s="5" t="s">
        <v>349</v>
      </c>
      <c r="B27" s="20"/>
      <c r="C27" s="5" t="s">
        <v>474</v>
      </c>
      <c r="D27" s="5" t="s">
        <v>521</v>
      </c>
      <c r="E27" s="20"/>
      <c r="F27" s="20"/>
      <c r="G27" s="20"/>
      <c r="H27" s="20"/>
      <c r="I27" s="20"/>
      <c r="J27" s="20"/>
      <c r="K27" s="20"/>
      <c r="L27" s="20"/>
      <c r="M27" s="20"/>
      <c r="N27" s="20"/>
      <c r="O27" s="20"/>
      <c r="P27" s="20"/>
      <c r="Q27" s="20"/>
      <c r="R27" s="20"/>
      <c r="S27" s="20"/>
      <c r="T27" s="20"/>
      <c r="U27" s="20"/>
      <c r="V27" s="20"/>
      <c r="W27" s="20"/>
      <c r="X27" s="20"/>
      <c r="Y27" s="20"/>
      <c r="Z27" s="20"/>
    </row>
    <row r="28">
      <c r="A28" s="5" t="s">
        <v>350</v>
      </c>
      <c r="B28" s="5" t="s">
        <v>351</v>
      </c>
      <c r="C28" s="169">
        <f>74.09/24.305*1.2</f>
        <v>3.658012755</v>
      </c>
      <c r="D28" s="176">
        <v>0.005</v>
      </c>
      <c r="E28" s="20"/>
      <c r="F28" s="20"/>
      <c r="G28" s="20"/>
      <c r="H28" s="20"/>
      <c r="I28" s="20"/>
      <c r="J28" s="20"/>
      <c r="K28" s="20"/>
      <c r="L28" s="20"/>
      <c r="M28" s="20"/>
      <c r="N28" s="20"/>
      <c r="O28" s="20"/>
      <c r="P28" s="20"/>
      <c r="Q28" s="20"/>
      <c r="R28" s="20"/>
      <c r="S28" s="20"/>
      <c r="T28" s="20"/>
      <c r="U28" s="20"/>
      <c r="V28" s="20"/>
      <c r="W28" s="20"/>
      <c r="X28" s="20"/>
      <c r="Y28" s="20"/>
      <c r="Z28" s="20"/>
    </row>
    <row r="29">
      <c r="A29" s="5" t="s">
        <v>352</v>
      </c>
      <c r="B29" s="5" t="s">
        <v>353</v>
      </c>
      <c r="C29" s="5">
        <v>0.95</v>
      </c>
      <c r="D29" s="5">
        <v>0.005</v>
      </c>
      <c r="E29" s="20"/>
      <c r="F29" s="20"/>
      <c r="G29" s="20"/>
      <c r="H29" s="20"/>
      <c r="I29" s="20"/>
      <c r="J29" s="20"/>
      <c r="K29" s="20"/>
      <c r="L29" s="20"/>
      <c r="M29" s="20"/>
      <c r="N29" s="20"/>
      <c r="O29" s="20"/>
      <c r="P29" s="20"/>
      <c r="Q29" s="20"/>
      <c r="R29" s="20"/>
      <c r="S29" s="20"/>
      <c r="T29" s="20"/>
      <c r="U29" s="20"/>
      <c r="V29" s="20"/>
      <c r="W29" s="20"/>
      <c r="X29" s="20"/>
      <c r="Y29" s="20"/>
      <c r="Z29" s="20"/>
    </row>
    <row r="30">
      <c r="A30" s="5" t="s">
        <v>354</v>
      </c>
      <c r="B30" s="20"/>
      <c r="C30" s="5" t="s">
        <v>476</v>
      </c>
      <c r="D30" s="5" t="s">
        <v>535</v>
      </c>
      <c r="E30" s="20"/>
      <c r="F30" s="20"/>
      <c r="G30" s="20"/>
      <c r="H30" s="20"/>
      <c r="I30" s="20"/>
      <c r="J30" s="20"/>
      <c r="K30" s="20"/>
      <c r="L30" s="20"/>
      <c r="M30" s="20"/>
      <c r="N30" s="20"/>
      <c r="O30" s="20"/>
      <c r="P30" s="20"/>
      <c r="Q30" s="20"/>
      <c r="R30" s="20"/>
      <c r="S30" s="20"/>
      <c r="T30" s="20"/>
      <c r="U30" s="20"/>
      <c r="V30" s="20"/>
      <c r="W30" s="20"/>
      <c r="X30" s="20"/>
      <c r="Y30" s="20"/>
      <c r="Z30" s="20"/>
    </row>
    <row r="31">
      <c r="A31" s="5" t="s">
        <v>355</v>
      </c>
      <c r="B31" s="5" t="s">
        <v>346</v>
      </c>
      <c r="C31" s="6" t="s">
        <v>536</v>
      </c>
      <c r="D31" s="168"/>
      <c r="E31" s="20"/>
      <c r="F31" s="20"/>
      <c r="G31" s="20"/>
      <c r="H31" s="20"/>
      <c r="I31" s="20"/>
      <c r="J31" s="20"/>
      <c r="K31" s="20"/>
      <c r="L31" s="20"/>
      <c r="M31" s="20"/>
      <c r="N31" s="20"/>
      <c r="O31" s="20"/>
      <c r="P31" s="20"/>
      <c r="Q31" s="20"/>
      <c r="R31" s="20"/>
      <c r="S31" s="20"/>
      <c r="T31" s="20"/>
      <c r="U31" s="20"/>
      <c r="V31" s="20"/>
      <c r="W31" s="20"/>
      <c r="X31" s="20"/>
      <c r="Y31" s="20"/>
      <c r="Z31" s="20"/>
    </row>
    <row r="32">
      <c r="A32" s="5" t="s">
        <v>356</v>
      </c>
      <c r="B32" s="5" t="s">
        <v>348</v>
      </c>
      <c r="C32" s="6" t="s">
        <v>537</v>
      </c>
      <c r="D32" s="168"/>
      <c r="E32" s="20"/>
      <c r="F32" s="20"/>
      <c r="G32" s="20"/>
      <c r="H32" s="20"/>
      <c r="I32" s="20"/>
      <c r="J32" s="20"/>
      <c r="K32" s="20"/>
      <c r="L32" s="20"/>
      <c r="M32" s="20"/>
      <c r="N32" s="20"/>
      <c r="O32" s="20"/>
      <c r="P32" s="20"/>
      <c r="Q32" s="20"/>
      <c r="R32" s="20"/>
      <c r="S32" s="20"/>
      <c r="T32" s="20"/>
      <c r="U32" s="20"/>
      <c r="V32" s="20"/>
      <c r="W32" s="20"/>
      <c r="X32" s="20"/>
      <c r="Y32" s="20"/>
      <c r="Z32" s="20"/>
    </row>
    <row r="33">
      <c r="A33" s="5" t="s">
        <v>357</v>
      </c>
      <c r="B33" s="20"/>
      <c r="C33" s="5" t="s">
        <v>538</v>
      </c>
      <c r="D33" s="168"/>
      <c r="E33" s="20"/>
      <c r="F33" s="20"/>
      <c r="G33" s="20"/>
      <c r="H33" s="20"/>
      <c r="I33" s="20"/>
      <c r="J33" s="20"/>
      <c r="K33" s="20"/>
      <c r="L33" s="20"/>
      <c r="M33" s="20"/>
      <c r="N33" s="20"/>
      <c r="O33" s="20"/>
      <c r="P33" s="20"/>
      <c r="Q33" s="20"/>
      <c r="R33" s="20"/>
      <c r="S33" s="20"/>
      <c r="T33" s="20"/>
      <c r="U33" s="20"/>
      <c r="V33" s="20"/>
      <c r="W33" s="20"/>
      <c r="X33" s="20"/>
      <c r="Y33" s="20"/>
      <c r="Z33" s="20"/>
    </row>
    <row r="34">
      <c r="A34" s="5" t="s">
        <v>358</v>
      </c>
      <c r="B34" s="5" t="s">
        <v>351</v>
      </c>
      <c r="C34" s="169">
        <f>105.988/40.078*1.2</f>
        <v>3.173451769</v>
      </c>
      <c r="D34" s="177"/>
      <c r="E34" s="20"/>
      <c r="F34" s="20"/>
      <c r="G34" s="20"/>
      <c r="H34" s="20"/>
      <c r="I34" s="20"/>
      <c r="J34" s="20"/>
      <c r="K34" s="20"/>
      <c r="L34" s="20"/>
      <c r="M34" s="20"/>
      <c r="N34" s="20"/>
      <c r="O34" s="20"/>
      <c r="P34" s="20"/>
      <c r="Q34" s="20"/>
      <c r="R34" s="20"/>
      <c r="S34" s="20"/>
      <c r="T34" s="20"/>
      <c r="U34" s="20"/>
      <c r="V34" s="20"/>
      <c r="W34" s="20"/>
      <c r="X34" s="20"/>
      <c r="Y34" s="20"/>
      <c r="Z34" s="20"/>
    </row>
    <row r="35">
      <c r="A35" s="5" t="s">
        <v>359</v>
      </c>
      <c r="B35" s="5" t="s">
        <v>353</v>
      </c>
      <c r="C35" s="5">
        <v>0.9</v>
      </c>
      <c r="D35" s="168"/>
      <c r="E35" s="20"/>
      <c r="F35" s="20"/>
      <c r="G35" s="20"/>
      <c r="H35" s="20"/>
      <c r="I35" s="20"/>
      <c r="J35" s="20"/>
      <c r="K35" s="20"/>
      <c r="L35" s="20"/>
      <c r="M35" s="20"/>
      <c r="N35" s="20"/>
      <c r="O35" s="20"/>
      <c r="P35" s="20"/>
      <c r="Q35" s="20"/>
      <c r="R35" s="20"/>
      <c r="S35" s="20"/>
      <c r="T35" s="20"/>
      <c r="U35" s="20"/>
      <c r="V35" s="20"/>
      <c r="W35" s="20"/>
      <c r="X35" s="20"/>
      <c r="Y35" s="20"/>
      <c r="Z35" s="20"/>
    </row>
    <row r="36">
      <c r="A36" s="5" t="s">
        <v>360</v>
      </c>
      <c r="B36" s="20"/>
      <c r="C36" s="5" t="s">
        <v>539</v>
      </c>
      <c r="D36" s="168"/>
      <c r="E36" s="20"/>
      <c r="F36" s="20"/>
      <c r="G36" s="20"/>
      <c r="H36" s="20"/>
      <c r="I36" s="20"/>
      <c r="J36" s="20"/>
      <c r="K36" s="20"/>
      <c r="L36" s="20"/>
      <c r="M36" s="20"/>
      <c r="N36" s="20"/>
      <c r="O36" s="20"/>
      <c r="P36" s="20"/>
      <c r="Q36" s="20"/>
      <c r="R36" s="20"/>
      <c r="S36" s="20"/>
      <c r="T36" s="20"/>
      <c r="U36" s="20"/>
      <c r="V36" s="20"/>
      <c r="W36" s="20"/>
      <c r="X36" s="20"/>
      <c r="Y36" s="20"/>
      <c r="Z36" s="20"/>
    </row>
    <row r="37">
      <c r="A37" s="5" t="s">
        <v>361</v>
      </c>
      <c r="B37" s="5" t="s">
        <v>346</v>
      </c>
      <c r="C37" s="6" t="s">
        <v>536</v>
      </c>
      <c r="D37" s="20"/>
      <c r="E37" s="20"/>
      <c r="F37" s="20"/>
      <c r="G37" s="20"/>
      <c r="H37" s="20"/>
      <c r="I37" s="20"/>
      <c r="J37" s="20"/>
      <c r="K37" s="20"/>
      <c r="L37" s="20"/>
      <c r="M37" s="20"/>
      <c r="N37" s="20"/>
      <c r="O37" s="20"/>
      <c r="P37" s="20"/>
      <c r="Q37" s="20"/>
      <c r="R37" s="20"/>
      <c r="S37" s="20"/>
      <c r="T37" s="20"/>
      <c r="U37" s="20"/>
      <c r="V37" s="20"/>
      <c r="W37" s="20"/>
      <c r="X37" s="20"/>
      <c r="Y37" s="20"/>
      <c r="Z37" s="20"/>
    </row>
    <row r="38">
      <c r="A38" s="5" t="s">
        <v>362</v>
      </c>
      <c r="B38" s="5" t="s">
        <v>348</v>
      </c>
      <c r="C38" s="6" t="s">
        <v>537</v>
      </c>
      <c r="D38" s="20"/>
      <c r="E38" s="20"/>
      <c r="F38" s="20"/>
      <c r="G38" s="20"/>
      <c r="H38" s="20"/>
      <c r="I38" s="20"/>
      <c r="J38" s="20"/>
      <c r="K38" s="20"/>
      <c r="L38" s="20"/>
      <c r="M38" s="20"/>
      <c r="N38" s="20"/>
      <c r="O38" s="20"/>
      <c r="P38" s="20"/>
      <c r="Q38" s="20"/>
      <c r="R38" s="20"/>
      <c r="S38" s="20"/>
      <c r="T38" s="20"/>
      <c r="U38" s="20"/>
      <c r="V38" s="20"/>
      <c r="W38" s="20"/>
      <c r="X38" s="20"/>
      <c r="Y38" s="20"/>
      <c r="Z38" s="20"/>
    </row>
    <row r="39">
      <c r="A39" s="5" t="s">
        <v>363</v>
      </c>
      <c r="B39" s="20"/>
      <c r="C39" s="5" t="s">
        <v>474</v>
      </c>
      <c r="D39" s="20"/>
      <c r="E39" s="20"/>
      <c r="F39" s="20"/>
      <c r="G39" s="20"/>
      <c r="H39" s="20"/>
      <c r="I39" s="20"/>
      <c r="J39" s="20"/>
      <c r="K39" s="20"/>
      <c r="L39" s="20"/>
      <c r="M39" s="20"/>
      <c r="N39" s="20"/>
      <c r="O39" s="20"/>
      <c r="P39" s="20"/>
      <c r="Q39" s="20"/>
      <c r="R39" s="20"/>
      <c r="S39" s="20"/>
      <c r="T39" s="20"/>
      <c r="U39" s="20"/>
      <c r="V39" s="20"/>
      <c r="W39" s="20"/>
      <c r="X39" s="20"/>
      <c r="Y39" s="20"/>
      <c r="Z39" s="20"/>
    </row>
    <row r="40">
      <c r="A40" s="5" t="s">
        <v>364</v>
      </c>
      <c r="B40" s="5" t="s">
        <v>351</v>
      </c>
      <c r="C40" s="169">
        <f>105.988/24.305*1.2*1.2</f>
        <v>6.279478297</v>
      </c>
      <c r="D40" s="20"/>
      <c r="E40" s="20"/>
      <c r="F40" s="20"/>
      <c r="G40" s="20"/>
      <c r="H40" s="20"/>
      <c r="I40" s="20"/>
      <c r="J40" s="20"/>
      <c r="K40" s="20"/>
      <c r="L40" s="20"/>
      <c r="M40" s="20"/>
      <c r="N40" s="20"/>
      <c r="O40" s="20"/>
      <c r="P40" s="20"/>
      <c r="Q40" s="20"/>
      <c r="R40" s="20"/>
      <c r="S40" s="20"/>
      <c r="T40" s="20"/>
      <c r="U40" s="20"/>
      <c r="V40" s="20"/>
      <c r="W40" s="20"/>
      <c r="X40" s="20"/>
      <c r="Y40" s="20"/>
      <c r="Z40" s="20"/>
    </row>
    <row r="41">
      <c r="A41" s="5" t="s">
        <v>365</v>
      </c>
      <c r="B41" s="5" t="s">
        <v>353</v>
      </c>
      <c r="C41" s="5">
        <v>0.0</v>
      </c>
      <c r="D41" s="20"/>
      <c r="E41" s="20"/>
      <c r="F41" s="20"/>
      <c r="G41" s="20"/>
      <c r="H41" s="20"/>
      <c r="I41" s="20"/>
      <c r="J41" s="20"/>
      <c r="K41" s="20"/>
      <c r="L41" s="20"/>
      <c r="M41" s="20"/>
      <c r="N41" s="20"/>
      <c r="O41" s="20"/>
      <c r="P41" s="20"/>
      <c r="Q41" s="20"/>
      <c r="R41" s="20"/>
      <c r="S41" s="20"/>
      <c r="T41" s="20"/>
      <c r="U41" s="20"/>
      <c r="V41" s="20"/>
      <c r="W41" s="20"/>
      <c r="X41" s="20"/>
      <c r="Y41" s="20"/>
      <c r="Z41" s="20"/>
    </row>
    <row r="42">
      <c r="A42" s="102" t="s">
        <v>366</v>
      </c>
      <c r="B42" s="102"/>
      <c r="C42" s="5" t="s">
        <v>540</v>
      </c>
      <c r="D42" s="102"/>
      <c r="E42" s="104"/>
      <c r="F42" s="104"/>
      <c r="G42" s="104"/>
      <c r="H42" s="104"/>
      <c r="I42" s="104"/>
      <c r="J42" s="104"/>
      <c r="K42" s="104"/>
      <c r="L42" s="104"/>
      <c r="M42" s="104"/>
      <c r="N42" s="104"/>
      <c r="O42" s="104"/>
      <c r="P42" s="104"/>
      <c r="Q42" s="20"/>
      <c r="R42" s="20"/>
      <c r="S42" s="20"/>
      <c r="T42" s="20"/>
      <c r="U42" s="20"/>
      <c r="V42" s="20"/>
      <c r="W42" s="20"/>
      <c r="X42" s="20"/>
      <c r="Y42" s="20"/>
      <c r="Z42" s="20"/>
    </row>
    <row r="43">
      <c r="A43" s="109" t="s">
        <v>367</v>
      </c>
      <c r="B43" s="109" t="s">
        <v>368</v>
      </c>
      <c r="C43" s="109" t="s">
        <v>527</v>
      </c>
      <c r="D43" s="109" t="s">
        <v>528</v>
      </c>
      <c r="E43" s="111"/>
      <c r="F43" s="111"/>
      <c r="G43" s="111"/>
      <c r="H43" s="111"/>
      <c r="I43" s="111"/>
      <c r="J43" s="111"/>
      <c r="K43" s="111"/>
      <c r="L43" s="111"/>
      <c r="M43" s="111"/>
      <c r="N43" s="111"/>
      <c r="O43" s="111"/>
      <c r="P43" s="111"/>
      <c r="Q43" s="20"/>
      <c r="R43" s="20"/>
      <c r="S43" s="20"/>
      <c r="T43" s="20"/>
      <c r="U43" s="20"/>
      <c r="V43" s="20"/>
      <c r="W43" s="20"/>
      <c r="X43" s="20"/>
      <c r="Y43" s="20"/>
      <c r="Z43" s="20"/>
    </row>
    <row r="44">
      <c r="A44" s="5" t="s">
        <v>370</v>
      </c>
      <c r="B44" s="5" t="s">
        <v>371</v>
      </c>
      <c r="C44" s="5" t="s">
        <v>510</v>
      </c>
      <c r="D44" s="5" t="s">
        <v>372</v>
      </c>
      <c r="E44" s="20"/>
      <c r="F44" s="20"/>
      <c r="G44" s="20"/>
      <c r="H44" s="20"/>
      <c r="I44" s="20"/>
      <c r="J44" s="20"/>
      <c r="K44" s="20"/>
      <c r="L44" s="20"/>
      <c r="M44" s="20"/>
      <c r="N44" s="20"/>
      <c r="O44" s="20"/>
      <c r="P44" s="20"/>
      <c r="Q44" s="20"/>
      <c r="R44" s="20"/>
      <c r="S44" s="20"/>
      <c r="T44" s="20"/>
      <c r="U44" s="20"/>
      <c r="V44" s="20"/>
      <c r="W44" s="20"/>
      <c r="X44" s="20"/>
      <c r="Y44" s="20"/>
      <c r="Z44" s="20"/>
    </row>
    <row r="45">
      <c r="A45" s="5" t="s">
        <v>377</v>
      </c>
      <c r="B45" s="11" t="s">
        <v>376</v>
      </c>
      <c r="C45" s="5" t="s">
        <v>464</v>
      </c>
      <c r="D45" s="5" t="s">
        <v>465</v>
      </c>
      <c r="E45" s="5"/>
      <c r="F45" s="20"/>
      <c r="G45" s="20"/>
      <c r="H45" s="20"/>
      <c r="I45" s="20"/>
      <c r="J45" s="20"/>
      <c r="K45" s="20"/>
      <c r="L45" s="20"/>
      <c r="M45" s="20"/>
      <c r="N45" s="20"/>
      <c r="O45" s="20"/>
      <c r="P45" s="20"/>
      <c r="Q45" s="20"/>
      <c r="R45" s="20"/>
      <c r="S45" s="20"/>
      <c r="T45" s="20"/>
      <c r="U45" s="20"/>
      <c r="V45" s="20"/>
      <c r="W45" s="20"/>
      <c r="X45" s="20"/>
      <c r="Y45" s="20"/>
      <c r="Z45" s="20"/>
    </row>
    <row r="46">
      <c r="A46" s="5" t="s">
        <v>373</v>
      </c>
      <c r="B46" s="11" t="s">
        <v>374</v>
      </c>
      <c r="C46" s="69">
        <v>1.0</v>
      </c>
      <c r="D46" s="69">
        <v>0.995</v>
      </c>
      <c r="E46" s="5"/>
      <c r="F46" s="5"/>
      <c r="G46" s="5"/>
      <c r="H46" s="5"/>
      <c r="I46" s="5"/>
      <c r="J46" s="20"/>
      <c r="K46" s="20"/>
      <c r="L46" s="20"/>
      <c r="M46" s="20"/>
      <c r="N46" s="20"/>
      <c r="O46" s="20"/>
      <c r="P46" s="20"/>
      <c r="Q46" s="20"/>
      <c r="R46" s="20"/>
      <c r="S46" s="20"/>
      <c r="T46" s="20"/>
    </row>
    <row r="47">
      <c r="A47" s="5" t="s">
        <v>375</v>
      </c>
      <c r="B47" s="5" t="s">
        <v>378</v>
      </c>
      <c r="C47" s="71">
        <v>1.0</v>
      </c>
      <c r="D47" s="71">
        <v>1000.0</v>
      </c>
      <c r="E47" s="5"/>
      <c r="F47" s="20"/>
      <c r="G47" s="20"/>
      <c r="H47" s="20"/>
      <c r="I47" s="20"/>
      <c r="J47" s="20"/>
      <c r="K47" s="20"/>
      <c r="L47" s="20"/>
      <c r="M47" s="20"/>
      <c r="N47" s="20"/>
      <c r="O47" s="20"/>
      <c r="P47" s="20"/>
    </row>
    <row r="48">
      <c r="A48" s="5" t="s">
        <v>380</v>
      </c>
      <c r="B48" s="20"/>
      <c r="C48" s="5" t="s">
        <v>530</v>
      </c>
      <c r="D48" s="5" t="s">
        <v>541</v>
      </c>
      <c r="E48" s="5"/>
      <c r="F48" s="20"/>
      <c r="G48" s="20"/>
      <c r="H48" s="20"/>
      <c r="I48" s="20"/>
      <c r="J48" s="20"/>
      <c r="K48" s="20"/>
      <c r="L48" s="20"/>
      <c r="M48" s="20"/>
      <c r="N48" s="20"/>
      <c r="O48" s="20"/>
      <c r="P48" s="20"/>
      <c r="Q48" s="20"/>
      <c r="R48" s="20"/>
      <c r="S48" s="20"/>
      <c r="T48" s="20"/>
      <c r="U48" s="20"/>
      <c r="V48" s="20"/>
      <c r="W48" s="20"/>
      <c r="X48" s="20"/>
      <c r="Y48" s="20"/>
      <c r="Z48" s="20"/>
    </row>
    <row r="49">
      <c r="A49" s="5" t="s">
        <v>382</v>
      </c>
      <c r="B49" s="20"/>
      <c r="C49" s="5"/>
      <c r="D49" s="5"/>
      <c r="E49" s="20"/>
      <c r="F49" s="20"/>
      <c r="G49" s="20"/>
      <c r="H49" s="20"/>
      <c r="I49" s="20"/>
      <c r="J49" s="20"/>
      <c r="K49" s="20"/>
      <c r="L49" s="20"/>
      <c r="M49" s="20"/>
      <c r="N49" s="20"/>
      <c r="O49" s="20"/>
      <c r="P49" s="20"/>
      <c r="Q49" s="20"/>
      <c r="R49" s="20"/>
      <c r="S49" s="20"/>
      <c r="T49" s="20"/>
      <c r="U49" s="20"/>
      <c r="V49" s="20"/>
      <c r="W49" s="20"/>
      <c r="X49" s="20"/>
      <c r="Y49" s="20"/>
      <c r="Z49" s="20"/>
    </row>
    <row r="50">
      <c r="A50" s="154" t="s">
        <v>383</v>
      </c>
      <c r="B50" s="10"/>
      <c r="C50" s="154"/>
      <c r="D50" s="154"/>
      <c r="E50" s="163"/>
      <c r="F50" s="163"/>
      <c r="G50" s="163"/>
      <c r="H50" s="163"/>
      <c r="I50" s="163"/>
      <c r="J50" s="163"/>
      <c r="K50" s="163"/>
      <c r="L50" s="163"/>
      <c r="M50" s="163"/>
      <c r="N50" s="163"/>
      <c r="O50" s="163"/>
      <c r="P50" s="163"/>
      <c r="Q50" s="163"/>
      <c r="R50" s="163"/>
      <c r="S50" s="163"/>
      <c r="T50" s="163"/>
      <c r="U50" s="163"/>
      <c r="V50" s="163"/>
      <c r="W50" s="163"/>
      <c r="X50" s="163"/>
      <c r="Y50" s="163"/>
      <c r="Z50" s="163"/>
    </row>
    <row r="51">
      <c r="A51" s="154" t="s">
        <v>385</v>
      </c>
      <c r="B51" s="154" t="s">
        <v>340</v>
      </c>
      <c r="C51" s="165">
        <v>1.25E-6</v>
      </c>
      <c r="D51" s="165">
        <v>1.25E-6</v>
      </c>
      <c r="E51" s="163"/>
      <c r="F51" s="163"/>
      <c r="G51" s="163"/>
      <c r="H51" s="163"/>
      <c r="I51" s="163"/>
      <c r="J51" s="163"/>
      <c r="K51" s="163"/>
      <c r="L51" s="163"/>
      <c r="M51" s="163"/>
      <c r="N51" s="163"/>
      <c r="O51" s="163"/>
      <c r="P51" s="163"/>
      <c r="Q51" s="163"/>
      <c r="R51" s="163"/>
      <c r="S51" s="163"/>
      <c r="T51" s="163"/>
      <c r="U51" s="163"/>
      <c r="V51" s="163"/>
      <c r="W51" s="163"/>
      <c r="X51" s="163"/>
      <c r="Y51" s="163"/>
      <c r="Z51" s="20"/>
    </row>
    <row r="52">
      <c r="A52" s="154" t="s">
        <v>386</v>
      </c>
      <c r="B52" s="154" t="s">
        <v>342</v>
      </c>
      <c r="C52" s="11" t="s">
        <v>531</v>
      </c>
      <c r="D52" s="11" t="s">
        <v>542</v>
      </c>
      <c r="E52" s="163"/>
      <c r="F52" s="163"/>
      <c r="G52" s="163"/>
      <c r="H52" s="163"/>
      <c r="I52" s="163"/>
      <c r="J52" s="163"/>
      <c r="K52" s="163"/>
      <c r="L52" s="163"/>
      <c r="M52" s="163"/>
      <c r="N52" s="163"/>
      <c r="O52" s="163"/>
      <c r="P52" s="163"/>
      <c r="Q52" s="163"/>
      <c r="R52" s="163"/>
      <c r="S52" s="163"/>
      <c r="T52" s="163"/>
      <c r="U52" s="163"/>
      <c r="V52" s="163"/>
      <c r="W52" s="163"/>
      <c r="X52" s="163"/>
      <c r="Y52" s="163"/>
      <c r="Z52" s="20"/>
    </row>
    <row r="53">
      <c r="A53" s="102" t="s">
        <v>387</v>
      </c>
      <c r="B53" s="102" t="s">
        <v>388</v>
      </c>
      <c r="C53" s="102" t="b">
        <v>1</v>
      </c>
      <c r="D53" s="102" t="b">
        <v>1</v>
      </c>
      <c r="E53" s="104"/>
      <c r="F53" s="104"/>
      <c r="G53" s="104"/>
      <c r="H53" s="104"/>
      <c r="I53" s="104"/>
      <c r="J53" s="104"/>
      <c r="K53" s="104"/>
      <c r="L53" s="104"/>
      <c r="M53" s="104"/>
      <c r="N53" s="104"/>
      <c r="O53" s="104"/>
      <c r="P53" s="104"/>
      <c r="Q53" s="20"/>
      <c r="R53" s="20"/>
      <c r="S53" s="20"/>
      <c r="T53" s="20"/>
      <c r="U53" s="20"/>
      <c r="V53" s="20"/>
      <c r="W53" s="20"/>
      <c r="X53" s="20"/>
      <c r="Y53" s="20"/>
      <c r="Z53" s="20"/>
    </row>
    <row r="54">
      <c r="A54" s="109" t="s">
        <v>389</v>
      </c>
      <c r="B54" s="109"/>
      <c r="C54" s="109"/>
      <c r="D54" s="109" t="s">
        <v>543</v>
      </c>
      <c r="E54" s="111"/>
      <c r="F54" s="111"/>
      <c r="G54" s="111"/>
      <c r="H54" s="111"/>
      <c r="I54" s="111"/>
      <c r="J54" s="111"/>
      <c r="K54" s="111"/>
      <c r="L54" s="111"/>
      <c r="M54" s="111"/>
      <c r="N54" s="111"/>
      <c r="O54" s="111"/>
      <c r="P54" s="111"/>
      <c r="Q54" s="20"/>
      <c r="R54" s="20"/>
      <c r="S54" s="20"/>
      <c r="T54" s="20"/>
      <c r="U54" s="20"/>
      <c r="V54" s="20"/>
      <c r="W54" s="20"/>
      <c r="X54" s="20"/>
      <c r="Y54" s="20"/>
      <c r="Z54" s="20"/>
    </row>
    <row r="55">
      <c r="A55" s="5" t="s">
        <v>390</v>
      </c>
      <c r="B55" s="20"/>
      <c r="C55" s="5"/>
      <c r="D55" s="5" t="s">
        <v>544</v>
      </c>
      <c r="E55" s="5"/>
      <c r="F55" s="20"/>
      <c r="G55" s="20"/>
      <c r="H55" s="20"/>
      <c r="I55" s="20"/>
      <c r="J55" s="20"/>
      <c r="K55" s="20"/>
      <c r="L55" s="20"/>
      <c r="M55" s="20"/>
      <c r="N55" s="20"/>
      <c r="O55" s="20"/>
      <c r="P55" s="20"/>
      <c r="Q55" s="20"/>
      <c r="R55" s="20"/>
      <c r="S55" s="20"/>
      <c r="T55" s="20"/>
      <c r="U55" s="20"/>
      <c r="V55" s="20"/>
      <c r="W55" s="20"/>
      <c r="X55" s="20"/>
      <c r="Y55" s="20"/>
      <c r="Z55" s="20"/>
    </row>
    <row r="56">
      <c r="A56" s="5" t="s">
        <v>392</v>
      </c>
      <c r="B56" s="20"/>
      <c r="C56" s="5"/>
      <c r="D56" s="71">
        <f>0.232</f>
        <v>0.232</v>
      </c>
      <c r="E56" s="5"/>
      <c r="F56" s="20"/>
      <c r="G56" s="20"/>
      <c r="H56" s="20"/>
      <c r="I56" s="20"/>
      <c r="J56" s="20"/>
      <c r="K56" s="20"/>
      <c r="L56" s="20"/>
      <c r="M56" s="20"/>
      <c r="N56" s="20"/>
      <c r="O56" s="20"/>
      <c r="P56" s="20"/>
      <c r="Q56" s="20"/>
      <c r="R56" s="20"/>
      <c r="S56" s="20"/>
      <c r="T56" s="20"/>
      <c r="U56" s="20"/>
      <c r="V56" s="20"/>
      <c r="W56" s="20"/>
      <c r="X56" s="20"/>
      <c r="Y56" s="20"/>
      <c r="Z56" s="20"/>
    </row>
    <row r="57">
      <c r="A57" s="5" t="s">
        <v>393</v>
      </c>
      <c r="B57" s="20"/>
      <c r="C57" s="5"/>
      <c r="D57" s="5" t="s">
        <v>545</v>
      </c>
      <c r="E57" s="5"/>
      <c r="F57" s="20"/>
      <c r="G57" s="20"/>
      <c r="H57" s="20"/>
      <c r="I57" s="20"/>
      <c r="J57" s="20"/>
      <c r="K57" s="20"/>
      <c r="L57" s="20"/>
      <c r="M57" s="20"/>
      <c r="N57" s="20"/>
      <c r="O57" s="20"/>
      <c r="P57" s="20"/>
      <c r="Q57" s="20"/>
      <c r="R57" s="20"/>
      <c r="S57" s="20"/>
      <c r="T57" s="20"/>
      <c r="U57" s="20"/>
      <c r="V57" s="20"/>
      <c r="W57" s="20"/>
      <c r="X57" s="20"/>
      <c r="Y57" s="20"/>
      <c r="Z57" s="20"/>
    </row>
    <row r="58">
      <c r="A58" s="5" t="s">
        <v>394</v>
      </c>
      <c r="B58" s="20"/>
      <c r="C58" s="5"/>
      <c r="D58" s="5" t="s">
        <v>546</v>
      </c>
      <c r="E58" s="5"/>
      <c r="F58" s="20"/>
      <c r="G58" s="20"/>
      <c r="H58" s="20"/>
      <c r="I58" s="20"/>
      <c r="J58" s="20"/>
      <c r="K58" s="20"/>
      <c r="L58" s="20"/>
      <c r="M58" s="20"/>
      <c r="N58" s="20"/>
      <c r="O58" s="20"/>
      <c r="P58" s="20"/>
      <c r="Q58" s="20"/>
      <c r="R58" s="20"/>
      <c r="S58" s="20"/>
      <c r="T58" s="20"/>
      <c r="U58" s="20"/>
      <c r="V58" s="20"/>
      <c r="W58" s="20"/>
      <c r="X58" s="20"/>
      <c r="Y58" s="20"/>
      <c r="Z58" s="20"/>
    </row>
    <row r="59">
      <c r="A59" s="5" t="s">
        <v>395</v>
      </c>
      <c r="B59" s="20"/>
      <c r="C59" s="5"/>
      <c r="D59" s="5" t="s">
        <v>547</v>
      </c>
      <c r="E59" s="20"/>
      <c r="F59" s="20"/>
      <c r="G59" s="20"/>
      <c r="H59" s="20"/>
      <c r="I59" s="20"/>
      <c r="J59" s="20"/>
      <c r="K59" s="20"/>
      <c r="L59" s="20"/>
      <c r="M59" s="20"/>
      <c r="N59" s="20"/>
      <c r="O59" s="20"/>
      <c r="P59" s="20"/>
      <c r="Q59" s="20"/>
      <c r="R59" s="20"/>
      <c r="S59" s="20"/>
      <c r="T59" s="20"/>
      <c r="U59" s="20"/>
      <c r="V59" s="20"/>
      <c r="W59" s="20"/>
      <c r="X59" s="20"/>
      <c r="Y59" s="20"/>
      <c r="Z59" s="20"/>
    </row>
    <row r="60">
      <c r="A60" s="5" t="s">
        <v>396</v>
      </c>
      <c r="B60" s="20"/>
      <c r="C60" s="5"/>
      <c r="D60" s="168"/>
      <c r="E60" s="20"/>
      <c r="F60" s="20"/>
      <c r="G60" s="20"/>
      <c r="H60" s="20"/>
      <c r="I60" s="20"/>
      <c r="J60" s="20"/>
      <c r="K60" s="20"/>
      <c r="L60" s="20"/>
      <c r="M60" s="20"/>
      <c r="N60" s="20"/>
      <c r="O60" s="20"/>
      <c r="P60" s="20"/>
      <c r="Q60" s="20"/>
      <c r="R60" s="20"/>
      <c r="S60" s="20"/>
      <c r="T60" s="20"/>
      <c r="U60" s="20"/>
      <c r="V60" s="20"/>
      <c r="W60" s="20"/>
      <c r="X60" s="20"/>
      <c r="Y60" s="20"/>
      <c r="Z60" s="20"/>
    </row>
    <row r="61">
      <c r="A61" s="5" t="s">
        <v>397</v>
      </c>
      <c r="B61" s="20"/>
      <c r="C61" s="5"/>
      <c r="D61" s="168"/>
      <c r="E61" s="20"/>
      <c r="F61" s="20"/>
      <c r="G61" s="20"/>
      <c r="H61" s="20"/>
      <c r="I61" s="20"/>
      <c r="J61" s="20"/>
      <c r="K61" s="20"/>
      <c r="L61" s="20"/>
      <c r="M61" s="20"/>
      <c r="N61" s="20"/>
      <c r="O61" s="20"/>
      <c r="P61" s="20"/>
      <c r="Q61" s="20"/>
      <c r="R61" s="20"/>
      <c r="S61" s="20"/>
      <c r="T61" s="20"/>
      <c r="U61" s="20"/>
      <c r="V61" s="20"/>
      <c r="W61" s="20"/>
      <c r="X61" s="20"/>
      <c r="Y61" s="20"/>
      <c r="Z61" s="20"/>
    </row>
    <row r="62">
      <c r="A62" s="5" t="s">
        <v>398</v>
      </c>
      <c r="B62" s="20"/>
      <c r="C62" s="5"/>
      <c r="D62" s="168"/>
      <c r="E62" s="20"/>
      <c r="F62" s="20"/>
      <c r="G62" s="20"/>
      <c r="H62" s="20"/>
      <c r="I62" s="20"/>
      <c r="J62" s="20"/>
      <c r="K62" s="20"/>
      <c r="L62" s="20"/>
      <c r="M62" s="20"/>
      <c r="N62" s="20"/>
      <c r="O62" s="20"/>
      <c r="P62" s="20"/>
      <c r="Q62" s="20"/>
      <c r="R62" s="20"/>
      <c r="S62" s="20"/>
      <c r="T62" s="20"/>
      <c r="U62" s="20"/>
      <c r="V62" s="20"/>
      <c r="W62" s="20"/>
      <c r="X62" s="20"/>
      <c r="Y62" s="20"/>
      <c r="Z62" s="20"/>
    </row>
    <row r="63">
      <c r="A63" s="5" t="s">
        <v>399</v>
      </c>
      <c r="B63" s="20"/>
      <c r="C63" s="5"/>
      <c r="D63" s="168"/>
      <c r="E63" s="20"/>
      <c r="F63" s="20"/>
      <c r="G63" s="20"/>
      <c r="H63" s="20"/>
      <c r="I63" s="20"/>
      <c r="J63" s="20"/>
      <c r="K63" s="20"/>
      <c r="L63" s="20"/>
      <c r="M63" s="20"/>
      <c r="N63" s="20"/>
      <c r="O63" s="20"/>
      <c r="P63" s="20"/>
      <c r="Q63" s="20"/>
      <c r="R63" s="20"/>
      <c r="S63" s="20"/>
      <c r="T63" s="20"/>
      <c r="U63" s="20"/>
      <c r="V63" s="20"/>
      <c r="W63" s="20"/>
      <c r="X63" s="20"/>
      <c r="Y63" s="20"/>
      <c r="Z63" s="20"/>
    </row>
    <row r="64">
      <c r="A64" s="5" t="s">
        <v>400</v>
      </c>
      <c r="B64" s="20"/>
      <c r="C64" s="5"/>
      <c r="D64" s="5"/>
      <c r="E64" s="20"/>
      <c r="F64" s="20"/>
      <c r="G64" s="20"/>
      <c r="H64" s="20"/>
      <c r="I64" s="20"/>
      <c r="J64" s="20"/>
      <c r="K64" s="20"/>
      <c r="L64" s="20"/>
      <c r="M64" s="20"/>
      <c r="N64" s="20"/>
      <c r="O64" s="20"/>
      <c r="P64" s="20"/>
      <c r="Q64" s="20"/>
      <c r="R64" s="20"/>
      <c r="S64" s="20"/>
      <c r="T64" s="20"/>
      <c r="U64" s="20"/>
      <c r="V64" s="20"/>
      <c r="W64" s="20"/>
      <c r="X64" s="20"/>
      <c r="Y64" s="20"/>
      <c r="Z64" s="20"/>
    </row>
    <row r="65">
      <c r="A65" s="5" t="s">
        <v>401</v>
      </c>
      <c r="B65" s="20"/>
      <c r="C65" s="5"/>
      <c r="D65" s="5"/>
      <c r="E65" s="20"/>
      <c r="F65" s="20"/>
      <c r="G65" s="20"/>
      <c r="H65" s="20"/>
      <c r="I65" s="20"/>
      <c r="J65" s="20"/>
      <c r="K65" s="20"/>
      <c r="L65" s="20"/>
      <c r="M65" s="20"/>
      <c r="N65" s="20"/>
      <c r="O65" s="20"/>
      <c r="P65" s="20"/>
      <c r="Q65" s="20"/>
      <c r="R65" s="20"/>
      <c r="S65" s="20"/>
      <c r="T65" s="20"/>
      <c r="U65" s="20"/>
      <c r="V65" s="20"/>
      <c r="W65" s="20"/>
      <c r="X65" s="20"/>
      <c r="Y65" s="20"/>
      <c r="Z65" s="20"/>
    </row>
    <row r="66">
      <c r="E66" s="20"/>
      <c r="F66" s="20"/>
      <c r="G66" s="20"/>
      <c r="H66" s="20"/>
      <c r="I66" s="20"/>
      <c r="J66" s="20"/>
      <c r="K66" s="20"/>
      <c r="L66" s="20"/>
      <c r="M66" s="20"/>
      <c r="N66" s="20"/>
      <c r="O66" s="20"/>
      <c r="P66" s="20"/>
      <c r="Q66" s="20"/>
      <c r="R66" s="20"/>
      <c r="S66" s="20"/>
      <c r="T66" s="20"/>
      <c r="U66" s="20"/>
      <c r="V66" s="20"/>
      <c r="W66" s="20"/>
      <c r="X66" s="20"/>
      <c r="Y66" s="20"/>
      <c r="Z66" s="20"/>
    </row>
    <row r="67">
      <c r="A67" s="134"/>
      <c r="B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5"/>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0"/>
    <col customWidth="1" min="2" max="2" width="25.13"/>
  </cols>
  <sheetData>
    <row r="1">
      <c r="A1" s="151" t="s">
        <v>276</v>
      </c>
      <c r="B1" s="151" t="s">
        <v>7</v>
      </c>
      <c r="C1" s="151" t="s">
        <v>548</v>
      </c>
      <c r="D1" s="151" t="s">
        <v>549</v>
      </c>
      <c r="E1" s="151" t="s">
        <v>550</v>
      </c>
      <c r="F1" s="151" t="s">
        <v>551</v>
      </c>
      <c r="G1" s="151" t="s">
        <v>552</v>
      </c>
      <c r="H1" s="151" t="s">
        <v>553</v>
      </c>
      <c r="I1" s="151" t="s">
        <v>554</v>
      </c>
      <c r="J1" s="151" t="s">
        <v>555</v>
      </c>
      <c r="K1" s="134"/>
      <c r="L1" s="43"/>
      <c r="M1" s="43"/>
      <c r="N1" s="43"/>
      <c r="O1" s="43"/>
      <c r="P1" s="43"/>
      <c r="Q1" s="43"/>
      <c r="R1" s="43"/>
      <c r="S1" s="43"/>
    </row>
    <row r="2">
      <c r="A2" s="5" t="s">
        <v>279</v>
      </c>
      <c r="B2" s="5" t="s">
        <v>280</v>
      </c>
      <c r="C2" s="5" t="s">
        <v>71</v>
      </c>
      <c r="D2" s="5" t="s">
        <v>556</v>
      </c>
      <c r="E2" s="5" t="s">
        <v>108</v>
      </c>
      <c r="F2" s="5" t="s">
        <v>106</v>
      </c>
      <c r="G2" s="5" t="s">
        <v>112</v>
      </c>
      <c r="H2" s="5" t="s">
        <v>557</v>
      </c>
      <c r="I2" s="5" t="s">
        <v>126</v>
      </c>
      <c r="J2" s="5" t="s">
        <v>107</v>
      </c>
      <c r="K2" s="20"/>
      <c r="L2" s="20"/>
      <c r="M2" s="20"/>
      <c r="N2" s="20"/>
      <c r="O2" s="20"/>
      <c r="P2" s="20"/>
      <c r="Q2" s="20"/>
      <c r="R2" s="20"/>
      <c r="S2" s="20"/>
    </row>
    <row r="3">
      <c r="A3" s="5" t="s">
        <v>281</v>
      </c>
      <c r="B3" s="5" t="s">
        <v>406</v>
      </c>
      <c r="C3" s="5" t="s">
        <v>548</v>
      </c>
      <c r="D3" s="5" t="s">
        <v>549</v>
      </c>
      <c r="E3" s="5" t="s">
        <v>550</v>
      </c>
      <c r="F3" s="5" t="s">
        <v>558</v>
      </c>
      <c r="G3" s="5" t="s">
        <v>559</v>
      </c>
      <c r="H3" s="5" t="s">
        <v>553</v>
      </c>
      <c r="I3" s="5" t="s">
        <v>560</v>
      </c>
      <c r="J3" s="5" t="s">
        <v>561</v>
      </c>
      <c r="K3" s="134"/>
      <c r="L3" s="134"/>
      <c r="M3" s="20"/>
      <c r="N3" s="20"/>
      <c r="O3" s="20"/>
      <c r="P3" s="20"/>
      <c r="Q3" s="20"/>
      <c r="R3" s="20"/>
      <c r="S3" s="20"/>
    </row>
    <row r="4">
      <c r="A4" s="5" t="s">
        <v>285</v>
      </c>
      <c r="B4" s="5" t="s">
        <v>286</v>
      </c>
      <c r="C4" s="5" t="s">
        <v>562</v>
      </c>
      <c r="D4" s="5" t="s">
        <v>563</v>
      </c>
      <c r="E4" s="5" t="s">
        <v>564</v>
      </c>
      <c r="F4" s="5" t="s">
        <v>565</v>
      </c>
      <c r="G4" s="5" t="s">
        <v>566</v>
      </c>
      <c r="H4" s="5" t="s">
        <v>567</v>
      </c>
      <c r="I4" s="5" t="s">
        <v>568</v>
      </c>
      <c r="J4" s="5" t="s">
        <v>569</v>
      </c>
      <c r="K4" s="134"/>
      <c r="L4" s="134"/>
      <c r="M4" s="20"/>
      <c r="N4" s="20"/>
      <c r="O4" s="20"/>
      <c r="P4" s="20"/>
      <c r="Q4" s="20"/>
      <c r="R4" s="20"/>
      <c r="S4" s="20"/>
    </row>
    <row r="5">
      <c r="A5" s="5" t="s">
        <v>289</v>
      </c>
      <c r="B5" s="5" t="s">
        <v>290</v>
      </c>
      <c r="C5" s="5" t="s">
        <v>570</v>
      </c>
      <c r="D5" s="5" t="s">
        <v>571</v>
      </c>
      <c r="E5" s="5" t="s">
        <v>572</v>
      </c>
      <c r="F5" s="5" t="s">
        <v>573</v>
      </c>
      <c r="G5" s="5" t="s">
        <v>574</v>
      </c>
      <c r="H5" s="5" t="s">
        <v>575</v>
      </c>
      <c r="I5" s="5" t="s">
        <v>576</v>
      </c>
      <c r="J5" s="5" t="s">
        <v>577</v>
      </c>
      <c r="K5" s="134"/>
      <c r="L5" s="134"/>
      <c r="M5" s="20"/>
      <c r="N5" s="20"/>
      <c r="O5" s="20"/>
      <c r="P5" s="20"/>
      <c r="Q5" s="20"/>
      <c r="R5" s="20"/>
      <c r="S5" s="20"/>
    </row>
    <row r="6">
      <c r="A6" s="152" t="s">
        <v>292</v>
      </c>
      <c r="B6" s="152"/>
      <c r="C6" s="114" t="s">
        <v>578</v>
      </c>
      <c r="D6" s="114" t="s">
        <v>579</v>
      </c>
      <c r="E6" s="114" t="s">
        <v>580</v>
      </c>
      <c r="F6" s="114" t="s">
        <v>517</v>
      </c>
      <c r="G6" s="114" t="s">
        <v>581</v>
      </c>
      <c r="H6" s="114" t="s">
        <v>582</v>
      </c>
      <c r="I6" s="114" t="s">
        <v>583</v>
      </c>
      <c r="J6" s="114" t="s">
        <v>582</v>
      </c>
      <c r="K6" s="161"/>
      <c r="L6" s="161"/>
      <c r="M6" s="161"/>
      <c r="N6" s="161"/>
      <c r="O6" s="161"/>
      <c r="P6" s="161"/>
      <c r="Q6" s="161"/>
      <c r="R6" s="161"/>
      <c r="S6" s="161"/>
      <c r="T6" s="161"/>
      <c r="U6" s="161"/>
      <c r="V6" s="161"/>
      <c r="W6" s="161"/>
      <c r="X6" s="161"/>
      <c r="Y6" s="161"/>
      <c r="Z6" s="161"/>
      <c r="AA6" s="163"/>
    </row>
    <row r="7">
      <c r="A7" s="154" t="s">
        <v>295</v>
      </c>
      <c r="B7" s="154"/>
      <c r="C7" s="11" t="s">
        <v>584</v>
      </c>
      <c r="D7" s="11" t="s">
        <v>585</v>
      </c>
      <c r="E7" s="11" t="s">
        <v>586</v>
      </c>
      <c r="F7" s="11" t="s">
        <v>519</v>
      </c>
      <c r="G7" s="11" t="s">
        <v>587</v>
      </c>
      <c r="H7" s="11" t="s">
        <v>588</v>
      </c>
      <c r="I7" s="11" t="s">
        <v>589</v>
      </c>
      <c r="J7" s="11" t="s">
        <v>588</v>
      </c>
      <c r="K7" s="163"/>
      <c r="L7" s="163"/>
      <c r="M7" s="163"/>
      <c r="N7" s="163"/>
      <c r="O7" s="163"/>
      <c r="P7" s="163"/>
      <c r="Q7" s="163"/>
      <c r="R7" s="163"/>
      <c r="S7" s="163"/>
      <c r="T7" s="163"/>
      <c r="U7" s="163"/>
      <c r="V7" s="163"/>
      <c r="W7" s="163"/>
      <c r="X7" s="163"/>
      <c r="Y7" s="163"/>
      <c r="Z7" s="163"/>
      <c r="AA7" s="163"/>
    </row>
    <row r="8">
      <c r="A8" s="11" t="s">
        <v>298</v>
      </c>
      <c r="B8" s="154" t="s">
        <v>299</v>
      </c>
      <c r="C8" s="5" t="s">
        <v>590</v>
      </c>
      <c r="D8" s="5" t="s">
        <v>591</v>
      </c>
      <c r="E8" s="5" t="s">
        <v>592</v>
      </c>
      <c r="F8" s="5" t="s">
        <v>521</v>
      </c>
      <c r="G8" s="11" t="s">
        <v>593</v>
      </c>
      <c r="H8" s="11" t="s">
        <v>594</v>
      </c>
      <c r="I8" s="11" t="s">
        <v>595</v>
      </c>
      <c r="J8" s="11" t="s">
        <v>596</v>
      </c>
      <c r="K8" s="164"/>
      <c r="L8" s="164"/>
      <c r="M8" s="164"/>
      <c r="N8" s="20"/>
      <c r="O8" s="20"/>
      <c r="P8" s="20"/>
      <c r="Q8" s="20"/>
      <c r="R8" s="20"/>
      <c r="S8" s="20"/>
      <c r="T8" s="20"/>
      <c r="U8" s="20"/>
      <c r="V8" s="20"/>
      <c r="W8" s="20"/>
      <c r="X8" s="20"/>
      <c r="Y8" s="20"/>
      <c r="Z8" s="20"/>
      <c r="AA8" s="20"/>
    </row>
    <row r="9">
      <c r="A9" s="11" t="s">
        <v>302</v>
      </c>
      <c r="B9" s="154"/>
      <c r="C9" s="5" t="s">
        <v>597</v>
      </c>
      <c r="D9" s="5" t="s">
        <v>598</v>
      </c>
      <c r="E9" s="5" t="s">
        <v>599</v>
      </c>
      <c r="F9" s="5" t="s">
        <v>600</v>
      </c>
      <c r="G9" s="5" t="s">
        <v>601</v>
      </c>
      <c r="H9" s="5" t="s">
        <v>602</v>
      </c>
      <c r="I9" s="5" t="s">
        <v>603</v>
      </c>
      <c r="J9" s="5" t="s">
        <v>604</v>
      </c>
      <c r="K9" s="20"/>
      <c r="L9" s="20"/>
      <c r="M9" s="20"/>
      <c r="N9" s="20"/>
      <c r="O9" s="20"/>
      <c r="P9" s="20"/>
      <c r="Q9" s="20"/>
      <c r="R9" s="20"/>
      <c r="S9" s="20"/>
      <c r="T9" s="20"/>
      <c r="U9" s="20"/>
    </row>
    <row r="10">
      <c r="A10" s="154" t="s">
        <v>305</v>
      </c>
      <c r="B10" s="154" t="s">
        <v>306</v>
      </c>
      <c r="C10" s="178">
        <v>0.001</v>
      </c>
      <c r="D10" s="179">
        <f>(0.3*1/(0.3/2.6+0.7/1)/10^3)</f>
        <v>0.0003679245283</v>
      </c>
      <c r="E10" s="179">
        <f>(0.2*1/(0.2/2.6+0.8/1)/10^3)</f>
        <v>0.0002280701754</v>
      </c>
      <c r="F10" s="179">
        <f>(0.15*1/(0.15/2.6+0.85/1)/10^3)</f>
        <v>0.0001652542373</v>
      </c>
      <c r="G10" s="179">
        <f t="shared" ref="G10:J10" si="1">(0.34*1/(0.34/2.6+0.66/1)/10^3)</f>
        <v>0.0004299610895</v>
      </c>
      <c r="H10" s="179">
        <f t="shared" si="1"/>
        <v>0.0004299610895</v>
      </c>
      <c r="I10" s="179">
        <f t="shared" si="1"/>
        <v>0.0004299610895</v>
      </c>
      <c r="J10" s="179">
        <f t="shared" si="1"/>
        <v>0.0004299610895</v>
      </c>
      <c r="K10" s="163"/>
      <c r="L10" s="163"/>
      <c r="M10" s="163"/>
      <c r="N10" s="163"/>
      <c r="O10" s="163"/>
      <c r="P10" s="163"/>
      <c r="Q10" s="163"/>
      <c r="R10" s="163"/>
      <c r="S10" s="163"/>
      <c r="T10" s="163"/>
      <c r="U10" s="163"/>
      <c r="V10" s="163"/>
      <c r="W10" s="163"/>
      <c r="X10" s="163"/>
      <c r="Y10" s="163"/>
      <c r="Z10" s="163"/>
      <c r="AA10" s="20"/>
    </row>
    <row r="11">
      <c r="A11" s="156" t="s">
        <v>307</v>
      </c>
      <c r="B11" s="156" t="s">
        <v>308</v>
      </c>
      <c r="C11" s="156" t="s">
        <v>419</v>
      </c>
      <c r="D11" s="107" t="s">
        <v>605</v>
      </c>
      <c r="E11" s="107" t="s">
        <v>606</v>
      </c>
      <c r="F11" s="107" t="s">
        <v>607</v>
      </c>
      <c r="G11" s="107" t="s">
        <v>608</v>
      </c>
      <c r="H11" s="107" t="s">
        <v>608</v>
      </c>
      <c r="I11" s="107" t="s">
        <v>609</v>
      </c>
      <c r="J11" s="107" t="s">
        <v>610</v>
      </c>
      <c r="K11" s="167"/>
      <c r="L11" s="167"/>
      <c r="M11" s="167"/>
      <c r="N11" s="167"/>
      <c r="O11" s="167"/>
      <c r="P11" s="167"/>
      <c r="Q11" s="167"/>
      <c r="R11" s="167"/>
      <c r="S11" s="167"/>
      <c r="T11" s="167"/>
      <c r="U11" s="167"/>
      <c r="V11" s="167"/>
      <c r="W11" s="167"/>
      <c r="X11" s="167"/>
      <c r="Y11" s="167"/>
      <c r="Z11" s="167"/>
      <c r="AA11" s="20"/>
    </row>
    <row r="12">
      <c r="A12" s="152" t="s">
        <v>311</v>
      </c>
      <c r="B12" s="152" t="s">
        <v>312</v>
      </c>
      <c r="C12" s="109" t="s">
        <v>590</v>
      </c>
      <c r="D12" s="109" t="s">
        <v>591</v>
      </c>
      <c r="E12" s="109" t="s">
        <v>592</v>
      </c>
      <c r="F12" s="109" t="s">
        <v>521</v>
      </c>
      <c r="G12" s="109" t="s">
        <v>593</v>
      </c>
      <c r="H12" s="109" t="s">
        <v>594</v>
      </c>
      <c r="I12" s="109" t="s">
        <v>595</v>
      </c>
      <c r="J12" s="109" t="s">
        <v>596</v>
      </c>
      <c r="K12" s="111"/>
      <c r="L12" s="111"/>
      <c r="M12" s="111"/>
      <c r="N12" s="111"/>
      <c r="O12" s="111"/>
      <c r="P12" s="111"/>
      <c r="Q12" s="111"/>
      <c r="R12" s="111"/>
      <c r="S12" s="111"/>
    </row>
    <row r="13">
      <c r="A13" s="154" t="s">
        <v>314</v>
      </c>
      <c r="B13" s="154" t="s">
        <v>315</v>
      </c>
      <c r="C13" s="5" t="s">
        <v>611</v>
      </c>
      <c r="D13" s="5" t="s">
        <v>612</v>
      </c>
      <c r="E13" s="5" t="s">
        <v>599</v>
      </c>
      <c r="F13" s="5" t="s">
        <v>613</v>
      </c>
      <c r="G13" s="5" t="s">
        <v>601</v>
      </c>
      <c r="H13" s="5" t="s">
        <v>614</v>
      </c>
      <c r="I13" s="5" t="s">
        <v>603</v>
      </c>
      <c r="J13" s="5" t="s">
        <v>615</v>
      </c>
      <c r="K13" s="20"/>
      <c r="L13" s="20"/>
      <c r="M13" s="20"/>
      <c r="N13" s="20"/>
      <c r="O13" s="20"/>
      <c r="P13" s="20"/>
      <c r="Q13" s="20"/>
      <c r="R13" s="20"/>
      <c r="S13" s="20"/>
    </row>
    <row r="14">
      <c r="A14" s="154" t="s">
        <v>317</v>
      </c>
      <c r="B14" s="154" t="s">
        <v>318</v>
      </c>
      <c r="C14" s="5" t="str">
        <f t="shared" ref="C14:F14" si="2">C43</f>
        <v>crushed_ore</v>
      </c>
      <c r="D14" s="5" t="str">
        <f t="shared" si="2"/>
        <v>scrubbed_slurry</v>
      </c>
      <c r="E14" s="5" t="str">
        <f t="shared" si="2"/>
        <v>classified_slurry</v>
      </c>
      <c r="F14" s="5" t="str">
        <f t="shared" si="2"/>
        <v>thick_leach_feed</v>
      </c>
      <c r="G14" s="5" t="s">
        <v>616</v>
      </c>
      <c r="H14" s="5" t="s">
        <v>617</v>
      </c>
      <c r="I14" s="5" t="s">
        <v>618</v>
      </c>
      <c r="J14" s="5" t="s">
        <v>528</v>
      </c>
      <c r="K14" s="20"/>
      <c r="L14" s="20"/>
      <c r="M14" s="20"/>
      <c r="N14" s="20"/>
      <c r="O14" s="20"/>
      <c r="P14" s="20"/>
      <c r="Q14" s="20"/>
      <c r="R14" s="20"/>
      <c r="S14" s="20"/>
    </row>
    <row r="15">
      <c r="A15" s="156" t="s">
        <v>320</v>
      </c>
      <c r="B15" s="156" t="s">
        <v>321</v>
      </c>
      <c r="C15" s="5" t="s">
        <v>611</v>
      </c>
      <c r="D15" s="5" t="s">
        <v>598</v>
      </c>
      <c r="E15" s="5" t="s">
        <v>619</v>
      </c>
      <c r="F15" s="5" t="s">
        <v>620</v>
      </c>
      <c r="G15" s="5" t="s">
        <v>601</v>
      </c>
      <c r="H15" s="5" t="s">
        <v>614</v>
      </c>
      <c r="I15" s="5" t="s">
        <v>621</v>
      </c>
      <c r="J15" s="5" t="s">
        <v>622</v>
      </c>
      <c r="K15" s="104"/>
      <c r="L15" s="104"/>
      <c r="M15" s="104"/>
      <c r="N15" s="104"/>
      <c r="O15" s="104"/>
      <c r="P15" s="104"/>
      <c r="Q15" s="104"/>
      <c r="R15" s="104"/>
      <c r="S15" s="104"/>
    </row>
    <row r="16">
      <c r="A16" s="109" t="s">
        <v>323</v>
      </c>
      <c r="B16" s="109"/>
      <c r="C16" s="109" t="s">
        <v>424</v>
      </c>
      <c r="D16" s="109" t="s">
        <v>623</v>
      </c>
      <c r="E16" s="109" t="s">
        <v>624</v>
      </c>
      <c r="F16" s="109" t="s">
        <v>625</v>
      </c>
      <c r="G16" s="109" t="s">
        <v>626</v>
      </c>
      <c r="H16" s="109" t="s">
        <v>616</v>
      </c>
      <c r="I16" s="109" t="s">
        <v>617</v>
      </c>
      <c r="J16" s="109" t="s">
        <v>618</v>
      </c>
      <c r="K16" s="111"/>
      <c r="L16" s="111"/>
      <c r="M16" s="111"/>
      <c r="N16" s="111"/>
      <c r="O16" s="111"/>
      <c r="P16" s="111"/>
      <c r="Q16" s="111"/>
      <c r="R16" s="111"/>
      <c r="S16" s="111"/>
    </row>
    <row r="17">
      <c r="A17" s="11" t="s">
        <v>325</v>
      </c>
      <c r="B17" s="11" t="s">
        <v>326</v>
      </c>
      <c r="C17" s="5" t="s">
        <v>627</v>
      </c>
      <c r="D17" s="5" t="s">
        <v>611</v>
      </c>
      <c r="E17" s="5" t="s">
        <v>598</v>
      </c>
      <c r="F17" s="5" t="s">
        <v>619</v>
      </c>
      <c r="G17" s="5" t="s">
        <v>620</v>
      </c>
      <c r="H17" s="5" t="s">
        <v>601</v>
      </c>
      <c r="I17" s="5" t="s">
        <v>601</v>
      </c>
      <c r="J17" s="5" t="s">
        <v>621</v>
      </c>
    </row>
    <row r="18">
      <c r="A18" s="5" t="s">
        <v>328</v>
      </c>
      <c r="B18" s="5" t="s">
        <v>329</v>
      </c>
      <c r="C18" s="69">
        <v>1.9</v>
      </c>
      <c r="D18" s="180">
        <f>1/(0.3*1/(0.3/2.6+0.7/1))/(1-0.2)</f>
        <v>3.397435897</v>
      </c>
      <c r="E18" s="5">
        <v>1.0</v>
      </c>
      <c r="F18" s="5">
        <v>1.0</v>
      </c>
      <c r="G18" s="177">
        <f>(1/(0.34*1/(0.34/2.6+0.66/1)))/(1/(0.55*1/(0.55/2.6+0.45/1)))</f>
        <v>1.933652531</v>
      </c>
      <c r="H18" s="5">
        <v>1.0</v>
      </c>
      <c r="I18" s="5">
        <v>1.0</v>
      </c>
      <c r="J18" s="5">
        <v>1.0</v>
      </c>
      <c r="K18" s="20"/>
      <c r="L18" s="20"/>
      <c r="M18" s="20"/>
      <c r="N18" s="20"/>
      <c r="O18" s="20"/>
      <c r="P18" s="20"/>
      <c r="Q18" s="20"/>
      <c r="R18" s="20"/>
      <c r="S18" s="20"/>
    </row>
    <row r="19">
      <c r="A19" s="5" t="s">
        <v>330</v>
      </c>
      <c r="B19" s="5" t="s">
        <v>331</v>
      </c>
      <c r="C19" s="5" t="s">
        <v>313</v>
      </c>
      <c r="D19" s="5" t="s">
        <v>313</v>
      </c>
      <c r="E19" s="5" t="s">
        <v>313</v>
      </c>
      <c r="F19" s="5" t="s">
        <v>313</v>
      </c>
      <c r="G19" s="5" t="s">
        <v>313</v>
      </c>
      <c r="H19" s="5" t="s">
        <v>313</v>
      </c>
      <c r="I19" s="5" t="s">
        <v>313</v>
      </c>
      <c r="J19" s="5" t="s">
        <v>313</v>
      </c>
      <c r="K19" s="20"/>
      <c r="L19" s="20"/>
      <c r="M19" s="20"/>
      <c r="N19" s="20"/>
      <c r="O19" s="20"/>
      <c r="P19" s="20"/>
      <c r="Q19" s="20"/>
      <c r="R19" s="20"/>
      <c r="S19" s="20"/>
    </row>
    <row r="20">
      <c r="A20" s="5" t="s">
        <v>334</v>
      </c>
      <c r="B20" s="5" t="s">
        <v>335</v>
      </c>
      <c r="C20" s="5"/>
      <c r="D20" s="5"/>
      <c r="E20" s="5"/>
      <c r="F20" s="5"/>
      <c r="G20" s="5"/>
      <c r="H20" s="5"/>
      <c r="I20" s="5"/>
      <c r="J20" s="5"/>
      <c r="K20" s="20"/>
      <c r="L20" s="20"/>
      <c r="M20" s="20"/>
      <c r="N20" s="20"/>
      <c r="O20" s="20"/>
      <c r="P20" s="20"/>
      <c r="Q20" s="20"/>
      <c r="R20" s="20"/>
      <c r="S20" s="20"/>
    </row>
    <row r="21">
      <c r="A21" s="5" t="s">
        <v>336</v>
      </c>
      <c r="B21" s="5" t="s">
        <v>337</v>
      </c>
      <c r="C21" s="5"/>
      <c r="D21" s="5"/>
      <c r="E21" s="5"/>
      <c r="F21" s="5"/>
      <c r="G21" s="5"/>
      <c r="H21" s="5"/>
      <c r="I21" s="5"/>
      <c r="J21" s="5"/>
      <c r="K21" s="20"/>
      <c r="L21" s="20"/>
      <c r="M21" s="20"/>
      <c r="N21" s="20"/>
      <c r="O21" s="20"/>
      <c r="P21" s="20"/>
      <c r="Q21" s="20"/>
      <c r="R21" s="20"/>
      <c r="S21" s="20"/>
    </row>
    <row r="22">
      <c r="A22" s="5" t="s">
        <v>339</v>
      </c>
      <c r="B22" s="5" t="s">
        <v>340</v>
      </c>
      <c r="C22" s="170">
        <v>0.001</v>
      </c>
      <c r="D22" s="181">
        <v>0.001</v>
      </c>
      <c r="E22" s="182">
        <f>(0.2*1/(0.2/2.6+0.8/1)/10^3)</f>
        <v>0.0002280701754</v>
      </c>
      <c r="F22" s="182">
        <f>(0.15*1/(0.15/2.6+0.85/1)/10^3)</f>
        <v>0.0001652542373</v>
      </c>
      <c r="G22" s="183">
        <f>(0.55*1/(0.55/2.6+0.45/1))/10^3</f>
        <v>0.0008313953488</v>
      </c>
      <c r="H22" s="182">
        <f t="shared" ref="H22:I22" si="3">(0.34*1/(0.34/2.6+0.66/1)/10^3)</f>
        <v>0.0004299610895</v>
      </c>
      <c r="I22" s="182">
        <f t="shared" si="3"/>
        <v>0.0004299610895</v>
      </c>
      <c r="J22" s="184">
        <f>(1/(0.075/2.6+0.925/1)/10^3)</f>
        <v>0.001048387097</v>
      </c>
      <c r="K22" s="20"/>
      <c r="L22" s="20"/>
      <c r="M22" s="20"/>
      <c r="N22" s="20"/>
      <c r="O22" s="20"/>
      <c r="P22" s="20"/>
      <c r="Q22" s="20"/>
      <c r="R22" s="20"/>
      <c r="S22" s="20"/>
      <c r="T22" s="20"/>
      <c r="U22" s="20"/>
      <c r="V22" s="20"/>
      <c r="W22" s="20"/>
      <c r="X22" s="20"/>
      <c r="Y22" s="20"/>
      <c r="Z22" s="20"/>
    </row>
    <row r="23">
      <c r="A23" s="5" t="s">
        <v>341</v>
      </c>
      <c r="B23" s="5" t="s">
        <v>342</v>
      </c>
      <c r="C23" s="168" t="s">
        <v>419</v>
      </c>
      <c r="D23" s="168" t="s">
        <v>419</v>
      </c>
      <c r="E23" s="5" t="s">
        <v>606</v>
      </c>
      <c r="F23" s="5" t="s">
        <v>607</v>
      </c>
      <c r="G23" s="5" t="s">
        <v>628</v>
      </c>
      <c r="H23" s="5" t="s">
        <v>609</v>
      </c>
      <c r="I23" s="5" t="s">
        <v>609</v>
      </c>
      <c r="J23" s="5" t="s">
        <v>610</v>
      </c>
      <c r="K23" s="20"/>
      <c r="L23" s="20"/>
      <c r="M23" s="20"/>
      <c r="N23" s="20"/>
      <c r="O23" s="20"/>
      <c r="P23" s="20"/>
      <c r="Q23" s="20"/>
      <c r="R23" s="20"/>
      <c r="S23" s="20"/>
      <c r="T23" s="20"/>
      <c r="U23" s="20"/>
      <c r="V23" s="20"/>
      <c r="W23" s="20"/>
      <c r="X23" s="20"/>
      <c r="Y23" s="20"/>
      <c r="Z23" s="20"/>
    </row>
    <row r="24">
      <c r="A24" s="102" t="s">
        <v>343</v>
      </c>
      <c r="B24" s="102" t="s">
        <v>344</v>
      </c>
      <c r="C24" s="102" t="b">
        <v>1</v>
      </c>
      <c r="D24" s="102" t="b">
        <v>1</v>
      </c>
      <c r="E24" s="102" t="b">
        <v>1</v>
      </c>
      <c r="F24" s="102" t="b">
        <v>1</v>
      </c>
      <c r="G24" s="102" t="b">
        <v>1</v>
      </c>
      <c r="H24" s="102" t="b">
        <v>1</v>
      </c>
      <c r="I24" s="102" t="b">
        <v>1</v>
      </c>
      <c r="J24" s="102" t="b">
        <v>1</v>
      </c>
      <c r="K24" s="104"/>
      <c r="L24" s="104"/>
      <c r="M24" s="104"/>
      <c r="N24" s="104"/>
      <c r="O24" s="104"/>
      <c r="P24" s="104"/>
      <c r="Q24" s="104"/>
      <c r="R24" s="104"/>
      <c r="S24" s="104"/>
    </row>
    <row r="25">
      <c r="A25" s="109" t="s">
        <v>345</v>
      </c>
      <c r="B25" s="109" t="s">
        <v>346</v>
      </c>
      <c r="C25" s="109"/>
      <c r="D25" s="109" t="s">
        <v>629</v>
      </c>
      <c r="E25" s="109"/>
      <c r="F25" s="109" t="s">
        <v>630</v>
      </c>
      <c r="G25" s="109" t="s">
        <v>631</v>
      </c>
      <c r="H25" s="6" t="s">
        <v>632</v>
      </c>
      <c r="I25" s="109" t="s">
        <v>630</v>
      </c>
      <c r="J25" s="109" t="s">
        <v>468</v>
      </c>
      <c r="K25" s="111"/>
      <c r="L25" s="111"/>
      <c r="M25" s="111"/>
      <c r="N25" s="111"/>
      <c r="O25" s="111"/>
      <c r="P25" s="111"/>
      <c r="Q25" s="111"/>
      <c r="R25" s="111"/>
      <c r="S25" s="111"/>
    </row>
    <row r="26">
      <c r="A26" s="5" t="s">
        <v>347</v>
      </c>
      <c r="B26" s="5" t="s">
        <v>348</v>
      </c>
      <c r="C26" s="5"/>
      <c r="D26" s="5" t="s">
        <v>633</v>
      </c>
      <c r="E26" s="5"/>
      <c r="F26" s="5" t="s">
        <v>634</v>
      </c>
      <c r="G26" s="5" t="s">
        <v>635</v>
      </c>
      <c r="H26" s="5" t="s">
        <v>636</v>
      </c>
      <c r="I26" s="5" t="s">
        <v>637</v>
      </c>
      <c r="J26" s="5" t="s">
        <v>638</v>
      </c>
      <c r="K26" s="20"/>
      <c r="L26" s="20"/>
      <c r="M26" s="20"/>
      <c r="N26" s="20"/>
      <c r="O26" s="20"/>
      <c r="P26" s="20"/>
      <c r="Q26" s="20"/>
      <c r="R26" s="20"/>
      <c r="S26" s="20"/>
    </row>
    <row r="27">
      <c r="A27" s="5" t="s">
        <v>349</v>
      </c>
      <c r="B27" s="20"/>
      <c r="C27" s="5"/>
      <c r="D27" s="5" t="s">
        <v>591</v>
      </c>
      <c r="E27" s="5"/>
      <c r="F27" s="5" t="s">
        <v>521</v>
      </c>
      <c r="G27" s="5" t="s">
        <v>593</v>
      </c>
      <c r="H27" s="5" t="s">
        <v>594</v>
      </c>
      <c r="I27" s="5" t="s">
        <v>595</v>
      </c>
      <c r="J27" s="5" t="s">
        <v>596</v>
      </c>
      <c r="K27" s="20"/>
      <c r="L27" s="20"/>
      <c r="M27" s="20"/>
      <c r="N27" s="20"/>
      <c r="O27" s="20"/>
      <c r="P27" s="20"/>
      <c r="Q27" s="20"/>
      <c r="R27" s="20"/>
      <c r="S27" s="20"/>
    </row>
    <row r="28">
      <c r="A28" s="5" t="s">
        <v>350</v>
      </c>
      <c r="B28" s="5" t="s">
        <v>351</v>
      </c>
      <c r="C28" s="158"/>
      <c r="D28" s="96">
        <v>0.001</v>
      </c>
      <c r="E28" s="168"/>
      <c r="F28" s="71">
        <v>2.6E-4</v>
      </c>
      <c r="G28" s="185">
        <v>85.0</v>
      </c>
      <c r="H28" s="186">
        <v>11.2</v>
      </c>
      <c r="I28" s="187">
        <v>0.04</v>
      </c>
      <c r="J28" s="188">
        <v>29.1</v>
      </c>
      <c r="K28" s="20"/>
      <c r="L28" s="20"/>
      <c r="M28" s="20"/>
      <c r="N28" s="20"/>
      <c r="O28" s="20"/>
      <c r="P28" s="20"/>
      <c r="Q28" s="20"/>
      <c r="R28" s="20"/>
      <c r="S28" s="20"/>
    </row>
    <row r="29">
      <c r="A29" s="5" t="s">
        <v>352</v>
      </c>
      <c r="B29" s="5" t="s">
        <v>353</v>
      </c>
      <c r="C29" s="5"/>
      <c r="D29" s="5">
        <v>0.0</v>
      </c>
      <c r="E29" s="5"/>
      <c r="F29" s="5">
        <v>0.0</v>
      </c>
      <c r="G29" s="5">
        <v>0.0</v>
      </c>
      <c r="H29" s="96">
        <v>0.0</v>
      </c>
      <c r="I29" s="5">
        <v>0.0</v>
      </c>
      <c r="J29" s="96">
        <v>0.0</v>
      </c>
      <c r="K29" s="20"/>
      <c r="L29" s="20"/>
      <c r="M29" s="20"/>
      <c r="N29" s="20"/>
      <c r="O29" s="20"/>
      <c r="P29" s="20"/>
      <c r="Q29" s="20"/>
      <c r="R29" s="20"/>
      <c r="S29" s="20"/>
    </row>
    <row r="30">
      <c r="A30" s="5" t="s">
        <v>354</v>
      </c>
      <c r="B30" s="20"/>
      <c r="C30" s="5"/>
      <c r="D30" s="5" t="s">
        <v>639</v>
      </c>
      <c r="E30" s="5"/>
      <c r="F30" s="168" t="s">
        <v>639</v>
      </c>
      <c r="G30" s="5" t="s">
        <v>640</v>
      </c>
      <c r="H30" s="5" t="s">
        <v>641</v>
      </c>
      <c r="I30" s="5" t="s">
        <v>642</v>
      </c>
      <c r="J30" s="5" t="s">
        <v>643</v>
      </c>
      <c r="K30" s="20"/>
      <c r="L30" s="20"/>
      <c r="M30" s="20"/>
      <c r="N30" s="20"/>
      <c r="O30" s="20"/>
      <c r="P30" s="20"/>
      <c r="Q30" s="20"/>
      <c r="R30" s="20"/>
      <c r="S30" s="20"/>
    </row>
    <row r="31">
      <c r="A31" s="5" t="s">
        <v>355</v>
      </c>
      <c r="B31" s="5" t="s">
        <v>346</v>
      </c>
      <c r="C31" s="6"/>
      <c r="D31" s="5" t="s">
        <v>644</v>
      </c>
      <c r="E31" s="5"/>
      <c r="F31" s="5"/>
      <c r="G31" s="5" t="s">
        <v>644</v>
      </c>
      <c r="H31" s="6" t="s">
        <v>630</v>
      </c>
      <c r="I31" s="5" t="s">
        <v>644</v>
      </c>
      <c r="J31" s="5" t="s">
        <v>536</v>
      </c>
      <c r="K31" s="20"/>
      <c r="L31" s="20"/>
      <c r="M31" s="20"/>
      <c r="N31" s="20"/>
      <c r="O31" s="20"/>
      <c r="P31" s="20"/>
      <c r="Q31" s="20"/>
      <c r="R31" s="20"/>
      <c r="S31" s="20"/>
    </row>
    <row r="32">
      <c r="A32" s="5" t="s">
        <v>356</v>
      </c>
      <c r="B32" s="5" t="s">
        <v>348</v>
      </c>
      <c r="C32" s="6"/>
      <c r="D32" s="5"/>
      <c r="E32" s="5"/>
      <c r="F32" s="5"/>
      <c r="G32" s="6"/>
      <c r="H32" s="5" t="s">
        <v>645</v>
      </c>
      <c r="I32" s="6"/>
      <c r="J32" s="5" t="s">
        <v>646</v>
      </c>
      <c r="K32" s="20"/>
      <c r="L32" s="20"/>
      <c r="M32" s="20"/>
      <c r="N32" s="20"/>
      <c r="O32" s="20"/>
      <c r="P32" s="20"/>
      <c r="Q32" s="20"/>
      <c r="R32" s="20"/>
      <c r="S32" s="20"/>
    </row>
    <row r="33">
      <c r="A33" s="5" t="s">
        <v>357</v>
      </c>
      <c r="B33" s="20"/>
      <c r="C33" s="5"/>
      <c r="D33" s="5" t="s">
        <v>591</v>
      </c>
      <c r="E33" s="5"/>
      <c r="F33" s="5"/>
      <c r="G33" s="5" t="s">
        <v>593</v>
      </c>
      <c r="H33" s="5" t="s">
        <v>594</v>
      </c>
      <c r="I33" s="5" t="s">
        <v>595</v>
      </c>
      <c r="J33" s="5" t="s">
        <v>596</v>
      </c>
      <c r="K33" s="20"/>
      <c r="L33" s="20"/>
      <c r="M33" s="20"/>
      <c r="N33" s="20"/>
      <c r="O33" s="20"/>
      <c r="P33" s="20"/>
      <c r="Q33" s="20"/>
      <c r="R33" s="20"/>
      <c r="S33" s="20"/>
    </row>
    <row r="34">
      <c r="A34" s="5" t="s">
        <v>358</v>
      </c>
      <c r="B34" s="5" t="s">
        <v>351</v>
      </c>
      <c r="C34" s="20"/>
      <c r="D34" s="189">
        <v>0.4</v>
      </c>
      <c r="E34" s="5"/>
      <c r="F34" s="5"/>
      <c r="G34" s="158">
        <f>(G18-1)/G18</f>
        <v>0.4828440042</v>
      </c>
      <c r="H34" s="190">
        <v>0.03</v>
      </c>
      <c r="I34" s="158"/>
      <c r="J34" s="188">
        <v>5.3</v>
      </c>
      <c r="K34" s="20"/>
      <c r="L34" s="20"/>
      <c r="M34" s="20"/>
      <c r="N34" s="20"/>
      <c r="O34" s="20"/>
      <c r="P34" s="20"/>
      <c r="Q34" s="20"/>
      <c r="R34" s="20"/>
      <c r="S34" s="20"/>
    </row>
    <row r="35">
      <c r="A35" s="5" t="s">
        <v>359</v>
      </c>
      <c r="B35" s="5" t="s">
        <v>353</v>
      </c>
      <c r="C35" s="20"/>
      <c r="D35" s="5">
        <v>0.0</v>
      </c>
      <c r="E35" s="5"/>
      <c r="F35" s="5"/>
      <c r="G35" s="5">
        <v>0.0</v>
      </c>
      <c r="H35" s="5">
        <v>0.0</v>
      </c>
      <c r="I35" s="5">
        <v>0.0</v>
      </c>
      <c r="J35" s="96">
        <v>0.0</v>
      </c>
      <c r="K35" s="20"/>
      <c r="L35" s="20"/>
      <c r="M35" s="20"/>
      <c r="N35" s="20"/>
      <c r="O35" s="20"/>
      <c r="P35" s="20"/>
      <c r="Q35" s="20"/>
      <c r="R35" s="20"/>
      <c r="S35" s="20"/>
    </row>
    <row r="36">
      <c r="A36" s="5" t="s">
        <v>360</v>
      </c>
      <c r="B36" s="20"/>
      <c r="C36" s="20"/>
      <c r="D36" s="5"/>
      <c r="E36" s="5"/>
      <c r="F36" s="5"/>
      <c r="G36" s="20"/>
      <c r="H36" s="5" t="s">
        <v>647</v>
      </c>
      <c r="I36" s="20"/>
      <c r="J36" s="5" t="s">
        <v>643</v>
      </c>
      <c r="K36" s="20"/>
      <c r="L36" s="20"/>
      <c r="M36" s="20"/>
      <c r="N36" s="20"/>
      <c r="O36" s="20"/>
      <c r="P36" s="20"/>
      <c r="Q36" s="20"/>
      <c r="R36" s="20"/>
      <c r="S36" s="20"/>
    </row>
    <row r="37">
      <c r="A37" s="5" t="s">
        <v>361</v>
      </c>
      <c r="B37" s="5" t="s">
        <v>346</v>
      </c>
      <c r="C37" s="20"/>
      <c r="D37" s="20"/>
      <c r="E37" s="20"/>
      <c r="F37" s="20"/>
      <c r="G37" s="20"/>
      <c r="H37" s="20"/>
      <c r="I37" s="20"/>
      <c r="J37" s="5" t="s">
        <v>630</v>
      </c>
      <c r="K37" s="20"/>
      <c r="L37" s="20"/>
      <c r="M37" s="20"/>
      <c r="N37" s="20"/>
      <c r="O37" s="20"/>
      <c r="P37" s="20"/>
      <c r="Q37" s="20"/>
      <c r="R37" s="20"/>
      <c r="S37" s="20"/>
    </row>
    <row r="38">
      <c r="A38" s="5" t="s">
        <v>362</v>
      </c>
      <c r="B38" s="5" t="s">
        <v>348</v>
      </c>
      <c r="C38" s="20"/>
      <c r="D38" s="20"/>
      <c r="E38" s="20"/>
      <c r="F38" s="20"/>
      <c r="G38" s="20"/>
      <c r="H38" s="20"/>
      <c r="I38" s="20"/>
      <c r="J38" s="5" t="s">
        <v>645</v>
      </c>
      <c r="K38" s="20"/>
      <c r="L38" s="20"/>
      <c r="M38" s="20"/>
      <c r="N38" s="20"/>
      <c r="O38" s="20"/>
      <c r="P38" s="20"/>
      <c r="Q38" s="20"/>
      <c r="R38" s="20"/>
      <c r="S38" s="20"/>
    </row>
    <row r="39">
      <c r="A39" s="5" t="s">
        <v>363</v>
      </c>
      <c r="B39" s="20"/>
      <c r="C39" s="20"/>
      <c r="D39" s="20"/>
      <c r="E39" s="20"/>
      <c r="F39" s="20"/>
      <c r="G39" s="20"/>
      <c r="H39" s="20"/>
      <c r="I39" s="20"/>
      <c r="J39" s="5" t="s">
        <v>596</v>
      </c>
      <c r="K39" s="20"/>
      <c r="L39" s="20"/>
      <c r="M39" s="20"/>
      <c r="N39" s="20"/>
      <c r="O39" s="20"/>
      <c r="P39" s="20"/>
      <c r="Q39" s="20"/>
      <c r="R39" s="20"/>
      <c r="S39" s="20"/>
    </row>
    <row r="40">
      <c r="A40" s="5" t="s">
        <v>364</v>
      </c>
      <c r="B40" s="5" t="s">
        <v>351</v>
      </c>
      <c r="C40" s="20"/>
      <c r="D40" s="20"/>
      <c r="E40" s="20"/>
      <c r="F40" s="20"/>
      <c r="G40" s="20"/>
      <c r="H40" s="20"/>
      <c r="I40" s="20"/>
      <c r="J40" s="187">
        <v>0.1</v>
      </c>
      <c r="K40" s="20"/>
      <c r="L40" s="20"/>
      <c r="M40" s="20"/>
      <c r="N40" s="20"/>
      <c r="O40" s="20"/>
      <c r="P40" s="20"/>
      <c r="Q40" s="20"/>
      <c r="R40" s="20"/>
      <c r="S40" s="20"/>
    </row>
    <row r="41">
      <c r="A41" s="5" t="s">
        <v>365</v>
      </c>
      <c r="B41" s="5" t="s">
        <v>353</v>
      </c>
      <c r="C41" s="20"/>
      <c r="D41" s="20"/>
      <c r="E41" s="20"/>
      <c r="F41" s="20"/>
      <c r="G41" s="20"/>
      <c r="H41" s="20"/>
      <c r="I41" s="20"/>
      <c r="J41" s="5">
        <v>0.0</v>
      </c>
      <c r="K41" s="20"/>
      <c r="L41" s="20"/>
      <c r="M41" s="20"/>
      <c r="N41" s="20"/>
      <c r="O41" s="20"/>
      <c r="P41" s="20"/>
      <c r="Q41" s="20"/>
      <c r="R41" s="20"/>
      <c r="S41" s="20"/>
    </row>
    <row r="42">
      <c r="A42" s="5" t="s">
        <v>366</v>
      </c>
      <c r="B42" s="5"/>
      <c r="C42" s="5"/>
      <c r="D42" s="5"/>
      <c r="E42" s="5"/>
      <c r="F42" s="5"/>
      <c r="G42" s="20"/>
      <c r="H42" s="5"/>
      <c r="I42" s="5"/>
      <c r="J42" s="5" t="s">
        <v>643</v>
      </c>
      <c r="K42" s="20"/>
      <c r="L42" s="20"/>
      <c r="M42" s="20"/>
      <c r="N42" s="20"/>
      <c r="O42" s="20"/>
      <c r="P42" s="20"/>
      <c r="Q42" s="20"/>
      <c r="R42" s="20"/>
      <c r="S42" s="20"/>
    </row>
    <row r="43">
      <c r="A43" s="109" t="s">
        <v>367</v>
      </c>
      <c r="B43" s="109" t="s">
        <v>368</v>
      </c>
      <c r="C43" s="109" t="s">
        <v>623</v>
      </c>
      <c r="D43" s="109" t="s">
        <v>624</v>
      </c>
      <c r="E43" s="109" t="s">
        <v>625</v>
      </c>
      <c r="F43" s="109" t="s">
        <v>626</v>
      </c>
      <c r="G43" s="109" t="s">
        <v>616</v>
      </c>
      <c r="H43" s="109" t="s">
        <v>617</v>
      </c>
      <c r="I43" s="109" t="s">
        <v>618</v>
      </c>
      <c r="J43" s="109" t="s">
        <v>528</v>
      </c>
      <c r="K43" s="111"/>
      <c r="L43" s="111"/>
      <c r="M43" s="111"/>
      <c r="N43" s="111"/>
      <c r="O43" s="111"/>
      <c r="P43" s="111"/>
      <c r="Q43" s="111"/>
      <c r="R43" s="111"/>
      <c r="S43" s="111"/>
      <c r="T43" s="153"/>
      <c r="U43" s="153"/>
      <c r="V43" s="153"/>
      <c r="W43" s="153"/>
      <c r="X43" s="153"/>
      <c r="Y43" s="153"/>
      <c r="Z43" s="153"/>
      <c r="AA43" s="153"/>
    </row>
    <row r="44">
      <c r="A44" s="5" t="s">
        <v>370</v>
      </c>
      <c r="B44" s="5" t="s">
        <v>371</v>
      </c>
      <c r="C44" s="5" t="s">
        <v>556</v>
      </c>
      <c r="D44" s="5" t="s">
        <v>108</v>
      </c>
      <c r="E44" s="5" t="s">
        <v>106</v>
      </c>
      <c r="F44" s="5" t="s">
        <v>112</v>
      </c>
      <c r="G44" s="5" t="s">
        <v>557</v>
      </c>
      <c r="H44" s="5" t="s">
        <v>126</v>
      </c>
      <c r="I44" s="5" t="s">
        <v>107</v>
      </c>
      <c r="J44" s="5" t="s">
        <v>372</v>
      </c>
      <c r="K44" s="20"/>
      <c r="L44" s="20"/>
      <c r="M44" s="20"/>
      <c r="N44" s="20"/>
      <c r="O44" s="20"/>
      <c r="P44" s="20"/>
      <c r="Q44" s="20"/>
      <c r="R44" s="20"/>
      <c r="S44" s="20"/>
    </row>
    <row r="45">
      <c r="A45" s="5" t="s">
        <v>373</v>
      </c>
      <c r="B45" s="11" t="s">
        <v>374</v>
      </c>
      <c r="C45" s="189">
        <v>1.0</v>
      </c>
      <c r="D45" s="189">
        <v>1.0</v>
      </c>
      <c r="E45" s="189">
        <v>0.95</v>
      </c>
      <c r="F45" s="189">
        <v>1.0</v>
      </c>
      <c r="G45" s="189">
        <v>0.92</v>
      </c>
      <c r="H45" s="189">
        <v>1.0</v>
      </c>
      <c r="I45" s="189">
        <v>0.99</v>
      </c>
      <c r="J45" s="191">
        <v>0.99</v>
      </c>
      <c r="K45" s="20"/>
      <c r="L45" s="20"/>
      <c r="M45" s="20"/>
      <c r="N45" s="20"/>
      <c r="O45" s="20"/>
      <c r="P45" s="20"/>
      <c r="Q45" s="20"/>
      <c r="R45" s="20"/>
      <c r="S45" s="20"/>
      <c r="T45" s="20"/>
      <c r="U45" s="20"/>
    </row>
    <row r="46">
      <c r="A46" s="154" t="s">
        <v>375</v>
      </c>
      <c r="B46" s="11" t="s">
        <v>376</v>
      </c>
      <c r="C46" s="71">
        <v>1.0</v>
      </c>
      <c r="D46" s="192">
        <f>(1/(0.2*1/(0.2/2.6+0.8/1)))/(1/(0.3*1/(0.3/2.6+0.7/1)))</f>
        <v>1.613207547</v>
      </c>
      <c r="E46" s="192">
        <f>(1/(0.15*1/(0.15/2.6+0.85/1)))/(1/(0.2*1/(0.2/2.6+0.8/1)))</f>
        <v>1.380116959</v>
      </c>
      <c r="F46" s="192">
        <f>(1/(0.55*1/(0.55/2.6+0.45/1)))/(1/(0.15*1/(0.15/2.6+0.85/1)))</f>
        <v>0.1987673344</v>
      </c>
      <c r="G46" s="71">
        <v>1.0</v>
      </c>
      <c r="H46" s="71">
        <v>1.0</v>
      </c>
      <c r="I46" s="69">
        <v>1.31</v>
      </c>
      <c r="J46" s="71">
        <v>1000.0</v>
      </c>
      <c r="K46" s="163"/>
      <c r="L46" s="163"/>
      <c r="M46" s="163"/>
      <c r="N46" s="163"/>
      <c r="O46" s="163"/>
      <c r="P46" s="163"/>
      <c r="Q46" s="163"/>
      <c r="R46" s="163"/>
      <c r="S46" s="163"/>
      <c r="T46" s="163"/>
      <c r="U46" s="163"/>
      <c r="V46" s="163"/>
      <c r="W46" s="163"/>
      <c r="X46" s="163"/>
      <c r="Y46" s="163"/>
      <c r="Z46" s="163"/>
      <c r="AA46" s="163"/>
    </row>
    <row r="47">
      <c r="A47" s="5" t="s">
        <v>377</v>
      </c>
      <c r="B47" s="5" t="s">
        <v>378</v>
      </c>
      <c r="C47" s="5" t="s">
        <v>611</v>
      </c>
      <c r="D47" s="5" t="s">
        <v>598</v>
      </c>
      <c r="E47" s="5" t="s">
        <v>619</v>
      </c>
      <c r="F47" s="5" t="s">
        <v>620</v>
      </c>
      <c r="G47" s="5" t="s">
        <v>601</v>
      </c>
      <c r="H47" s="5" t="s">
        <v>614</v>
      </c>
      <c r="I47" s="5" t="s">
        <v>621</v>
      </c>
      <c r="J47" s="5" t="s">
        <v>622</v>
      </c>
      <c r="K47" s="20"/>
      <c r="L47" s="20"/>
      <c r="M47" s="20"/>
      <c r="N47" s="20"/>
      <c r="O47" s="20"/>
      <c r="P47" s="20"/>
      <c r="Q47" s="20"/>
      <c r="R47" s="20"/>
      <c r="S47" s="20"/>
    </row>
    <row r="48">
      <c r="A48" s="5" t="s">
        <v>380</v>
      </c>
      <c r="B48" s="20"/>
      <c r="C48" s="5"/>
      <c r="D48" s="5"/>
      <c r="E48" s="5"/>
      <c r="F48" s="193"/>
      <c r="G48" s="5"/>
      <c r="H48" s="5"/>
      <c r="I48" s="5"/>
      <c r="J48" s="5" t="s">
        <v>313</v>
      </c>
      <c r="K48" s="20"/>
      <c r="L48" s="20"/>
      <c r="M48" s="20"/>
      <c r="N48" s="20"/>
      <c r="O48" s="20"/>
      <c r="P48" s="20"/>
      <c r="Q48" s="20"/>
      <c r="R48" s="20"/>
      <c r="S48" s="20"/>
    </row>
    <row r="49">
      <c r="A49" s="5" t="s">
        <v>382</v>
      </c>
      <c r="B49" s="20"/>
      <c r="C49" s="5"/>
      <c r="D49" s="5"/>
      <c r="E49" s="5"/>
      <c r="F49" s="5"/>
      <c r="G49" s="5"/>
      <c r="H49" s="5"/>
      <c r="I49" s="5"/>
      <c r="J49" s="5"/>
      <c r="K49" s="20"/>
      <c r="L49" s="20"/>
      <c r="M49" s="20"/>
      <c r="N49" s="20"/>
      <c r="O49" s="20"/>
      <c r="P49" s="20"/>
      <c r="Q49" s="20"/>
      <c r="R49" s="20"/>
      <c r="S49" s="20"/>
    </row>
    <row r="50">
      <c r="A50" s="154" t="s">
        <v>383</v>
      </c>
      <c r="B50" s="10"/>
      <c r="C50" s="154"/>
      <c r="D50" s="154"/>
      <c r="E50" s="154"/>
      <c r="F50" s="154"/>
      <c r="G50" s="154"/>
      <c r="H50" s="154"/>
      <c r="I50" s="154"/>
      <c r="J50" s="154"/>
      <c r="K50" s="163"/>
      <c r="L50" s="163"/>
      <c r="M50" s="163"/>
      <c r="N50" s="163"/>
      <c r="O50" s="163"/>
      <c r="P50" s="163"/>
      <c r="Q50" s="163"/>
      <c r="R50" s="163"/>
      <c r="S50" s="163"/>
      <c r="T50" s="163"/>
      <c r="U50" s="163"/>
      <c r="V50" s="163"/>
      <c r="W50" s="163"/>
      <c r="X50" s="163"/>
      <c r="Y50" s="163"/>
      <c r="Z50" s="163"/>
      <c r="AA50" s="163"/>
    </row>
    <row r="51">
      <c r="A51" s="5" t="s">
        <v>385</v>
      </c>
      <c r="B51" s="5" t="s">
        <v>340</v>
      </c>
      <c r="C51" s="178">
        <v>0.001</v>
      </c>
      <c r="D51" s="179">
        <f>(0.2*1/(0.2/2.6+0.8/1)/10^3)</f>
        <v>0.0002280701754</v>
      </c>
      <c r="E51" s="179">
        <f>(0.15*1/(0.15/2.6+0.85/1)/10^3)</f>
        <v>0.0001652542373</v>
      </c>
      <c r="F51" s="194">
        <f>(0.55*1/(0.55/2.6+0.45/1))/10^3</f>
        <v>0.0008313953488</v>
      </c>
      <c r="G51" s="179">
        <f t="shared" ref="G51:H51" si="4">(0.34*1/(0.34/2.6+0.66/1)/10^3)</f>
        <v>0.0004299610895</v>
      </c>
      <c r="H51" s="179">
        <f t="shared" si="4"/>
        <v>0.0004299610895</v>
      </c>
      <c r="I51" s="20">
        <v>0.0010500000000000002</v>
      </c>
      <c r="J51" s="20">
        <v>0.0010500000000000002</v>
      </c>
      <c r="K51" s="20"/>
      <c r="L51" s="20"/>
      <c r="M51" s="20"/>
      <c r="N51" s="20"/>
      <c r="O51" s="20"/>
      <c r="P51" s="20"/>
      <c r="Q51" s="20"/>
      <c r="R51" s="20"/>
      <c r="S51" s="20"/>
      <c r="T51" s="20"/>
      <c r="U51" s="20"/>
      <c r="V51" s="20"/>
      <c r="W51" s="20"/>
      <c r="X51" s="20"/>
      <c r="Y51" s="20"/>
      <c r="Z51" s="20"/>
    </row>
    <row r="52">
      <c r="A52" s="5" t="s">
        <v>386</v>
      </c>
      <c r="B52" s="5" t="s">
        <v>342</v>
      </c>
      <c r="C52" s="154" t="s">
        <v>419</v>
      </c>
      <c r="D52" s="5" t="s">
        <v>606</v>
      </c>
      <c r="E52" s="5" t="s">
        <v>607</v>
      </c>
      <c r="F52" s="5" t="s">
        <v>628</v>
      </c>
      <c r="G52" s="5" t="s">
        <v>609</v>
      </c>
      <c r="H52" s="5" t="s">
        <v>609</v>
      </c>
      <c r="I52" s="5" t="s">
        <v>610</v>
      </c>
      <c r="J52" s="5" t="s">
        <v>610</v>
      </c>
      <c r="K52" s="20"/>
      <c r="L52" s="20"/>
      <c r="M52" s="20"/>
      <c r="N52" s="20"/>
      <c r="O52" s="20"/>
      <c r="P52" s="20"/>
      <c r="Q52" s="20"/>
      <c r="R52" s="20"/>
      <c r="S52" s="20"/>
      <c r="T52" s="20"/>
      <c r="U52" s="20"/>
      <c r="V52" s="20"/>
      <c r="W52" s="20"/>
      <c r="X52" s="20"/>
      <c r="Y52" s="20"/>
      <c r="Z52" s="20"/>
    </row>
    <row r="53">
      <c r="A53" s="102" t="s">
        <v>387</v>
      </c>
      <c r="B53" s="102" t="s">
        <v>388</v>
      </c>
      <c r="C53" s="102" t="b">
        <v>1</v>
      </c>
      <c r="D53" s="102" t="b">
        <v>1</v>
      </c>
      <c r="E53" s="102" t="b">
        <v>1</v>
      </c>
      <c r="F53" s="102" t="b">
        <v>0</v>
      </c>
      <c r="G53" s="102" t="b">
        <v>1</v>
      </c>
      <c r="H53" s="102" t="b">
        <v>1</v>
      </c>
      <c r="I53" s="102" t="b">
        <v>1</v>
      </c>
      <c r="J53" s="102" t="b">
        <v>1</v>
      </c>
      <c r="K53" s="104"/>
      <c r="L53" s="104"/>
      <c r="M53" s="104"/>
      <c r="N53" s="104"/>
      <c r="O53" s="104"/>
      <c r="P53" s="104"/>
      <c r="Q53" s="104"/>
      <c r="R53" s="104"/>
      <c r="S53" s="104"/>
    </row>
    <row r="54">
      <c r="A54" s="109" t="s">
        <v>389</v>
      </c>
      <c r="B54" s="109"/>
      <c r="C54" s="109" t="s">
        <v>648</v>
      </c>
      <c r="D54" s="109"/>
      <c r="E54" s="109"/>
      <c r="F54" s="109" t="s">
        <v>649</v>
      </c>
      <c r="G54" s="109"/>
      <c r="H54" s="109"/>
      <c r="I54" s="109" t="s">
        <v>650</v>
      </c>
      <c r="J54" s="109" t="s">
        <v>651</v>
      </c>
      <c r="K54" s="111"/>
      <c r="L54" s="111"/>
      <c r="M54" s="111"/>
      <c r="N54" s="111"/>
      <c r="O54" s="111"/>
      <c r="P54" s="111"/>
      <c r="Q54" s="111"/>
      <c r="R54" s="111"/>
      <c r="S54" s="111"/>
    </row>
    <row r="55">
      <c r="A55" s="5" t="s">
        <v>390</v>
      </c>
      <c r="B55" s="20"/>
      <c r="C55" s="5" t="s">
        <v>652</v>
      </c>
      <c r="D55" s="5"/>
      <c r="E55" s="5"/>
      <c r="F55" s="5" t="s">
        <v>496</v>
      </c>
      <c r="G55" s="5"/>
      <c r="H55" s="5"/>
      <c r="I55" s="5" t="s">
        <v>653</v>
      </c>
      <c r="J55" s="5" t="s">
        <v>654</v>
      </c>
      <c r="K55" s="20"/>
      <c r="L55" s="20"/>
      <c r="M55" s="20"/>
      <c r="N55" s="20"/>
      <c r="O55" s="20"/>
      <c r="P55" s="20"/>
      <c r="Q55" s="20"/>
      <c r="R55" s="20"/>
      <c r="S55" s="20"/>
    </row>
    <row r="56">
      <c r="A56" s="5" t="s">
        <v>392</v>
      </c>
      <c r="B56" s="20"/>
      <c r="C56" s="157">
        <f>(1-C46)/2.7</f>
        <v>0</v>
      </c>
      <c r="D56" s="5"/>
      <c r="E56" s="5"/>
      <c r="F56" s="69">
        <v>0.0</v>
      </c>
      <c r="G56" s="5"/>
      <c r="H56" s="168"/>
      <c r="I56" s="69">
        <v>0.3</v>
      </c>
      <c r="J56" s="69">
        <v>0.05</v>
      </c>
      <c r="K56" s="20"/>
      <c r="L56" s="20"/>
      <c r="M56" s="20"/>
      <c r="N56" s="20"/>
      <c r="O56" s="20"/>
      <c r="P56" s="20"/>
      <c r="Q56" s="20"/>
      <c r="R56" s="20"/>
      <c r="S56" s="20"/>
    </row>
    <row r="57">
      <c r="A57" s="5" t="s">
        <v>393</v>
      </c>
      <c r="B57" s="20"/>
      <c r="C57" s="5" t="s">
        <v>655</v>
      </c>
      <c r="D57" s="5"/>
      <c r="E57" s="5"/>
      <c r="F57" s="5" t="s">
        <v>656</v>
      </c>
      <c r="G57" s="5"/>
      <c r="H57" s="5"/>
      <c r="I57" s="5" t="s">
        <v>656</v>
      </c>
      <c r="J57" s="5" t="s">
        <v>656</v>
      </c>
      <c r="K57" s="20"/>
      <c r="L57" s="20"/>
      <c r="M57" s="20"/>
      <c r="N57" s="20"/>
      <c r="O57" s="20"/>
      <c r="P57" s="20"/>
      <c r="Q57" s="20"/>
      <c r="R57" s="20"/>
      <c r="S57" s="20"/>
    </row>
    <row r="58">
      <c r="A58" s="5" t="s">
        <v>394</v>
      </c>
      <c r="B58" s="20"/>
      <c r="C58" s="5"/>
      <c r="D58" s="5"/>
      <c r="E58" s="5"/>
      <c r="F58" s="5" t="s">
        <v>657</v>
      </c>
      <c r="G58" s="5"/>
      <c r="H58" s="5"/>
      <c r="I58" s="5" t="s">
        <v>658</v>
      </c>
      <c r="J58" s="5" t="s">
        <v>659</v>
      </c>
      <c r="K58" s="20"/>
      <c r="L58" s="20"/>
      <c r="M58" s="20"/>
      <c r="N58" s="20"/>
      <c r="O58" s="20"/>
      <c r="P58" s="20"/>
      <c r="Q58" s="20"/>
      <c r="R58" s="20"/>
      <c r="S58" s="20"/>
    </row>
    <row r="59">
      <c r="A59" s="5" t="s">
        <v>395</v>
      </c>
      <c r="B59" s="20"/>
      <c r="C59" s="5"/>
      <c r="D59" s="5"/>
      <c r="E59" s="5"/>
      <c r="F59" s="5"/>
      <c r="G59" s="5"/>
      <c r="H59" s="20"/>
      <c r="I59" s="20"/>
      <c r="J59" s="20"/>
      <c r="K59" s="20"/>
      <c r="L59" s="20"/>
      <c r="M59" s="20"/>
      <c r="N59" s="20"/>
      <c r="O59" s="20"/>
      <c r="P59" s="20"/>
      <c r="Q59" s="20"/>
      <c r="R59" s="20"/>
      <c r="S59" s="20"/>
    </row>
    <row r="60">
      <c r="A60" s="5" t="s">
        <v>396</v>
      </c>
      <c r="B60" s="20"/>
      <c r="C60" s="5"/>
      <c r="D60" s="5"/>
      <c r="E60" s="5"/>
      <c r="F60" s="5"/>
      <c r="G60" s="5"/>
      <c r="H60" s="5"/>
      <c r="I60" s="5"/>
      <c r="J60" s="5"/>
      <c r="K60" s="20"/>
      <c r="L60" s="20"/>
      <c r="M60" s="20"/>
      <c r="N60" s="20"/>
      <c r="O60" s="20"/>
      <c r="P60" s="20"/>
      <c r="Q60" s="20"/>
      <c r="R60" s="20"/>
      <c r="S60" s="20"/>
    </row>
    <row r="61">
      <c r="A61" s="5" t="s">
        <v>397</v>
      </c>
      <c r="B61" s="20"/>
      <c r="C61" s="5"/>
      <c r="D61" s="5"/>
      <c r="E61" s="5"/>
      <c r="F61" s="5"/>
      <c r="G61" s="5"/>
      <c r="H61" s="5"/>
      <c r="I61" s="5"/>
      <c r="J61" s="5"/>
      <c r="K61" s="20"/>
      <c r="L61" s="20"/>
      <c r="M61" s="20"/>
      <c r="N61" s="20"/>
      <c r="O61" s="20"/>
      <c r="P61" s="20"/>
      <c r="Q61" s="20"/>
      <c r="R61" s="20"/>
      <c r="S61" s="20"/>
    </row>
    <row r="62">
      <c r="A62" s="5" t="s">
        <v>398</v>
      </c>
      <c r="B62" s="20"/>
      <c r="C62" s="5"/>
      <c r="D62" s="5"/>
      <c r="E62" s="5"/>
      <c r="F62" s="5"/>
      <c r="G62" s="5"/>
      <c r="H62" s="5"/>
      <c r="I62" s="5"/>
      <c r="J62" s="5"/>
      <c r="K62" s="20"/>
      <c r="L62" s="20"/>
      <c r="M62" s="20"/>
      <c r="N62" s="20"/>
      <c r="O62" s="20"/>
      <c r="P62" s="20"/>
      <c r="Q62" s="20"/>
      <c r="R62" s="20"/>
      <c r="S62" s="20"/>
    </row>
    <row r="63">
      <c r="A63" s="5" t="s">
        <v>399</v>
      </c>
      <c r="B63" s="20"/>
      <c r="C63" s="5"/>
      <c r="D63" s="5"/>
      <c r="E63" s="5"/>
      <c r="F63" s="5"/>
      <c r="G63" s="5"/>
      <c r="H63" s="5"/>
      <c r="I63" s="5"/>
      <c r="J63" s="5"/>
      <c r="K63" s="20"/>
      <c r="L63" s="20"/>
      <c r="M63" s="20"/>
      <c r="N63" s="20"/>
      <c r="O63" s="20"/>
      <c r="P63" s="20"/>
      <c r="Q63" s="20"/>
      <c r="R63" s="20"/>
      <c r="S63" s="20"/>
    </row>
    <row r="64">
      <c r="A64" s="5" t="s">
        <v>400</v>
      </c>
      <c r="B64" s="20"/>
      <c r="C64" s="5"/>
      <c r="D64" s="5"/>
      <c r="E64" s="5"/>
      <c r="F64" s="5"/>
      <c r="G64" s="5"/>
      <c r="H64" s="5"/>
      <c r="I64" s="5"/>
      <c r="J64" s="5"/>
      <c r="K64" s="20"/>
      <c r="L64" s="20"/>
      <c r="M64" s="20"/>
      <c r="N64" s="20"/>
      <c r="O64" s="20"/>
      <c r="P64" s="20"/>
      <c r="Q64" s="20"/>
      <c r="R64" s="20"/>
      <c r="S64" s="20"/>
    </row>
    <row r="65">
      <c r="A65" s="5" t="s">
        <v>401</v>
      </c>
      <c r="B65" s="20"/>
      <c r="C65" s="5"/>
      <c r="D65" s="5"/>
      <c r="E65" s="5"/>
      <c r="F65" s="5"/>
      <c r="G65" s="5"/>
      <c r="H65" s="5"/>
      <c r="I65" s="5"/>
      <c r="J65" s="5"/>
      <c r="K65" s="20"/>
      <c r="L65" s="20"/>
      <c r="M65" s="20"/>
      <c r="N65" s="20"/>
      <c r="O65" s="20"/>
      <c r="P65" s="20"/>
      <c r="Q65" s="20"/>
      <c r="R65" s="20"/>
      <c r="S65" s="20"/>
    </row>
    <row r="66">
      <c r="A66" s="5" t="str">
        <f t="shared" ref="A66:A71" si="5">SUBSTITUTE(A60,"2","3")</f>
        <v>coproduct_3_name</v>
      </c>
      <c r="B66" s="20"/>
      <c r="C66" s="20"/>
      <c r="D66" s="5"/>
      <c r="E66" s="5"/>
      <c r="F66" s="5"/>
      <c r="G66" s="20"/>
      <c r="H66" s="20"/>
      <c r="I66" s="20"/>
      <c r="J66" s="20"/>
      <c r="K66" s="20"/>
      <c r="L66" s="20"/>
      <c r="M66" s="20"/>
      <c r="N66" s="20"/>
      <c r="O66" s="20"/>
      <c r="P66" s="20"/>
      <c r="Q66" s="20"/>
      <c r="R66" s="20"/>
      <c r="S66" s="20"/>
    </row>
    <row r="67">
      <c r="A67" s="5" t="str">
        <f t="shared" si="5"/>
        <v>coproduct_3_sink</v>
      </c>
      <c r="B67" s="20"/>
      <c r="C67" s="20"/>
      <c r="D67" s="5"/>
      <c r="E67" s="5"/>
      <c r="F67" s="5"/>
      <c r="G67" s="20"/>
      <c r="H67" s="20"/>
      <c r="I67" s="20"/>
      <c r="J67" s="20"/>
      <c r="K67" s="20"/>
      <c r="L67" s="20"/>
      <c r="M67" s="20"/>
      <c r="N67" s="20"/>
      <c r="O67" s="20"/>
      <c r="P67" s="20"/>
      <c r="Q67" s="20"/>
      <c r="R67" s="20"/>
      <c r="S67" s="20"/>
    </row>
    <row r="68">
      <c r="A68" s="5" t="str">
        <f t="shared" si="5"/>
        <v>coproduct_3_conversion_factor</v>
      </c>
      <c r="B68" s="20"/>
      <c r="C68" s="20"/>
      <c r="D68" s="5"/>
      <c r="E68" s="5"/>
      <c r="F68" s="5"/>
      <c r="G68" s="20"/>
      <c r="H68" s="20"/>
      <c r="I68" s="20"/>
      <c r="J68" s="20"/>
      <c r="K68" s="20"/>
      <c r="L68" s="20"/>
      <c r="M68" s="20"/>
      <c r="N68" s="20"/>
      <c r="O68" s="20"/>
      <c r="P68" s="20"/>
      <c r="Q68" s="20"/>
      <c r="R68" s="20"/>
      <c r="S68" s="20"/>
    </row>
    <row r="69">
      <c r="A69" s="5" t="str">
        <f t="shared" si="5"/>
        <v>coproduct_3_units</v>
      </c>
      <c r="B69" s="20"/>
      <c r="C69" s="20"/>
      <c r="D69" s="5"/>
      <c r="E69" s="5"/>
      <c r="F69" s="5"/>
      <c r="G69" s="20"/>
      <c r="H69" s="20"/>
      <c r="I69" s="20"/>
      <c r="J69" s="20"/>
      <c r="K69" s="20"/>
      <c r="L69" s="20"/>
      <c r="M69" s="20"/>
      <c r="N69" s="20"/>
      <c r="O69" s="20"/>
      <c r="P69" s="20"/>
      <c r="Q69" s="20"/>
      <c r="R69" s="20"/>
      <c r="S69" s="20"/>
    </row>
    <row r="70">
      <c r="A70" s="5" t="str">
        <f t="shared" si="5"/>
        <v>coproduct_3_constituents</v>
      </c>
      <c r="B70" s="20"/>
      <c r="C70" s="20"/>
      <c r="D70" s="5"/>
      <c r="E70" s="5"/>
      <c r="F70" s="5"/>
      <c r="G70" s="20"/>
      <c r="H70" s="20"/>
      <c r="I70" s="20"/>
      <c r="J70" s="20"/>
      <c r="K70" s="20"/>
      <c r="L70" s="20"/>
      <c r="M70" s="20"/>
      <c r="N70" s="20"/>
      <c r="O70" s="20"/>
      <c r="P70" s="20"/>
      <c r="Q70" s="20"/>
      <c r="R70" s="20"/>
      <c r="S70" s="20"/>
    </row>
    <row r="71">
      <c r="A71" s="5" t="str">
        <f t="shared" si="5"/>
        <v>coproduct_3_constituent_fractions</v>
      </c>
      <c r="B71" s="20"/>
      <c r="C71" s="20"/>
      <c r="D71" s="5"/>
      <c r="E71" s="5"/>
      <c r="F71" s="5"/>
      <c r="G71" s="20"/>
      <c r="H71" s="20"/>
      <c r="I71" s="20"/>
      <c r="J71" s="20"/>
      <c r="K71" s="20"/>
      <c r="L71" s="20"/>
      <c r="M71" s="20"/>
      <c r="N71" s="20"/>
      <c r="O71" s="20"/>
      <c r="P71" s="20"/>
      <c r="Q71" s="20"/>
      <c r="R71" s="20"/>
      <c r="S71" s="20"/>
    </row>
    <row r="72">
      <c r="A72" s="20"/>
      <c r="B72" s="20"/>
      <c r="C72" s="20"/>
      <c r="D72" s="20"/>
      <c r="E72" s="20"/>
      <c r="F72" s="20"/>
      <c r="G72" s="20"/>
      <c r="H72" s="20"/>
      <c r="I72" s="20"/>
      <c r="J72" s="20"/>
      <c r="K72" s="20"/>
      <c r="L72" s="20"/>
      <c r="M72" s="20"/>
      <c r="N72" s="20"/>
      <c r="O72" s="20"/>
      <c r="P72" s="20"/>
      <c r="Q72" s="20"/>
      <c r="R72" s="20"/>
      <c r="S72" s="20"/>
    </row>
    <row r="73">
      <c r="A73" s="20"/>
      <c r="B73" s="20"/>
      <c r="C73" s="20"/>
      <c r="D73" s="20"/>
      <c r="E73" s="20"/>
      <c r="F73" s="20"/>
      <c r="G73" s="20"/>
      <c r="H73" s="20"/>
      <c r="I73" s="20"/>
      <c r="J73" s="20"/>
      <c r="K73" s="20"/>
      <c r="L73" s="20"/>
      <c r="M73" s="20"/>
      <c r="N73" s="20"/>
      <c r="O73" s="20"/>
      <c r="P73" s="20"/>
      <c r="Q73" s="20"/>
      <c r="R73" s="20"/>
      <c r="S73" s="20"/>
    </row>
    <row r="74">
      <c r="A74" s="20"/>
      <c r="B74" s="20"/>
      <c r="C74" s="20"/>
      <c r="D74" s="20"/>
      <c r="E74" s="20"/>
      <c r="F74" s="20"/>
      <c r="G74" s="20"/>
      <c r="H74" s="20"/>
      <c r="I74" s="20"/>
      <c r="J74" s="20"/>
      <c r="K74" s="20"/>
      <c r="L74" s="20"/>
      <c r="M74" s="20"/>
      <c r="N74" s="20"/>
      <c r="O74" s="20"/>
      <c r="P74" s="20"/>
      <c r="Q74" s="20"/>
      <c r="R74" s="20"/>
      <c r="S74" s="20"/>
    </row>
    <row r="75">
      <c r="A75" s="20"/>
      <c r="B75" s="20"/>
      <c r="C75" s="20"/>
      <c r="D75" s="20"/>
      <c r="E75" s="20"/>
      <c r="F75" s="20"/>
      <c r="G75" s="20"/>
      <c r="H75" s="20"/>
      <c r="I75" s="20"/>
      <c r="J75" s="20"/>
      <c r="K75" s="20"/>
      <c r="L75" s="20"/>
      <c r="M75" s="20"/>
      <c r="N75" s="20"/>
      <c r="O75" s="20"/>
      <c r="P75" s="20"/>
      <c r="Q75" s="20"/>
      <c r="R75" s="20"/>
      <c r="S75" s="20"/>
    </row>
    <row r="76">
      <c r="A76" s="20"/>
      <c r="B76" s="20"/>
      <c r="C76" s="20"/>
      <c r="D76" s="20"/>
      <c r="E76" s="20"/>
      <c r="F76" s="20"/>
      <c r="G76" s="20"/>
      <c r="H76" s="20"/>
      <c r="I76" s="20"/>
      <c r="J76" s="20"/>
      <c r="K76" s="20"/>
      <c r="L76" s="20"/>
      <c r="M76" s="20"/>
      <c r="N76" s="20"/>
      <c r="O76" s="20"/>
      <c r="P76" s="20"/>
      <c r="Q76" s="20"/>
      <c r="R76" s="20"/>
      <c r="S76" s="20"/>
    </row>
    <row r="77">
      <c r="A77" s="20"/>
      <c r="B77" s="20"/>
      <c r="C77" s="20"/>
      <c r="D77" s="20"/>
      <c r="E77" s="20"/>
      <c r="F77" s="20"/>
      <c r="G77" s="20"/>
      <c r="H77" s="20"/>
      <c r="I77" s="20"/>
      <c r="J77" s="20"/>
      <c r="K77" s="20"/>
      <c r="L77" s="20"/>
      <c r="M77" s="20"/>
      <c r="N77" s="20"/>
      <c r="O77" s="20"/>
      <c r="P77" s="20"/>
      <c r="Q77" s="20"/>
      <c r="R77" s="20"/>
      <c r="S77" s="20"/>
    </row>
    <row r="78">
      <c r="A78" s="20"/>
      <c r="B78" s="20"/>
      <c r="C78" s="20"/>
      <c r="D78" s="20"/>
      <c r="E78" s="20"/>
      <c r="F78" s="20"/>
      <c r="G78" s="20"/>
      <c r="H78" s="20"/>
      <c r="I78" s="20"/>
      <c r="J78" s="20"/>
      <c r="K78" s="20"/>
      <c r="L78" s="20"/>
      <c r="M78" s="20"/>
      <c r="N78" s="20"/>
      <c r="O78" s="20"/>
      <c r="P78" s="20"/>
      <c r="Q78" s="20"/>
      <c r="R78" s="20"/>
      <c r="S78" s="20"/>
    </row>
    <row r="79">
      <c r="A79" s="20"/>
      <c r="B79" s="20"/>
      <c r="C79" s="20"/>
      <c r="D79" s="20"/>
      <c r="E79" s="20"/>
      <c r="F79" s="20"/>
      <c r="G79" s="20"/>
      <c r="H79" s="20"/>
      <c r="I79" s="20"/>
      <c r="J79" s="20"/>
      <c r="K79" s="20"/>
      <c r="L79" s="20"/>
      <c r="M79" s="20"/>
      <c r="N79" s="20"/>
      <c r="O79" s="20"/>
      <c r="P79" s="20"/>
      <c r="Q79" s="20"/>
      <c r="R79" s="20"/>
      <c r="S79" s="20"/>
    </row>
    <row r="80">
      <c r="A80" s="20"/>
      <c r="B80" s="20"/>
      <c r="C80" s="20"/>
      <c r="D80" s="20"/>
      <c r="E80" s="20"/>
      <c r="F80" s="20"/>
      <c r="G80" s="20"/>
      <c r="H80" s="20"/>
      <c r="I80" s="20"/>
      <c r="J80" s="20"/>
      <c r="K80" s="20"/>
      <c r="L80" s="20"/>
      <c r="M80" s="20"/>
      <c r="N80" s="20"/>
      <c r="O80" s="20"/>
      <c r="P80" s="20"/>
      <c r="Q80" s="20"/>
      <c r="R80" s="20"/>
      <c r="S80" s="20"/>
    </row>
    <row r="81">
      <c r="A81" s="20"/>
      <c r="B81" s="20"/>
      <c r="C81" s="20"/>
      <c r="D81" s="20"/>
      <c r="E81" s="20"/>
      <c r="F81" s="20"/>
      <c r="G81" s="20"/>
      <c r="H81" s="20"/>
      <c r="I81" s="20"/>
      <c r="J81" s="20"/>
      <c r="K81" s="20"/>
      <c r="L81" s="20"/>
      <c r="M81" s="20"/>
      <c r="N81" s="20"/>
      <c r="O81" s="20"/>
      <c r="P81" s="20"/>
      <c r="Q81" s="20"/>
      <c r="R81" s="20"/>
      <c r="S81" s="20"/>
    </row>
    <row r="82">
      <c r="A82" s="20"/>
      <c r="B82" s="20"/>
      <c r="C82" s="20"/>
      <c r="D82" s="20"/>
      <c r="E82" s="20"/>
      <c r="F82" s="20"/>
      <c r="G82" s="20"/>
      <c r="H82" s="20"/>
      <c r="I82" s="20"/>
      <c r="J82" s="20"/>
      <c r="K82" s="20"/>
      <c r="L82" s="20"/>
      <c r="M82" s="20"/>
      <c r="N82" s="20"/>
      <c r="O82" s="20"/>
      <c r="P82" s="20"/>
      <c r="Q82" s="20"/>
      <c r="R82" s="20"/>
      <c r="S82" s="20"/>
    </row>
    <row r="83">
      <c r="A83" s="20"/>
      <c r="B83" s="20"/>
      <c r="C83" s="20"/>
      <c r="D83" s="20"/>
      <c r="E83" s="20"/>
      <c r="F83" s="20"/>
      <c r="G83" s="20"/>
      <c r="H83" s="20"/>
      <c r="I83" s="20"/>
      <c r="J83" s="20"/>
      <c r="K83" s="20"/>
      <c r="L83" s="20"/>
      <c r="M83" s="20"/>
      <c r="N83" s="20"/>
      <c r="O83" s="20"/>
      <c r="P83" s="20"/>
      <c r="Q83" s="20"/>
      <c r="R83" s="20"/>
      <c r="S83" s="20"/>
    </row>
    <row r="84">
      <c r="A84" s="20"/>
      <c r="B84" s="20"/>
      <c r="C84" s="20"/>
      <c r="D84" s="20"/>
      <c r="E84" s="20"/>
      <c r="F84" s="20"/>
      <c r="G84" s="20"/>
      <c r="H84" s="20"/>
      <c r="I84" s="20"/>
      <c r="J84" s="20"/>
      <c r="K84" s="20"/>
      <c r="L84" s="20"/>
      <c r="M84" s="20"/>
      <c r="N84" s="20"/>
      <c r="O84" s="20"/>
      <c r="P84" s="20"/>
      <c r="Q84" s="20"/>
      <c r="R84" s="20"/>
      <c r="S84" s="20"/>
    </row>
    <row r="85">
      <c r="A85" s="20"/>
      <c r="B85" s="20"/>
      <c r="C85" s="20"/>
      <c r="D85" s="20"/>
      <c r="E85" s="20"/>
      <c r="F85" s="20"/>
      <c r="G85" s="20"/>
      <c r="H85" s="20"/>
      <c r="I85" s="20"/>
      <c r="J85" s="20"/>
      <c r="K85" s="20"/>
      <c r="L85" s="20"/>
      <c r="M85" s="20"/>
      <c r="N85" s="20"/>
      <c r="O85" s="20"/>
      <c r="P85" s="20"/>
      <c r="Q85" s="20"/>
      <c r="R85" s="20"/>
      <c r="S85" s="20"/>
    </row>
    <row r="86">
      <c r="A86" s="20"/>
      <c r="B86" s="20"/>
      <c r="C86" s="20"/>
      <c r="D86" s="20"/>
      <c r="E86" s="20"/>
      <c r="F86" s="20"/>
      <c r="G86" s="20"/>
      <c r="H86" s="20"/>
      <c r="I86" s="20"/>
      <c r="J86" s="20"/>
      <c r="K86" s="20"/>
      <c r="L86" s="20"/>
      <c r="M86" s="20"/>
      <c r="N86" s="20"/>
      <c r="O86" s="20"/>
      <c r="P86" s="20"/>
      <c r="Q86" s="20"/>
      <c r="R86" s="20"/>
      <c r="S86" s="20"/>
    </row>
    <row r="87">
      <c r="A87" s="20"/>
      <c r="B87" s="20"/>
      <c r="C87" s="20"/>
      <c r="D87" s="20"/>
      <c r="E87" s="20"/>
      <c r="F87" s="20"/>
      <c r="G87" s="20"/>
      <c r="H87" s="20"/>
      <c r="I87" s="20"/>
      <c r="J87" s="20"/>
      <c r="K87" s="20"/>
      <c r="L87" s="20"/>
      <c r="M87" s="20"/>
      <c r="N87" s="20"/>
      <c r="O87" s="20"/>
      <c r="P87" s="20"/>
      <c r="Q87" s="20"/>
      <c r="R87" s="20"/>
      <c r="S87" s="20"/>
    </row>
    <row r="88">
      <c r="A88" s="20"/>
      <c r="B88" s="20"/>
      <c r="C88" s="20"/>
      <c r="D88" s="20"/>
      <c r="E88" s="20"/>
      <c r="F88" s="20"/>
      <c r="G88" s="20"/>
      <c r="H88" s="20"/>
      <c r="I88" s="20"/>
      <c r="J88" s="20"/>
      <c r="K88" s="20"/>
      <c r="L88" s="20"/>
      <c r="M88" s="20"/>
      <c r="N88" s="20"/>
      <c r="O88" s="20"/>
      <c r="P88" s="20"/>
      <c r="Q88" s="20"/>
      <c r="R88" s="20"/>
      <c r="S88" s="20"/>
    </row>
    <row r="89">
      <c r="A89" s="20"/>
      <c r="B89" s="20"/>
      <c r="C89" s="20"/>
      <c r="D89" s="20"/>
      <c r="E89" s="20"/>
      <c r="F89" s="20"/>
      <c r="G89" s="20"/>
      <c r="H89" s="20"/>
      <c r="I89" s="20"/>
      <c r="J89" s="20"/>
      <c r="K89" s="20"/>
      <c r="L89" s="20"/>
      <c r="M89" s="20"/>
      <c r="N89" s="20"/>
      <c r="O89" s="20"/>
      <c r="P89" s="20"/>
      <c r="Q89" s="20"/>
      <c r="R89" s="20"/>
      <c r="S89" s="20"/>
    </row>
    <row r="90">
      <c r="A90" s="20"/>
      <c r="B90" s="20"/>
      <c r="C90" s="20"/>
      <c r="D90" s="20"/>
      <c r="E90" s="20"/>
      <c r="F90" s="20"/>
      <c r="G90" s="20"/>
      <c r="H90" s="20"/>
      <c r="I90" s="20"/>
      <c r="J90" s="20"/>
      <c r="K90" s="20"/>
      <c r="L90" s="20"/>
      <c r="M90" s="20"/>
      <c r="N90" s="20"/>
      <c r="O90" s="20"/>
      <c r="P90" s="20"/>
      <c r="Q90" s="20"/>
      <c r="R90" s="20"/>
      <c r="S90" s="20"/>
    </row>
    <row r="91">
      <c r="A91" s="20"/>
      <c r="B91" s="20"/>
      <c r="C91" s="20"/>
      <c r="D91" s="20"/>
      <c r="E91" s="20"/>
      <c r="F91" s="20"/>
      <c r="G91" s="20"/>
      <c r="H91" s="20"/>
      <c r="I91" s="20"/>
      <c r="J91" s="20"/>
      <c r="K91" s="20"/>
      <c r="L91" s="20"/>
      <c r="M91" s="20"/>
      <c r="N91" s="20"/>
      <c r="O91" s="20"/>
      <c r="P91" s="20"/>
      <c r="Q91" s="20"/>
      <c r="R91" s="20"/>
      <c r="S91" s="20"/>
    </row>
    <row r="92">
      <c r="A92" s="20"/>
      <c r="B92" s="20"/>
      <c r="C92" s="20"/>
      <c r="D92" s="20"/>
      <c r="E92" s="20"/>
      <c r="F92" s="20"/>
      <c r="G92" s="20"/>
      <c r="H92" s="20"/>
      <c r="I92" s="20"/>
      <c r="J92" s="20"/>
      <c r="K92" s="20"/>
      <c r="L92" s="20"/>
      <c r="M92" s="20"/>
      <c r="N92" s="20"/>
      <c r="O92" s="20"/>
      <c r="P92" s="20"/>
      <c r="Q92" s="20"/>
      <c r="R92" s="20"/>
      <c r="S92" s="20"/>
    </row>
    <row r="93">
      <c r="A93" s="20"/>
      <c r="B93" s="20"/>
      <c r="C93" s="20"/>
      <c r="D93" s="20"/>
      <c r="E93" s="20"/>
      <c r="F93" s="20"/>
      <c r="G93" s="20"/>
      <c r="H93" s="20"/>
      <c r="I93" s="20"/>
      <c r="J93" s="20"/>
      <c r="K93" s="20"/>
      <c r="L93" s="20"/>
      <c r="M93" s="20"/>
      <c r="N93" s="20"/>
      <c r="O93" s="20"/>
      <c r="P93" s="20"/>
      <c r="Q93" s="20"/>
      <c r="R93" s="20"/>
      <c r="S93" s="20"/>
    </row>
    <row r="94">
      <c r="A94" s="20"/>
      <c r="B94" s="20"/>
      <c r="C94" s="20"/>
      <c r="D94" s="20"/>
      <c r="E94" s="20"/>
      <c r="F94" s="20"/>
      <c r="G94" s="20"/>
      <c r="H94" s="20"/>
      <c r="I94" s="20"/>
      <c r="J94" s="20"/>
      <c r="K94" s="20"/>
      <c r="L94" s="20"/>
      <c r="M94" s="20"/>
      <c r="N94" s="20"/>
      <c r="O94" s="20"/>
      <c r="P94" s="20"/>
      <c r="Q94" s="20"/>
      <c r="R94" s="20"/>
      <c r="S94" s="20"/>
    </row>
    <row r="95">
      <c r="A95" s="20"/>
      <c r="B95" s="20"/>
      <c r="C95" s="20"/>
      <c r="D95" s="20"/>
      <c r="E95" s="20"/>
      <c r="F95" s="20"/>
      <c r="G95" s="20"/>
      <c r="H95" s="20"/>
      <c r="I95" s="20"/>
      <c r="J95" s="20"/>
      <c r="K95" s="20"/>
      <c r="L95" s="20"/>
      <c r="M95" s="20"/>
      <c r="N95" s="20"/>
      <c r="O95" s="20"/>
      <c r="P95" s="20"/>
      <c r="Q95" s="20"/>
      <c r="R95" s="20"/>
      <c r="S95" s="20"/>
    </row>
    <row r="96">
      <c r="A96" s="20"/>
      <c r="B96" s="20"/>
      <c r="C96" s="20"/>
      <c r="D96" s="20"/>
      <c r="E96" s="20"/>
      <c r="F96" s="20"/>
      <c r="G96" s="20"/>
      <c r="H96" s="20"/>
      <c r="I96" s="20"/>
      <c r="J96" s="20"/>
      <c r="K96" s="20"/>
      <c r="L96" s="20"/>
      <c r="M96" s="20"/>
      <c r="N96" s="20"/>
      <c r="O96" s="20"/>
      <c r="P96" s="20"/>
      <c r="Q96" s="20"/>
      <c r="R96" s="20"/>
      <c r="S96" s="20"/>
    </row>
    <row r="97">
      <c r="A97" s="20"/>
      <c r="B97" s="20"/>
      <c r="C97" s="20"/>
      <c r="D97" s="20"/>
      <c r="E97" s="20"/>
      <c r="F97" s="20"/>
      <c r="G97" s="20"/>
      <c r="H97" s="20"/>
      <c r="I97" s="20"/>
      <c r="J97" s="20"/>
      <c r="K97" s="20"/>
      <c r="L97" s="20"/>
      <c r="M97" s="20"/>
      <c r="N97" s="20"/>
      <c r="O97" s="20"/>
      <c r="P97" s="20"/>
      <c r="Q97" s="20"/>
      <c r="R97" s="20"/>
      <c r="S97" s="20"/>
    </row>
    <row r="98">
      <c r="A98" s="20"/>
      <c r="B98" s="20"/>
      <c r="C98" s="20"/>
      <c r="D98" s="20"/>
      <c r="E98" s="20"/>
      <c r="F98" s="20"/>
      <c r="G98" s="20"/>
      <c r="H98" s="20"/>
      <c r="I98" s="20"/>
      <c r="J98" s="20"/>
      <c r="K98" s="20"/>
      <c r="L98" s="20"/>
      <c r="M98" s="20"/>
      <c r="N98" s="20"/>
      <c r="O98" s="20"/>
      <c r="P98" s="20"/>
      <c r="Q98" s="20"/>
      <c r="R98" s="20"/>
      <c r="S98" s="20"/>
    </row>
    <row r="99">
      <c r="A99" s="20"/>
      <c r="B99" s="20"/>
      <c r="C99" s="20"/>
      <c r="D99" s="20"/>
      <c r="E99" s="20"/>
      <c r="F99" s="20"/>
      <c r="G99" s="20"/>
      <c r="H99" s="20"/>
      <c r="I99" s="20"/>
      <c r="J99" s="20"/>
      <c r="K99" s="20"/>
      <c r="L99" s="20"/>
      <c r="M99" s="20"/>
      <c r="N99" s="20"/>
      <c r="O99" s="20"/>
      <c r="P99" s="20"/>
      <c r="Q99" s="20"/>
      <c r="R99" s="20"/>
      <c r="S99" s="20"/>
    </row>
    <row r="100">
      <c r="A100" s="20"/>
      <c r="B100" s="20"/>
      <c r="C100" s="20"/>
      <c r="D100" s="20"/>
      <c r="E100" s="20"/>
      <c r="F100" s="20"/>
      <c r="G100" s="20"/>
      <c r="H100" s="20"/>
      <c r="I100" s="20"/>
      <c r="J100" s="20"/>
      <c r="K100" s="20"/>
      <c r="L100" s="20"/>
      <c r="M100" s="20"/>
      <c r="N100" s="20"/>
      <c r="O100" s="20"/>
      <c r="P100" s="20"/>
      <c r="Q100" s="20"/>
      <c r="R100" s="20"/>
      <c r="S100" s="20"/>
    </row>
    <row r="101">
      <c r="A101" s="20"/>
      <c r="B101" s="20"/>
      <c r="C101" s="20"/>
      <c r="D101" s="20"/>
      <c r="E101" s="20"/>
      <c r="F101" s="20"/>
      <c r="G101" s="20"/>
      <c r="H101" s="20"/>
      <c r="I101" s="20"/>
      <c r="J101" s="20"/>
      <c r="K101" s="20"/>
      <c r="L101" s="20"/>
      <c r="M101" s="20"/>
      <c r="N101" s="20"/>
      <c r="O101" s="20"/>
      <c r="P101" s="20"/>
      <c r="Q101" s="20"/>
      <c r="R101" s="20"/>
      <c r="S101" s="20"/>
    </row>
    <row r="102">
      <c r="A102" s="20"/>
      <c r="B102" s="20"/>
      <c r="C102" s="20"/>
      <c r="D102" s="20"/>
      <c r="E102" s="20"/>
      <c r="F102" s="20"/>
      <c r="G102" s="20"/>
      <c r="H102" s="20"/>
      <c r="I102" s="20"/>
      <c r="J102" s="20"/>
      <c r="K102" s="20"/>
      <c r="L102" s="20"/>
      <c r="M102" s="20"/>
      <c r="N102" s="20"/>
      <c r="O102" s="20"/>
      <c r="P102" s="20"/>
      <c r="Q102" s="20"/>
      <c r="R102" s="20"/>
      <c r="S102" s="20"/>
    </row>
    <row r="103">
      <c r="A103" s="20"/>
      <c r="B103" s="20"/>
      <c r="C103" s="20"/>
      <c r="D103" s="20"/>
      <c r="E103" s="20"/>
      <c r="F103" s="20"/>
      <c r="G103" s="20"/>
      <c r="H103" s="20"/>
      <c r="I103" s="20"/>
      <c r="J103" s="20"/>
      <c r="K103" s="20"/>
      <c r="L103" s="20"/>
      <c r="M103" s="20"/>
      <c r="N103" s="20"/>
      <c r="O103" s="20"/>
      <c r="P103" s="20"/>
      <c r="Q103" s="20"/>
      <c r="R103" s="20"/>
      <c r="S103" s="20"/>
    </row>
    <row r="104">
      <c r="A104" s="20"/>
      <c r="B104" s="20"/>
      <c r="C104" s="20"/>
      <c r="D104" s="20"/>
      <c r="E104" s="20"/>
      <c r="F104" s="20"/>
      <c r="G104" s="20"/>
      <c r="H104" s="20"/>
      <c r="I104" s="20"/>
      <c r="J104" s="20"/>
      <c r="K104" s="20"/>
      <c r="L104" s="20"/>
      <c r="M104" s="20"/>
      <c r="N104" s="20"/>
      <c r="O104" s="20"/>
      <c r="P104" s="20"/>
      <c r="Q104" s="20"/>
      <c r="R104" s="20"/>
      <c r="S104" s="20"/>
    </row>
    <row r="105">
      <c r="A105" s="20"/>
      <c r="B105" s="20"/>
      <c r="C105" s="20"/>
      <c r="D105" s="20"/>
      <c r="E105" s="20"/>
      <c r="F105" s="20"/>
      <c r="G105" s="20"/>
      <c r="H105" s="20"/>
      <c r="I105" s="20"/>
      <c r="J105" s="20"/>
      <c r="K105" s="20"/>
      <c r="L105" s="20"/>
      <c r="M105" s="20"/>
      <c r="N105" s="20"/>
      <c r="O105" s="20"/>
      <c r="P105" s="20"/>
      <c r="Q105" s="20"/>
      <c r="R105" s="20"/>
      <c r="S105" s="20"/>
    </row>
    <row r="106">
      <c r="A106" s="20"/>
      <c r="B106" s="20"/>
      <c r="C106" s="20"/>
      <c r="D106" s="20"/>
      <c r="E106" s="20"/>
      <c r="F106" s="20"/>
      <c r="G106" s="20"/>
      <c r="H106" s="20"/>
      <c r="I106" s="20"/>
      <c r="J106" s="20"/>
      <c r="K106" s="20"/>
      <c r="L106" s="20"/>
      <c r="M106" s="20"/>
      <c r="N106" s="20"/>
      <c r="O106" s="20"/>
      <c r="P106" s="20"/>
      <c r="Q106" s="20"/>
      <c r="R106" s="20"/>
      <c r="S106" s="20"/>
    </row>
    <row r="107">
      <c r="A107" s="20"/>
      <c r="B107" s="20"/>
      <c r="C107" s="20"/>
      <c r="D107" s="20"/>
      <c r="E107" s="20"/>
      <c r="F107" s="20"/>
      <c r="G107" s="20"/>
      <c r="H107" s="20"/>
      <c r="I107" s="20"/>
      <c r="J107" s="20"/>
      <c r="K107" s="20"/>
      <c r="L107" s="20"/>
      <c r="M107" s="20"/>
      <c r="N107" s="20"/>
      <c r="O107" s="20"/>
      <c r="P107" s="20"/>
      <c r="Q107" s="20"/>
      <c r="R107" s="20"/>
      <c r="S107" s="20"/>
    </row>
    <row r="108">
      <c r="A108" s="20"/>
      <c r="B108" s="20"/>
      <c r="C108" s="20"/>
      <c r="D108" s="20"/>
      <c r="E108" s="20"/>
      <c r="F108" s="20"/>
      <c r="G108" s="20"/>
      <c r="H108" s="20"/>
      <c r="I108" s="20"/>
      <c r="J108" s="20"/>
      <c r="K108" s="20"/>
      <c r="L108" s="20"/>
      <c r="M108" s="20"/>
      <c r="N108" s="20"/>
      <c r="O108" s="20"/>
      <c r="P108" s="20"/>
      <c r="Q108" s="20"/>
      <c r="R108" s="20"/>
      <c r="S108" s="20"/>
    </row>
    <row r="109">
      <c r="A109" s="20"/>
      <c r="B109" s="20"/>
      <c r="C109" s="20"/>
      <c r="D109" s="20"/>
      <c r="E109" s="20"/>
      <c r="F109" s="20"/>
      <c r="G109" s="20"/>
      <c r="H109" s="20"/>
      <c r="I109" s="20"/>
      <c r="J109" s="20"/>
      <c r="K109" s="20"/>
      <c r="L109" s="20"/>
      <c r="M109" s="20"/>
      <c r="N109" s="20"/>
      <c r="O109" s="20"/>
      <c r="P109" s="20"/>
      <c r="Q109" s="20"/>
      <c r="R109" s="20"/>
      <c r="S109" s="20"/>
    </row>
    <row r="110">
      <c r="A110" s="20"/>
      <c r="B110" s="20"/>
      <c r="C110" s="20"/>
      <c r="D110" s="20"/>
      <c r="E110" s="20"/>
      <c r="F110" s="20"/>
      <c r="G110" s="20"/>
      <c r="H110" s="20"/>
      <c r="I110" s="20"/>
      <c r="J110" s="20"/>
      <c r="K110" s="20"/>
      <c r="L110" s="20"/>
      <c r="M110" s="20"/>
      <c r="N110" s="20"/>
      <c r="O110" s="20"/>
      <c r="P110" s="20"/>
      <c r="Q110" s="20"/>
      <c r="R110" s="20"/>
      <c r="S110" s="20"/>
    </row>
    <row r="111">
      <c r="A111" s="20"/>
      <c r="B111" s="20"/>
      <c r="C111" s="20"/>
      <c r="D111" s="20"/>
      <c r="E111" s="20"/>
      <c r="F111" s="20"/>
      <c r="G111" s="20"/>
      <c r="H111" s="20"/>
      <c r="I111" s="20"/>
      <c r="J111" s="20"/>
      <c r="K111" s="20"/>
      <c r="L111" s="20"/>
      <c r="M111" s="20"/>
      <c r="N111" s="20"/>
      <c r="O111" s="20"/>
      <c r="P111" s="20"/>
      <c r="Q111" s="20"/>
      <c r="R111" s="20"/>
      <c r="S111" s="20"/>
    </row>
    <row r="112">
      <c r="A112" s="20"/>
      <c r="B112" s="20"/>
      <c r="C112" s="20"/>
      <c r="D112" s="20"/>
      <c r="E112" s="20"/>
      <c r="F112" s="20"/>
      <c r="G112" s="20"/>
      <c r="H112" s="20"/>
      <c r="I112" s="20"/>
      <c r="J112" s="20"/>
      <c r="K112" s="20"/>
      <c r="L112" s="20"/>
      <c r="M112" s="20"/>
      <c r="N112" s="20"/>
      <c r="O112" s="20"/>
      <c r="P112" s="20"/>
      <c r="Q112" s="20"/>
      <c r="R112" s="20"/>
      <c r="S112" s="20"/>
    </row>
    <row r="113">
      <c r="A113" s="20"/>
      <c r="B113" s="20"/>
      <c r="C113" s="20"/>
      <c r="D113" s="20"/>
      <c r="E113" s="20"/>
      <c r="F113" s="20"/>
      <c r="G113" s="20"/>
      <c r="H113" s="20"/>
      <c r="I113" s="20"/>
      <c r="J113" s="20"/>
      <c r="K113" s="20"/>
      <c r="L113" s="20"/>
      <c r="M113" s="20"/>
      <c r="N113" s="20"/>
      <c r="O113" s="20"/>
      <c r="P113" s="20"/>
      <c r="Q113" s="20"/>
      <c r="R113" s="20"/>
      <c r="S113" s="20"/>
    </row>
    <row r="114">
      <c r="A114" s="20"/>
      <c r="B114" s="20"/>
      <c r="C114" s="20"/>
      <c r="D114" s="20"/>
      <c r="E114" s="20"/>
      <c r="F114" s="20"/>
      <c r="G114" s="20"/>
      <c r="H114" s="20"/>
      <c r="I114" s="20"/>
      <c r="J114" s="20"/>
      <c r="K114" s="20"/>
      <c r="L114" s="20"/>
      <c r="M114" s="20"/>
      <c r="N114" s="20"/>
      <c r="O114" s="20"/>
      <c r="P114" s="20"/>
      <c r="Q114" s="20"/>
      <c r="R114" s="20"/>
      <c r="S114" s="20"/>
    </row>
    <row r="115">
      <c r="A115" s="20"/>
      <c r="B115" s="20"/>
      <c r="C115" s="20"/>
      <c r="D115" s="20"/>
      <c r="E115" s="20"/>
      <c r="F115" s="20"/>
      <c r="G115" s="20"/>
      <c r="H115" s="20"/>
      <c r="I115" s="20"/>
      <c r="J115" s="20"/>
      <c r="K115" s="20"/>
      <c r="L115" s="20"/>
      <c r="M115" s="20"/>
      <c r="N115" s="20"/>
      <c r="O115" s="20"/>
      <c r="P115" s="20"/>
      <c r="Q115" s="20"/>
      <c r="R115" s="20"/>
      <c r="S115" s="20"/>
    </row>
    <row r="116">
      <c r="A116" s="20"/>
      <c r="B116" s="20"/>
      <c r="C116" s="20"/>
      <c r="D116" s="20"/>
      <c r="E116" s="20"/>
      <c r="F116" s="20"/>
      <c r="G116" s="20"/>
      <c r="H116" s="20"/>
      <c r="I116" s="20"/>
      <c r="J116" s="20"/>
      <c r="K116" s="20"/>
      <c r="L116" s="20"/>
      <c r="M116" s="20"/>
      <c r="N116" s="20"/>
      <c r="O116" s="20"/>
      <c r="P116" s="20"/>
      <c r="Q116" s="20"/>
      <c r="R116" s="20"/>
      <c r="S116" s="20"/>
    </row>
    <row r="117">
      <c r="A117" s="20"/>
      <c r="B117" s="20"/>
      <c r="C117" s="20"/>
      <c r="D117" s="20"/>
      <c r="E117" s="20"/>
      <c r="F117" s="20"/>
      <c r="G117" s="20"/>
      <c r="H117" s="20"/>
      <c r="I117" s="20"/>
      <c r="J117" s="20"/>
      <c r="K117" s="20"/>
      <c r="L117" s="20"/>
      <c r="M117" s="20"/>
      <c r="N117" s="20"/>
      <c r="O117" s="20"/>
      <c r="P117" s="20"/>
      <c r="Q117" s="20"/>
      <c r="R117" s="20"/>
      <c r="S117" s="20"/>
    </row>
    <row r="118">
      <c r="A118" s="20"/>
      <c r="B118" s="20"/>
      <c r="C118" s="20"/>
      <c r="D118" s="20"/>
      <c r="E118" s="20"/>
      <c r="F118" s="20"/>
      <c r="G118" s="20"/>
      <c r="H118" s="20"/>
      <c r="I118" s="20"/>
      <c r="J118" s="20"/>
      <c r="K118" s="20"/>
      <c r="L118" s="20"/>
      <c r="M118" s="20"/>
      <c r="N118" s="20"/>
      <c r="O118" s="20"/>
      <c r="P118" s="20"/>
      <c r="Q118" s="20"/>
      <c r="R118" s="20"/>
      <c r="S118" s="20"/>
    </row>
    <row r="119">
      <c r="A119" s="20"/>
      <c r="B119" s="20"/>
      <c r="C119" s="20"/>
      <c r="D119" s="20"/>
      <c r="E119" s="20"/>
      <c r="F119" s="20"/>
      <c r="G119" s="20"/>
      <c r="H119" s="20"/>
      <c r="I119" s="20"/>
      <c r="J119" s="20"/>
      <c r="K119" s="20"/>
      <c r="L119" s="20"/>
      <c r="M119" s="20"/>
      <c r="N119" s="20"/>
      <c r="O119" s="20"/>
      <c r="P119" s="20"/>
      <c r="Q119" s="20"/>
      <c r="R119" s="20"/>
      <c r="S119" s="20"/>
    </row>
    <row r="120">
      <c r="A120" s="20"/>
      <c r="B120" s="20"/>
      <c r="C120" s="20"/>
      <c r="D120" s="20"/>
      <c r="E120" s="20"/>
      <c r="F120" s="20"/>
      <c r="G120" s="20"/>
      <c r="H120" s="20"/>
      <c r="I120" s="20"/>
      <c r="J120" s="20"/>
      <c r="K120" s="20"/>
      <c r="L120" s="20"/>
      <c r="M120" s="20"/>
      <c r="N120" s="20"/>
      <c r="O120" s="20"/>
      <c r="P120" s="20"/>
      <c r="Q120" s="20"/>
      <c r="R120" s="20"/>
      <c r="S120" s="20"/>
    </row>
    <row r="121">
      <c r="A121" s="20"/>
      <c r="B121" s="20"/>
      <c r="C121" s="20"/>
      <c r="D121" s="20"/>
      <c r="E121" s="20"/>
      <c r="F121" s="20"/>
      <c r="G121" s="20"/>
      <c r="H121" s="20"/>
      <c r="I121" s="20"/>
      <c r="J121" s="20"/>
      <c r="K121" s="20"/>
      <c r="L121" s="20"/>
      <c r="M121" s="20"/>
      <c r="N121" s="20"/>
      <c r="O121" s="20"/>
      <c r="P121" s="20"/>
      <c r="Q121" s="20"/>
      <c r="R121" s="20"/>
      <c r="S121" s="20"/>
    </row>
    <row r="122">
      <c r="A122" s="20"/>
      <c r="B122" s="20"/>
      <c r="C122" s="20"/>
      <c r="D122" s="20"/>
      <c r="E122" s="20"/>
      <c r="F122" s="20"/>
      <c r="G122" s="20"/>
      <c r="H122" s="20"/>
      <c r="I122" s="20"/>
      <c r="J122" s="20"/>
      <c r="K122" s="20"/>
      <c r="L122" s="20"/>
      <c r="M122" s="20"/>
      <c r="N122" s="20"/>
      <c r="O122" s="20"/>
      <c r="P122" s="20"/>
      <c r="Q122" s="20"/>
      <c r="R122" s="20"/>
      <c r="S122" s="20"/>
    </row>
    <row r="123">
      <c r="A123" s="20"/>
      <c r="B123" s="20"/>
      <c r="C123" s="20"/>
      <c r="D123" s="20"/>
      <c r="E123" s="20"/>
      <c r="F123" s="20"/>
      <c r="G123" s="20"/>
      <c r="H123" s="20"/>
      <c r="I123" s="20"/>
      <c r="J123" s="20"/>
      <c r="K123" s="20"/>
      <c r="L123" s="20"/>
      <c r="M123" s="20"/>
      <c r="N123" s="20"/>
      <c r="O123" s="20"/>
      <c r="P123" s="20"/>
      <c r="Q123" s="20"/>
      <c r="R123" s="20"/>
      <c r="S123" s="20"/>
    </row>
    <row r="124">
      <c r="A124" s="20"/>
      <c r="B124" s="20"/>
      <c r="C124" s="20"/>
      <c r="D124" s="20"/>
      <c r="E124" s="20"/>
      <c r="F124" s="20"/>
      <c r="G124" s="20"/>
      <c r="H124" s="20"/>
      <c r="I124" s="20"/>
      <c r="J124" s="20"/>
      <c r="K124" s="20"/>
      <c r="L124" s="20"/>
      <c r="M124" s="20"/>
      <c r="N124" s="20"/>
      <c r="O124" s="20"/>
      <c r="P124" s="20"/>
      <c r="Q124" s="20"/>
      <c r="R124" s="20"/>
      <c r="S124" s="20"/>
    </row>
    <row r="125">
      <c r="A125" s="20"/>
      <c r="B125" s="20"/>
      <c r="C125" s="20"/>
      <c r="D125" s="20"/>
      <c r="E125" s="20"/>
      <c r="F125" s="20"/>
      <c r="G125" s="20"/>
      <c r="H125" s="20"/>
      <c r="I125" s="20"/>
      <c r="J125" s="20"/>
      <c r="K125" s="20"/>
      <c r="L125" s="20"/>
      <c r="M125" s="20"/>
      <c r="N125" s="20"/>
      <c r="O125" s="20"/>
      <c r="P125" s="20"/>
      <c r="Q125" s="20"/>
      <c r="R125" s="20"/>
      <c r="S125" s="20"/>
    </row>
    <row r="126">
      <c r="A126" s="20"/>
      <c r="B126" s="20"/>
      <c r="C126" s="20"/>
      <c r="D126" s="20"/>
      <c r="E126" s="20"/>
      <c r="F126" s="20"/>
      <c r="G126" s="20"/>
      <c r="H126" s="20"/>
      <c r="I126" s="20"/>
      <c r="J126" s="20"/>
      <c r="K126" s="20"/>
      <c r="L126" s="20"/>
      <c r="M126" s="20"/>
      <c r="N126" s="20"/>
      <c r="O126" s="20"/>
      <c r="P126" s="20"/>
      <c r="Q126" s="20"/>
      <c r="R126" s="20"/>
      <c r="S126" s="20"/>
    </row>
    <row r="127">
      <c r="A127" s="20"/>
      <c r="B127" s="20"/>
      <c r="C127" s="20"/>
      <c r="D127" s="20"/>
      <c r="E127" s="20"/>
      <c r="F127" s="20"/>
      <c r="G127" s="20"/>
      <c r="H127" s="20"/>
      <c r="I127" s="20"/>
      <c r="J127" s="20"/>
      <c r="K127" s="20"/>
      <c r="L127" s="20"/>
      <c r="M127" s="20"/>
      <c r="N127" s="20"/>
      <c r="O127" s="20"/>
      <c r="P127" s="20"/>
      <c r="Q127" s="20"/>
      <c r="R127" s="20"/>
      <c r="S127" s="20"/>
    </row>
    <row r="128">
      <c r="A128" s="20"/>
      <c r="B128" s="20"/>
      <c r="C128" s="20"/>
      <c r="D128" s="20"/>
      <c r="E128" s="20"/>
      <c r="F128" s="20"/>
      <c r="G128" s="20"/>
      <c r="H128" s="20"/>
      <c r="I128" s="20"/>
      <c r="J128" s="20"/>
      <c r="K128" s="20"/>
      <c r="L128" s="20"/>
      <c r="M128" s="20"/>
      <c r="N128" s="20"/>
      <c r="O128" s="20"/>
      <c r="P128" s="20"/>
      <c r="Q128" s="20"/>
      <c r="R128" s="20"/>
      <c r="S128" s="20"/>
    </row>
    <row r="129">
      <c r="A129" s="20"/>
      <c r="B129" s="20"/>
      <c r="C129" s="20"/>
      <c r="D129" s="20"/>
      <c r="E129" s="20"/>
      <c r="F129" s="20"/>
      <c r="G129" s="20"/>
      <c r="H129" s="20"/>
      <c r="I129" s="20"/>
      <c r="J129" s="20"/>
      <c r="K129" s="20"/>
      <c r="L129" s="20"/>
      <c r="M129" s="20"/>
      <c r="N129" s="20"/>
      <c r="O129" s="20"/>
      <c r="P129" s="20"/>
      <c r="Q129" s="20"/>
      <c r="R129" s="20"/>
      <c r="S129" s="20"/>
    </row>
    <row r="130">
      <c r="A130" s="20"/>
      <c r="B130" s="20"/>
      <c r="C130" s="20"/>
      <c r="D130" s="20"/>
      <c r="E130" s="20"/>
      <c r="F130" s="20"/>
      <c r="G130" s="20"/>
      <c r="H130" s="20"/>
      <c r="I130" s="20"/>
      <c r="J130" s="20"/>
      <c r="K130" s="20"/>
      <c r="L130" s="20"/>
      <c r="M130" s="20"/>
      <c r="N130" s="20"/>
      <c r="O130" s="20"/>
      <c r="P130" s="20"/>
      <c r="Q130" s="20"/>
      <c r="R130" s="20"/>
      <c r="S130" s="20"/>
    </row>
    <row r="131">
      <c r="A131" s="20"/>
      <c r="B131" s="20"/>
      <c r="C131" s="20"/>
      <c r="D131" s="20"/>
      <c r="E131" s="20"/>
      <c r="F131" s="20"/>
      <c r="G131" s="20"/>
      <c r="H131" s="20"/>
      <c r="I131" s="20"/>
      <c r="J131" s="20"/>
      <c r="K131" s="20"/>
      <c r="L131" s="20"/>
      <c r="M131" s="20"/>
      <c r="N131" s="20"/>
      <c r="O131" s="20"/>
      <c r="P131" s="20"/>
      <c r="Q131" s="20"/>
      <c r="R131" s="20"/>
      <c r="S131" s="20"/>
    </row>
    <row r="132">
      <c r="A132" s="20"/>
      <c r="B132" s="20"/>
      <c r="C132" s="20"/>
      <c r="D132" s="20"/>
      <c r="E132" s="20"/>
      <c r="F132" s="20"/>
      <c r="G132" s="20"/>
      <c r="H132" s="20"/>
      <c r="I132" s="20"/>
      <c r="J132" s="20"/>
      <c r="K132" s="20"/>
      <c r="L132" s="20"/>
      <c r="M132" s="20"/>
      <c r="N132" s="20"/>
      <c r="O132" s="20"/>
      <c r="P132" s="20"/>
      <c r="Q132" s="20"/>
      <c r="R132" s="20"/>
      <c r="S132" s="20"/>
    </row>
    <row r="133">
      <c r="A133" s="20"/>
      <c r="B133" s="20"/>
      <c r="C133" s="20"/>
      <c r="D133" s="20"/>
      <c r="E133" s="20"/>
      <c r="F133" s="20"/>
      <c r="G133" s="20"/>
      <c r="H133" s="20"/>
      <c r="I133" s="20"/>
      <c r="J133" s="20"/>
      <c r="K133" s="20"/>
      <c r="L133" s="20"/>
      <c r="M133" s="20"/>
      <c r="N133" s="20"/>
      <c r="O133" s="20"/>
      <c r="P133" s="20"/>
      <c r="Q133" s="20"/>
      <c r="R133" s="20"/>
      <c r="S133" s="20"/>
    </row>
    <row r="134">
      <c r="A134" s="20"/>
      <c r="B134" s="20"/>
      <c r="C134" s="20"/>
      <c r="D134" s="20"/>
      <c r="E134" s="20"/>
      <c r="F134" s="20"/>
      <c r="G134" s="20"/>
      <c r="H134" s="20"/>
      <c r="I134" s="20"/>
      <c r="J134" s="20"/>
      <c r="K134" s="20"/>
      <c r="L134" s="20"/>
      <c r="M134" s="20"/>
      <c r="N134" s="20"/>
      <c r="O134" s="20"/>
      <c r="P134" s="20"/>
      <c r="Q134" s="20"/>
      <c r="R134" s="20"/>
      <c r="S134" s="20"/>
    </row>
    <row r="135">
      <c r="A135" s="20"/>
      <c r="B135" s="20"/>
      <c r="C135" s="20"/>
      <c r="D135" s="20"/>
      <c r="E135" s="20"/>
      <c r="F135" s="20"/>
      <c r="G135" s="20"/>
      <c r="H135" s="20"/>
      <c r="I135" s="20"/>
      <c r="J135" s="20"/>
      <c r="K135" s="20"/>
      <c r="L135" s="20"/>
      <c r="M135" s="20"/>
      <c r="N135" s="20"/>
      <c r="O135" s="20"/>
      <c r="P135" s="20"/>
      <c r="Q135" s="20"/>
      <c r="R135" s="20"/>
      <c r="S135" s="20"/>
    </row>
    <row r="136">
      <c r="A136" s="20"/>
      <c r="B136" s="20"/>
      <c r="C136" s="20"/>
      <c r="D136" s="20"/>
      <c r="E136" s="20"/>
      <c r="F136" s="20"/>
      <c r="G136" s="20"/>
      <c r="H136" s="20"/>
      <c r="I136" s="20"/>
      <c r="J136" s="20"/>
      <c r="K136" s="20"/>
      <c r="L136" s="20"/>
      <c r="M136" s="20"/>
      <c r="N136" s="20"/>
      <c r="O136" s="20"/>
      <c r="P136" s="20"/>
      <c r="Q136" s="20"/>
      <c r="R136" s="20"/>
      <c r="S136" s="20"/>
    </row>
    <row r="137">
      <c r="A137" s="20"/>
      <c r="B137" s="20"/>
      <c r="C137" s="20"/>
      <c r="D137" s="20"/>
      <c r="E137" s="20"/>
      <c r="F137" s="20"/>
      <c r="G137" s="20"/>
      <c r="H137" s="20"/>
      <c r="I137" s="20"/>
      <c r="J137" s="20"/>
      <c r="K137" s="20"/>
      <c r="L137" s="20"/>
      <c r="M137" s="20"/>
      <c r="N137" s="20"/>
      <c r="O137" s="20"/>
      <c r="P137" s="20"/>
      <c r="Q137" s="20"/>
      <c r="R137" s="20"/>
      <c r="S137" s="20"/>
    </row>
    <row r="138">
      <c r="A138" s="20"/>
      <c r="B138" s="20"/>
      <c r="C138" s="20"/>
      <c r="D138" s="20"/>
      <c r="E138" s="20"/>
      <c r="F138" s="20"/>
      <c r="G138" s="20"/>
      <c r="H138" s="20"/>
      <c r="I138" s="20"/>
      <c r="J138" s="20"/>
      <c r="K138" s="20"/>
      <c r="L138" s="20"/>
      <c r="M138" s="20"/>
      <c r="N138" s="20"/>
      <c r="O138" s="20"/>
      <c r="P138" s="20"/>
      <c r="Q138" s="20"/>
      <c r="R138" s="20"/>
      <c r="S138" s="20"/>
    </row>
    <row r="139">
      <c r="A139" s="20"/>
      <c r="B139" s="20"/>
      <c r="C139" s="20"/>
      <c r="D139" s="20"/>
      <c r="E139" s="20"/>
      <c r="F139" s="20"/>
      <c r="G139" s="20"/>
      <c r="H139" s="20"/>
      <c r="I139" s="20"/>
      <c r="J139" s="20"/>
      <c r="K139" s="20"/>
      <c r="L139" s="20"/>
      <c r="M139" s="20"/>
      <c r="N139" s="20"/>
      <c r="O139" s="20"/>
      <c r="P139" s="20"/>
      <c r="Q139" s="20"/>
      <c r="R139" s="20"/>
      <c r="S139" s="20"/>
    </row>
    <row r="140">
      <c r="A140" s="20"/>
      <c r="B140" s="20"/>
      <c r="C140" s="20"/>
      <c r="D140" s="20"/>
      <c r="E140" s="20"/>
      <c r="F140" s="20"/>
      <c r="G140" s="20"/>
      <c r="H140" s="20"/>
      <c r="I140" s="20"/>
      <c r="J140" s="20"/>
      <c r="K140" s="20"/>
      <c r="L140" s="20"/>
      <c r="M140" s="20"/>
      <c r="N140" s="20"/>
      <c r="O140" s="20"/>
      <c r="P140" s="20"/>
      <c r="Q140" s="20"/>
      <c r="R140" s="20"/>
      <c r="S140" s="20"/>
    </row>
    <row r="141">
      <c r="A141" s="20"/>
      <c r="B141" s="20"/>
      <c r="C141" s="20"/>
      <c r="D141" s="20"/>
      <c r="E141" s="20"/>
      <c r="F141" s="20"/>
      <c r="G141" s="20"/>
      <c r="H141" s="20"/>
      <c r="I141" s="20"/>
      <c r="J141" s="20"/>
      <c r="K141" s="20"/>
      <c r="L141" s="20"/>
      <c r="M141" s="20"/>
      <c r="N141" s="20"/>
      <c r="O141" s="20"/>
      <c r="P141" s="20"/>
      <c r="Q141" s="20"/>
      <c r="R141" s="20"/>
      <c r="S141" s="20"/>
    </row>
    <row r="142">
      <c r="A142" s="20"/>
      <c r="B142" s="20"/>
      <c r="C142" s="20"/>
      <c r="D142" s="20"/>
      <c r="E142" s="20"/>
      <c r="F142" s="20"/>
      <c r="G142" s="20"/>
      <c r="H142" s="20"/>
      <c r="I142" s="20"/>
      <c r="J142" s="20"/>
      <c r="K142" s="20"/>
      <c r="L142" s="20"/>
      <c r="M142" s="20"/>
      <c r="N142" s="20"/>
      <c r="O142" s="20"/>
      <c r="P142" s="20"/>
      <c r="Q142" s="20"/>
      <c r="R142" s="20"/>
      <c r="S142" s="20"/>
    </row>
    <row r="143">
      <c r="A143" s="20"/>
      <c r="B143" s="20"/>
      <c r="C143" s="20"/>
      <c r="D143" s="20"/>
      <c r="E143" s="20"/>
      <c r="F143" s="20"/>
      <c r="G143" s="20"/>
      <c r="H143" s="20"/>
      <c r="I143" s="20"/>
      <c r="J143" s="20"/>
      <c r="K143" s="20"/>
      <c r="L143" s="20"/>
      <c r="M143" s="20"/>
      <c r="N143" s="20"/>
      <c r="O143" s="20"/>
      <c r="P143" s="20"/>
      <c r="Q143" s="20"/>
      <c r="R143" s="20"/>
      <c r="S143" s="20"/>
    </row>
    <row r="144">
      <c r="A144" s="20"/>
      <c r="B144" s="20"/>
      <c r="C144" s="20"/>
      <c r="D144" s="20"/>
      <c r="E144" s="20"/>
      <c r="F144" s="20"/>
      <c r="G144" s="20"/>
      <c r="H144" s="20"/>
      <c r="I144" s="20"/>
      <c r="J144" s="20"/>
      <c r="K144" s="20"/>
      <c r="L144" s="20"/>
      <c r="M144" s="20"/>
      <c r="N144" s="20"/>
      <c r="O144" s="20"/>
      <c r="P144" s="20"/>
      <c r="Q144" s="20"/>
      <c r="R144" s="20"/>
      <c r="S144" s="20"/>
    </row>
    <row r="145">
      <c r="A145" s="20"/>
      <c r="B145" s="20"/>
      <c r="C145" s="20"/>
      <c r="D145" s="20"/>
      <c r="E145" s="20"/>
      <c r="F145" s="20"/>
      <c r="G145" s="20"/>
      <c r="H145" s="20"/>
      <c r="I145" s="20"/>
      <c r="J145" s="20"/>
      <c r="K145" s="20"/>
      <c r="L145" s="20"/>
      <c r="M145" s="20"/>
      <c r="N145" s="20"/>
      <c r="O145" s="20"/>
      <c r="P145" s="20"/>
      <c r="Q145" s="20"/>
      <c r="R145" s="20"/>
      <c r="S145" s="20"/>
    </row>
    <row r="146">
      <c r="A146" s="20"/>
      <c r="B146" s="20"/>
      <c r="C146" s="20"/>
      <c r="D146" s="20"/>
      <c r="E146" s="20"/>
      <c r="F146" s="20"/>
      <c r="G146" s="20"/>
      <c r="H146" s="20"/>
      <c r="I146" s="20"/>
      <c r="J146" s="20"/>
      <c r="K146" s="20"/>
      <c r="L146" s="20"/>
      <c r="M146" s="20"/>
      <c r="N146" s="20"/>
      <c r="O146" s="20"/>
      <c r="P146" s="20"/>
      <c r="Q146" s="20"/>
      <c r="R146" s="20"/>
      <c r="S146" s="20"/>
    </row>
    <row r="147">
      <c r="A147" s="20"/>
      <c r="B147" s="20"/>
      <c r="C147" s="20"/>
      <c r="D147" s="20"/>
      <c r="E147" s="20"/>
      <c r="F147" s="20"/>
      <c r="G147" s="20"/>
      <c r="H147" s="20"/>
      <c r="I147" s="20"/>
      <c r="J147" s="20"/>
      <c r="K147" s="20"/>
      <c r="L147" s="20"/>
      <c r="M147" s="20"/>
      <c r="N147" s="20"/>
      <c r="O147" s="20"/>
      <c r="P147" s="20"/>
      <c r="Q147" s="20"/>
      <c r="R147" s="20"/>
      <c r="S147" s="20"/>
    </row>
    <row r="148">
      <c r="A148" s="20"/>
      <c r="B148" s="20"/>
      <c r="C148" s="20"/>
      <c r="D148" s="20"/>
      <c r="E148" s="20"/>
      <c r="F148" s="20"/>
      <c r="G148" s="20"/>
      <c r="H148" s="20"/>
      <c r="I148" s="20"/>
      <c r="J148" s="20"/>
      <c r="K148" s="20"/>
      <c r="L148" s="20"/>
      <c r="M148" s="20"/>
      <c r="N148" s="20"/>
      <c r="O148" s="20"/>
      <c r="P148" s="20"/>
      <c r="Q148" s="20"/>
      <c r="R148" s="20"/>
      <c r="S148" s="20"/>
    </row>
    <row r="149">
      <c r="A149" s="20"/>
      <c r="B149" s="20"/>
      <c r="C149" s="20"/>
      <c r="D149" s="20"/>
      <c r="E149" s="20"/>
      <c r="F149" s="20"/>
      <c r="G149" s="20"/>
      <c r="H149" s="20"/>
      <c r="I149" s="20"/>
      <c r="J149" s="20"/>
      <c r="K149" s="20"/>
      <c r="L149" s="20"/>
      <c r="M149" s="20"/>
      <c r="N149" s="20"/>
      <c r="O149" s="20"/>
      <c r="P149" s="20"/>
      <c r="Q149" s="20"/>
      <c r="R149" s="20"/>
      <c r="S149" s="20"/>
    </row>
    <row r="150">
      <c r="A150" s="20"/>
      <c r="B150" s="20"/>
      <c r="C150" s="20"/>
      <c r="D150" s="20"/>
      <c r="E150" s="20"/>
      <c r="F150" s="20"/>
      <c r="G150" s="20"/>
      <c r="H150" s="20"/>
      <c r="I150" s="20"/>
      <c r="J150" s="20"/>
      <c r="K150" s="20"/>
      <c r="L150" s="20"/>
      <c r="M150" s="20"/>
      <c r="N150" s="20"/>
      <c r="O150" s="20"/>
      <c r="P150" s="20"/>
      <c r="Q150" s="20"/>
      <c r="R150" s="20"/>
      <c r="S150" s="20"/>
    </row>
    <row r="151">
      <c r="A151" s="20"/>
      <c r="B151" s="20"/>
      <c r="C151" s="20"/>
      <c r="D151" s="20"/>
      <c r="E151" s="20"/>
      <c r="F151" s="20"/>
      <c r="G151" s="20"/>
      <c r="H151" s="20"/>
      <c r="I151" s="20"/>
      <c r="J151" s="20"/>
      <c r="K151" s="20"/>
      <c r="L151" s="20"/>
      <c r="M151" s="20"/>
      <c r="N151" s="20"/>
      <c r="O151" s="20"/>
      <c r="P151" s="20"/>
      <c r="Q151" s="20"/>
      <c r="R151" s="20"/>
      <c r="S151" s="20"/>
    </row>
    <row r="152">
      <c r="A152" s="20"/>
      <c r="B152" s="20"/>
      <c r="C152" s="20"/>
      <c r="D152" s="20"/>
      <c r="E152" s="20"/>
      <c r="F152" s="20"/>
      <c r="G152" s="20"/>
      <c r="H152" s="20"/>
      <c r="I152" s="20"/>
      <c r="J152" s="20"/>
      <c r="K152" s="20"/>
      <c r="L152" s="20"/>
      <c r="M152" s="20"/>
      <c r="N152" s="20"/>
      <c r="O152" s="20"/>
      <c r="P152" s="20"/>
      <c r="Q152" s="20"/>
      <c r="R152" s="20"/>
      <c r="S152" s="20"/>
    </row>
    <row r="153">
      <c r="A153" s="20"/>
      <c r="B153" s="20"/>
      <c r="C153" s="20"/>
      <c r="D153" s="20"/>
      <c r="E153" s="20"/>
      <c r="F153" s="20"/>
      <c r="G153" s="20"/>
      <c r="H153" s="20"/>
      <c r="I153" s="20"/>
      <c r="J153" s="20"/>
      <c r="K153" s="20"/>
      <c r="L153" s="20"/>
      <c r="M153" s="20"/>
      <c r="N153" s="20"/>
      <c r="O153" s="20"/>
      <c r="P153" s="20"/>
      <c r="Q153" s="20"/>
      <c r="R153" s="20"/>
      <c r="S153" s="20"/>
    </row>
    <row r="154">
      <c r="A154" s="20"/>
      <c r="B154" s="20"/>
      <c r="C154" s="20"/>
      <c r="D154" s="20"/>
      <c r="E154" s="20"/>
      <c r="F154" s="20"/>
      <c r="G154" s="20"/>
      <c r="H154" s="20"/>
      <c r="I154" s="20"/>
      <c r="J154" s="20"/>
      <c r="K154" s="20"/>
      <c r="L154" s="20"/>
      <c r="M154" s="20"/>
      <c r="N154" s="20"/>
      <c r="O154" s="20"/>
      <c r="P154" s="20"/>
      <c r="Q154" s="20"/>
      <c r="R154" s="20"/>
      <c r="S154" s="20"/>
    </row>
    <row r="155">
      <c r="A155" s="20"/>
      <c r="B155" s="20"/>
      <c r="C155" s="20"/>
      <c r="D155" s="20"/>
      <c r="E155" s="20"/>
      <c r="F155" s="20"/>
      <c r="G155" s="20"/>
      <c r="H155" s="20"/>
      <c r="I155" s="20"/>
      <c r="J155" s="20"/>
      <c r="K155" s="20"/>
      <c r="L155" s="20"/>
      <c r="M155" s="20"/>
      <c r="N155" s="20"/>
      <c r="O155" s="20"/>
      <c r="P155" s="20"/>
      <c r="Q155" s="20"/>
      <c r="R155" s="20"/>
      <c r="S155" s="20"/>
    </row>
    <row r="156">
      <c r="A156" s="20"/>
      <c r="B156" s="20"/>
      <c r="C156" s="20"/>
      <c r="D156" s="20"/>
      <c r="E156" s="20"/>
      <c r="F156" s="20"/>
      <c r="G156" s="20"/>
      <c r="H156" s="20"/>
      <c r="I156" s="20"/>
      <c r="J156" s="20"/>
      <c r="K156" s="20"/>
      <c r="L156" s="20"/>
      <c r="M156" s="20"/>
      <c r="N156" s="20"/>
      <c r="O156" s="20"/>
      <c r="P156" s="20"/>
      <c r="Q156" s="20"/>
      <c r="R156" s="20"/>
      <c r="S156" s="20"/>
    </row>
    <row r="157">
      <c r="A157" s="20"/>
      <c r="B157" s="20"/>
      <c r="C157" s="20"/>
      <c r="D157" s="20"/>
      <c r="E157" s="20"/>
      <c r="F157" s="20"/>
      <c r="G157" s="20"/>
      <c r="H157" s="20"/>
      <c r="I157" s="20"/>
      <c r="J157" s="20"/>
      <c r="K157" s="20"/>
      <c r="L157" s="20"/>
      <c r="M157" s="20"/>
      <c r="N157" s="20"/>
      <c r="O157" s="20"/>
      <c r="P157" s="20"/>
      <c r="Q157" s="20"/>
      <c r="R157" s="20"/>
      <c r="S157" s="20"/>
    </row>
    <row r="158">
      <c r="A158" s="20"/>
      <c r="B158" s="20"/>
      <c r="C158" s="20"/>
      <c r="D158" s="20"/>
      <c r="E158" s="20"/>
      <c r="F158" s="20"/>
      <c r="G158" s="20"/>
      <c r="H158" s="20"/>
      <c r="I158" s="20"/>
      <c r="J158" s="20"/>
      <c r="K158" s="20"/>
      <c r="L158" s="20"/>
      <c r="M158" s="20"/>
      <c r="N158" s="20"/>
      <c r="O158" s="20"/>
      <c r="P158" s="20"/>
      <c r="Q158" s="20"/>
      <c r="R158" s="20"/>
      <c r="S158" s="20"/>
    </row>
    <row r="159">
      <c r="A159" s="20"/>
      <c r="B159" s="20"/>
      <c r="C159" s="20"/>
      <c r="D159" s="20"/>
      <c r="E159" s="20"/>
      <c r="F159" s="20"/>
      <c r="G159" s="20"/>
      <c r="H159" s="20"/>
      <c r="I159" s="20"/>
      <c r="J159" s="20"/>
      <c r="K159" s="20"/>
      <c r="L159" s="20"/>
      <c r="M159" s="20"/>
      <c r="N159" s="20"/>
      <c r="O159" s="20"/>
      <c r="P159" s="20"/>
      <c r="Q159" s="20"/>
      <c r="R159" s="20"/>
      <c r="S159" s="20"/>
    </row>
    <row r="160">
      <c r="A160" s="20"/>
      <c r="B160" s="20"/>
      <c r="C160" s="20"/>
      <c r="D160" s="20"/>
      <c r="E160" s="20"/>
      <c r="F160" s="20"/>
      <c r="G160" s="20"/>
      <c r="H160" s="20"/>
      <c r="I160" s="20"/>
      <c r="J160" s="20"/>
      <c r="K160" s="20"/>
      <c r="L160" s="20"/>
      <c r="M160" s="20"/>
      <c r="N160" s="20"/>
      <c r="O160" s="20"/>
      <c r="P160" s="20"/>
      <c r="Q160" s="20"/>
      <c r="R160" s="20"/>
      <c r="S160" s="20"/>
    </row>
    <row r="161">
      <c r="A161" s="20"/>
      <c r="B161" s="20"/>
      <c r="C161" s="20"/>
      <c r="D161" s="20"/>
      <c r="E161" s="20"/>
      <c r="F161" s="20"/>
      <c r="G161" s="20"/>
      <c r="H161" s="20"/>
      <c r="I161" s="20"/>
      <c r="J161" s="20"/>
      <c r="K161" s="20"/>
      <c r="L161" s="20"/>
      <c r="M161" s="20"/>
      <c r="N161" s="20"/>
      <c r="O161" s="20"/>
      <c r="P161" s="20"/>
      <c r="Q161" s="20"/>
      <c r="R161" s="20"/>
      <c r="S161" s="20"/>
    </row>
    <row r="162">
      <c r="A162" s="20"/>
      <c r="B162" s="20"/>
      <c r="C162" s="20"/>
      <c r="D162" s="20"/>
      <c r="E162" s="20"/>
      <c r="F162" s="20"/>
      <c r="G162" s="20"/>
      <c r="H162" s="20"/>
      <c r="I162" s="20"/>
      <c r="J162" s="20"/>
      <c r="K162" s="20"/>
      <c r="L162" s="20"/>
      <c r="M162" s="20"/>
      <c r="N162" s="20"/>
      <c r="O162" s="20"/>
      <c r="P162" s="20"/>
      <c r="Q162" s="20"/>
      <c r="R162" s="20"/>
      <c r="S162" s="20"/>
    </row>
    <row r="163">
      <c r="A163" s="20"/>
      <c r="B163" s="20"/>
      <c r="C163" s="20"/>
      <c r="D163" s="20"/>
      <c r="E163" s="20"/>
      <c r="F163" s="20"/>
      <c r="G163" s="20"/>
      <c r="H163" s="20"/>
      <c r="I163" s="20"/>
      <c r="J163" s="20"/>
      <c r="K163" s="20"/>
      <c r="L163" s="20"/>
      <c r="M163" s="20"/>
      <c r="N163" s="20"/>
      <c r="O163" s="20"/>
      <c r="P163" s="20"/>
      <c r="Q163" s="20"/>
      <c r="R163" s="20"/>
      <c r="S163" s="20"/>
    </row>
    <row r="164">
      <c r="A164" s="20"/>
      <c r="B164" s="20"/>
      <c r="C164" s="20"/>
      <c r="D164" s="20"/>
      <c r="E164" s="20"/>
      <c r="F164" s="20"/>
      <c r="G164" s="20"/>
      <c r="H164" s="20"/>
      <c r="I164" s="20"/>
      <c r="J164" s="20"/>
      <c r="K164" s="20"/>
      <c r="L164" s="20"/>
      <c r="M164" s="20"/>
      <c r="N164" s="20"/>
      <c r="O164" s="20"/>
      <c r="P164" s="20"/>
      <c r="Q164" s="20"/>
      <c r="R164" s="20"/>
      <c r="S164" s="20"/>
    </row>
    <row r="165">
      <c r="A165" s="20"/>
      <c r="B165" s="20"/>
      <c r="C165" s="20"/>
      <c r="D165" s="20"/>
      <c r="E165" s="20"/>
      <c r="F165" s="20"/>
      <c r="G165" s="20"/>
      <c r="H165" s="20"/>
      <c r="I165" s="20"/>
      <c r="J165" s="20"/>
      <c r="K165" s="20"/>
      <c r="L165" s="20"/>
      <c r="M165" s="20"/>
      <c r="N165" s="20"/>
      <c r="O165" s="20"/>
      <c r="P165" s="20"/>
      <c r="Q165" s="20"/>
      <c r="R165" s="20"/>
      <c r="S165" s="20"/>
    </row>
    <row r="166">
      <c r="A166" s="20"/>
      <c r="B166" s="20"/>
      <c r="C166" s="20"/>
      <c r="D166" s="20"/>
      <c r="E166" s="20"/>
      <c r="F166" s="20"/>
      <c r="G166" s="20"/>
      <c r="H166" s="20"/>
      <c r="I166" s="20"/>
      <c r="J166" s="20"/>
      <c r="K166" s="20"/>
      <c r="L166" s="20"/>
      <c r="M166" s="20"/>
      <c r="N166" s="20"/>
      <c r="O166" s="20"/>
      <c r="P166" s="20"/>
      <c r="Q166" s="20"/>
      <c r="R166" s="20"/>
      <c r="S166" s="20"/>
    </row>
    <row r="167">
      <c r="A167" s="20"/>
      <c r="B167" s="20"/>
      <c r="C167" s="20"/>
      <c r="D167" s="20"/>
      <c r="E167" s="20"/>
      <c r="F167" s="20"/>
      <c r="G167" s="20"/>
      <c r="H167" s="20"/>
      <c r="I167" s="20"/>
      <c r="J167" s="20"/>
      <c r="K167" s="20"/>
      <c r="L167" s="20"/>
      <c r="M167" s="20"/>
      <c r="N167" s="20"/>
      <c r="O167" s="20"/>
      <c r="P167" s="20"/>
      <c r="Q167" s="20"/>
      <c r="R167" s="20"/>
      <c r="S167" s="20"/>
    </row>
    <row r="168">
      <c r="A168" s="20"/>
      <c r="B168" s="20"/>
      <c r="C168" s="20"/>
      <c r="D168" s="20"/>
      <c r="E168" s="20"/>
      <c r="F168" s="20"/>
      <c r="G168" s="20"/>
      <c r="H168" s="20"/>
      <c r="I168" s="20"/>
      <c r="J168" s="20"/>
      <c r="K168" s="20"/>
      <c r="L168" s="20"/>
      <c r="M168" s="20"/>
      <c r="N168" s="20"/>
      <c r="O168" s="20"/>
      <c r="P168" s="20"/>
      <c r="Q168" s="20"/>
      <c r="R168" s="20"/>
      <c r="S168" s="20"/>
    </row>
    <row r="169">
      <c r="A169" s="20"/>
      <c r="B169" s="20"/>
      <c r="C169" s="20"/>
      <c r="D169" s="20"/>
      <c r="E169" s="20"/>
      <c r="F169" s="20"/>
      <c r="G169" s="20"/>
      <c r="H169" s="20"/>
      <c r="I169" s="20"/>
      <c r="J169" s="20"/>
      <c r="K169" s="20"/>
      <c r="L169" s="20"/>
      <c r="M169" s="20"/>
      <c r="N169" s="20"/>
      <c r="O169" s="20"/>
      <c r="P169" s="20"/>
      <c r="Q169" s="20"/>
      <c r="R169" s="20"/>
      <c r="S169" s="20"/>
    </row>
    <row r="170">
      <c r="A170" s="20"/>
      <c r="B170" s="20"/>
      <c r="C170" s="20"/>
      <c r="D170" s="20"/>
      <c r="E170" s="20"/>
      <c r="F170" s="20"/>
      <c r="G170" s="20"/>
      <c r="H170" s="20"/>
      <c r="I170" s="20"/>
      <c r="J170" s="20"/>
      <c r="K170" s="20"/>
      <c r="L170" s="20"/>
      <c r="M170" s="20"/>
      <c r="N170" s="20"/>
      <c r="O170" s="20"/>
      <c r="P170" s="20"/>
      <c r="Q170" s="20"/>
      <c r="R170" s="20"/>
      <c r="S170" s="20"/>
    </row>
    <row r="171">
      <c r="A171" s="20"/>
      <c r="B171" s="20"/>
      <c r="C171" s="20"/>
      <c r="D171" s="20"/>
      <c r="E171" s="20"/>
      <c r="F171" s="20"/>
      <c r="G171" s="20"/>
      <c r="H171" s="20"/>
      <c r="I171" s="20"/>
      <c r="J171" s="20"/>
      <c r="K171" s="20"/>
      <c r="L171" s="20"/>
      <c r="M171" s="20"/>
      <c r="N171" s="20"/>
      <c r="O171" s="20"/>
      <c r="P171" s="20"/>
      <c r="Q171" s="20"/>
      <c r="R171" s="20"/>
      <c r="S171" s="20"/>
    </row>
    <row r="172">
      <c r="A172" s="20"/>
      <c r="B172" s="20"/>
      <c r="C172" s="20"/>
      <c r="D172" s="20"/>
      <c r="E172" s="20"/>
      <c r="F172" s="20"/>
      <c r="G172" s="20"/>
      <c r="H172" s="20"/>
      <c r="I172" s="20"/>
      <c r="J172" s="20"/>
      <c r="K172" s="20"/>
      <c r="L172" s="20"/>
      <c r="M172" s="20"/>
      <c r="N172" s="20"/>
      <c r="O172" s="20"/>
      <c r="P172" s="20"/>
      <c r="Q172" s="20"/>
      <c r="R172" s="20"/>
      <c r="S172" s="20"/>
    </row>
    <row r="173">
      <c r="A173" s="20"/>
      <c r="B173" s="20"/>
      <c r="C173" s="20"/>
      <c r="D173" s="20"/>
      <c r="E173" s="20"/>
      <c r="F173" s="20"/>
      <c r="G173" s="20"/>
      <c r="H173" s="20"/>
      <c r="I173" s="20"/>
      <c r="J173" s="20"/>
      <c r="K173" s="20"/>
      <c r="L173" s="20"/>
      <c r="M173" s="20"/>
      <c r="N173" s="20"/>
      <c r="O173" s="20"/>
      <c r="P173" s="20"/>
      <c r="Q173" s="20"/>
      <c r="R173" s="20"/>
      <c r="S173" s="20"/>
    </row>
    <row r="174">
      <c r="A174" s="20"/>
      <c r="B174" s="20"/>
      <c r="C174" s="20"/>
      <c r="D174" s="20"/>
      <c r="E174" s="20"/>
      <c r="F174" s="20"/>
      <c r="G174" s="20"/>
      <c r="H174" s="20"/>
      <c r="I174" s="20"/>
      <c r="J174" s="20"/>
      <c r="K174" s="20"/>
      <c r="L174" s="20"/>
      <c r="M174" s="20"/>
      <c r="N174" s="20"/>
      <c r="O174" s="20"/>
      <c r="P174" s="20"/>
      <c r="Q174" s="20"/>
      <c r="R174" s="20"/>
      <c r="S174" s="20"/>
    </row>
    <row r="175">
      <c r="A175" s="20"/>
      <c r="B175" s="20"/>
      <c r="C175" s="20"/>
      <c r="D175" s="20"/>
      <c r="E175" s="20"/>
      <c r="F175" s="20"/>
      <c r="G175" s="20"/>
      <c r="H175" s="20"/>
      <c r="I175" s="20"/>
      <c r="J175" s="20"/>
      <c r="K175" s="20"/>
      <c r="L175" s="20"/>
      <c r="M175" s="20"/>
      <c r="N175" s="20"/>
      <c r="O175" s="20"/>
      <c r="P175" s="20"/>
      <c r="Q175" s="20"/>
      <c r="R175" s="20"/>
      <c r="S175" s="20"/>
    </row>
    <row r="176">
      <c r="A176" s="20"/>
      <c r="B176" s="20"/>
      <c r="C176" s="20"/>
      <c r="D176" s="20"/>
      <c r="E176" s="20"/>
      <c r="F176" s="20"/>
      <c r="G176" s="20"/>
      <c r="H176" s="20"/>
      <c r="I176" s="20"/>
      <c r="J176" s="20"/>
      <c r="K176" s="20"/>
      <c r="L176" s="20"/>
      <c r="M176" s="20"/>
      <c r="N176" s="20"/>
      <c r="O176" s="20"/>
      <c r="P176" s="20"/>
      <c r="Q176" s="20"/>
      <c r="R176" s="20"/>
      <c r="S176" s="20"/>
    </row>
    <row r="177">
      <c r="A177" s="20"/>
      <c r="B177" s="20"/>
      <c r="C177" s="20"/>
      <c r="D177" s="20"/>
      <c r="E177" s="20"/>
      <c r="F177" s="20"/>
      <c r="G177" s="20"/>
      <c r="H177" s="20"/>
      <c r="I177" s="20"/>
      <c r="J177" s="20"/>
      <c r="K177" s="20"/>
      <c r="L177" s="20"/>
      <c r="M177" s="20"/>
      <c r="N177" s="20"/>
      <c r="O177" s="20"/>
      <c r="P177" s="20"/>
      <c r="Q177" s="20"/>
      <c r="R177" s="20"/>
      <c r="S177" s="20"/>
    </row>
    <row r="178">
      <c r="A178" s="20"/>
      <c r="B178" s="20"/>
      <c r="C178" s="20"/>
      <c r="D178" s="20"/>
      <c r="E178" s="20"/>
      <c r="F178" s="20"/>
      <c r="G178" s="20"/>
      <c r="H178" s="20"/>
      <c r="I178" s="20"/>
      <c r="J178" s="20"/>
      <c r="K178" s="20"/>
      <c r="L178" s="20"/>
      <c r="M178" s="20"/>
      <c r="N178" s="20"/>
      <c r="O178" s="20"/>
      <c r="P178" s="20"/>
      <c r="Q178" s="20"/>
      <c r="R178" s="20"/>
      <c r="S178" s="20"/>
    </row>
    <row r="179">
      <c r="A179" s="20"/>
      <c r="B179" s="20"/>
      <c r="C179" s="20"/>
      <c r="D179" s="20"/>
      <c r="E179" s="20"/>
      <c r="F179" s="20"/>
      <c r="G179" s="20"/>
      <c r="H179" s="20"/>
      <c r="I179" s="20"/>
      <c r="J179" s="20"/>
      <c r="K179" s="20"/>
      <c r="L179" s="20"/>
      <c r="M179" s="20"/>
      <c r="N179" s="20"/>
      <c r="O179" s="20"/>
      <c r="P179" s="20"/>
      <c r="Q179" s="20"/>
      <c r="R179" s="20"/>
      <c r="S179" s="20"/>
    </row>
    <row r="180">
      <c r="A180" s="20"/>
      <c r="B180" s="20"/>
      <c r="C180" s="20"/>
      <c r="D180" s="20"/>
      <c r="E180" s="20"/>
      <c r="F180" s="20"/>
      <c r="G180" s="20"/>
      <c r="H180" s="20"/>
      <c r="I180" s="20"/>
      <c r="J180" s="20"/>
      <c r="K180" s="20"/>
      <c r="L180" s="20"/>
      <c r="M180" s="20"/>
      <c r="N180" s="20"/>
      <c r="O180" s="20"/>
      <c r="P180" s="20"/>
      <c r="Q180" s="20"/>
      <c r="R180" s="20"/>
      <c r="S180" s="20"/>
    </row>
    <row r="181">
      <c r="A181" s="20"/>
      <c r="B181" s="20"/>
      <c r="C181" s="20"/>
      <c r="D181" s="20"/>
      <c r="E181" s="20"/>
      <c r="F181" s="20"/>
      <c r="G181" s="20"/>
      <c r="H181" s="20"/>
      <c r="I181" s="20"/>
      <c r="J181" s="20"/>
      <c r="K181" s="20"/>
      <c r="L181" s="20"/>
      <c r="M181" s="20"/>
      <c r="N181" s="20"/>
      <c r="O181" s="20"/>
      <c r="P181" s="20"/>
      <c r="Q181" s="20"/>
      <c r="R181" s="20"/>
      <c r="S181" s="20"/>
    </row>
    <row r="182">
      <c r="A182" s="20"/>
      <c r="B182" s="20"/>
      <c r="C182" s="20"/>
      <c r="D182" s="20"/>
      <c r="E182" s="20"/>
      <c r="F182" s="20"/>
      <c r="G182" s="20"/>
      <c r="H182" s="20"/>
      <c r="I182" s="20"/>
      <c r="J182" s="20"/>
      <c r="K182" s="20"/>
      <c r="L182" s="20"/>
      <c r="M182" s="20"/>
      <c r="N182" s="20"/>
      <c r="O182" s="20"/>
      <c r="P182" s="20"/>
      <c r="Q182" s="20"/>
      <c r="R182" s="20"/>
      <c r="S182" s="20"/>
    </row>
    <row r="183">
      <c r="A183" s="20"/>
      <c r="B183" s="20"/>
      <c r="C183" s="20"/>
      <c r="D183" s="20"/>
      <c r="E183" s="20"/>
      <c r="F183" s="20"/>
      <c r="G183" s="20"/>
      <c r="H183" s="20"/>
      <c r="I183" s="20"/>
      <c r="J183" s="20"/>
      <c r="K183" s="20"/>
      <c r="L183" s="20"/>
      <c r="M183" s="20"/>
      <c r="N183" s="20"/>
      <c r="O183" s="20"/>
      <c r="P183" s="20"/>
      <c r="Q183" s="20"/>
      <c r="R183" s="20"/>
      <c r="S183" s="20"/>
    </row>
    <row r="184">
      <c r="A184" s="20"/>
      <c r="B184" s="20"/>
      <c r="C184" s="20"/>
      <c r="D184" s="20"/>
      <c r="E184" s="20"/>
      <c r="F184" s="20"/>
      <c r="G184" s="20"/>
      <c r="H184" s="20"/>
      <c r="I184" s="20"/>
      <c r="J184" s="20"/>
      <c r="K184" s="20"/>
      <c r="L184" s="20"/>
      <c r="M184" s="20"/>
      <c r="N184" s="20"/>
      <c r="O184" s="20"/>
      <c r="P184" s="20"/>
      <c r="Q184" s="20"/>
      <c r="R184" s="20"/>
      <c r="S184" s="20"/>
    </row>
    <row r="185">
      <c r="A185" s="20"/>
      <c r="B185" s="20"/>
      <c r="C185" s="20"/>
      <c r="D185" s="20"/>
      <c r="E185" s="20"/>
      <c r="F185" s="20"/>
      <c r="G185" s="20"/>
      <c r="H185" s="20"/>
      <c r="I185" s="20"/>
      <c r="J185" s="20"/>
      <c r="K185" s="20"/>
      <c r="L185" s="20"/>
      <c r="M185" s="20"/>
      <c r="N185" s="20"/>
      <c r="O185" s="20"/>
      <c r="P185" s="20"/>
      <c r="Q185" s="20"/>
      <c r="R185" s="20"/>
      <c r="S185" s="20"/>
    </row>
    <row r="186">
      <c r="A186" s="20"/>
      <c r="B186" s="20"/>
      <c r="C186" s="20"/>
      <c r="D186" s="20"/>
      <c r="E186" s="20"/>
      <c r="F186" s="20"/>
      <c r="G186" s="20"/>
      <c r="H186" s="20"/>
      <c r="I186" s="20"/>
      <c r="J186" s="20"/>
      <c r="K186" s="20"/>
      <c r="L186" s="20"/>
      <c r="M186" s="20"/>
      <c r="N186" s="20"/>
      <c r="O186" s="20"/>
      <c r="P186" s="20"/>
      <c r="Q186" s="20"/>
      <c r="R186" s="20"/>
      <c r="S186" s="20"/>
    </row>
    <row r="187">
      <c r="A187" s="20"/>
      <c r="B187" s="20"/>
      <c r="C187" s="20"/>
      <c r="D187" s="20"/>
      <c r="E187" s="20"/>
      <c r="F187" s="20"/>
      <c r="G187" s="20"/>
      <c r="H187" s="20"/>
      <c r="I187" s="20"/>
      <c r="J187" s="20"/>
      <c r="K187" s="20"/>
      <c r="L187" s="20"/>
      <c r="M187" s="20"/>
      <c r="N187" s="20"/>
      <c r="O187" s="20"/>
      <c r="P187" s="20"/>
      <c r="Q187" s="20"/>
      <c r="R187" s="20"/>
      <c r="S187" s="20"/>
    </row>
    <row r="188">
      <c r="A188" s="20"/>
      <c r="B188" s="20"/>
      <c r="C188" s="20"/>
      <c r="D188" s="20"/>
      <c r="E188" s="20"/>
      <c r="F188" s="20"/>
      <c r="G188" s="20"/>
      <c r="H188" s="20"/>
      <c r="I188" s="20"/>
      <c r="J188" s="20"/>
      <c r="K188" s="20"/>
      <c r="L188" s="20"/>
      <c r="M188" s="20"/>
      <c r="N188" s="20"/>
      <c r="O188" s="20"/>
      <c r="P188" s="20"/>
      <c r="Q188" s="20"/>
      <c r="R188" s="20"/>
      <c r="S188" s="20"/>
    </row>
    <row r="189">
      <c r="A189" s="20"/>
      <c r="B189" s="20"/>
      <c r="C189" s="20"/>
      <c r="D189" s="20"/>
      <c r="E189" s="20"/>
      <c r="F189" s="20"/>
      <c r="G189" s="20"/>
      <c r="H189" s="20"/>
      <c r="I189" s="20"/>
      <c r="J189" s="20"/>
      <c r="K189" s="20"/>
      <c r="L189" s="20"/>
      <c r="M189" s="20"/>
      <c r="N189" s="20"/>
      <c r="O189" s="20"/>
      <c r="P189" s="20"/>
      <c r="Q189" s="20"/>
      <c r="R189" s="20"/>
      <c r="S189" s="20"/>
    </row>
    <row r="190">
      <c r="A190" s="20"/>
      <c r="B190" s="20"/>
      <c r="C190" s="20"/>
      <c r="D190" s="20"/>
      <c r="E190" s="20"/>
      <c r="F190" s="20"/>
      <c r="G190" s="20"/>
      <c r="H190" s="20"/>
      <c r="I190" s="20"/>
      <c r="J190" s="20"/>
      <c r="K190" s="20"/>
      <c r="L190" s="20"/>
      <c r="M190" s="20"/>
      <c r="N190" s="20"/>
      <c r="O190" s="20"/>
      <c r="P190" s="20"/>
      <c r="Q190" s="20"/>
      <c r="R190" s="20"/>
      <c r="S190" s="20"/>
    </row>
    <row r="191">
      <c r="A191" s="20"/>
      <c r="B191" s="20"/>
      <c r="C191" s="20"/>
      <c r="D191" s="20"/>
      <c r="E191" s="20"/>
      <c r="F191" s="20"/>
      <c r="G191" s="20"/>
      <c r="H191" s="20"/>
      <c r="I191" s="20"/>
      <c r="J191" s="20"/>
      <c r="K191" s="20"/>
      <c r="L191" s="20"/>
      <c r="M191" s="20"/>
      <c r="N191" s="20"/>
      <c r="O191" s="20"/>
      <c r="P191" s="20"/>
      <c r="Q191" s="20"/>
      <c r="R191" s="20"/>
      <c r="S191" s="20"/>
    </row>
    <row r="192">
      <c r="A192" s="20"/>
      <c r="B192" s="20"/>
      <c r="C192" s="20"/>
      <c r="D192" s="20"/>
      <c r="E192" s="20"/>
      <c r="F192" s="20"/>
      <c r="G192" s="20"/>
      <c r="H192" s="20"/>
      <c r="I192" s="20"/>
      <c r="J192" s="20"/>
      <c r="K192" s="20"/>
      <c r="L192" s="20"/>
      <c r="M192" s="20"/>
      <c r="N192" s="20"/>
      <c r="O192" s="20"/>
      <c r="P192" s="20"/>
      <c r="Q192" s="20"/>
      <c r="R192" s="20"/>
      <c r="S192" s="20"/>
    </row>
    <row r="193">
      <c r="A193" s="20"/>
      <c r="B193" s="20"/>
      <c r="C193" s="20"/>
      <c r="D193" s="20"/>
      <c r="E193" s="20"/>
      <c r="F193" s="20"/>
      <c r="G193" s="20"/>
      <c r="H193" s="20"/>
      <c r="I193" s="20"/>
      <c r="J193" s="20"/>
      <c r="K193" s="20"/>
      <c r="L193" s="20"/>
      <c r="M193" s="20"/>
      <c r="N193" s="20"/>
      <c r="O193" s="20"/>
      <c r="P193" s="20"/>
      <c r="Q193" s="20"/>
      <c r="R193" s="20"/>
      <c r="S193" s="20"/>
    </row>
    <row r="194">
      <c r="A194" s="20"/>
      <c r="B194" s="20"/>
      <c r="C194" s="20"/>
      <c r="D194" s="20"/>
      <c r="E194" s="20"/>
      <c r="F194" s="20"/>
      <c r="G194" s="20"/>
      <c r="H194" s="20"/>
      <c r="I194" s="20"/>
      <c r="J194" s="20"/>
      <c r="K194" s="20"/>
      <c r="L194" s="20"/>
      <c r="M194" s="20"/>
      <c r="N194" s="20"/>
      <c r="O194" s="20"/>
      <c r="P194" s="20"/>
      <c r="Q194" s="20"/>
      <c r="R194" s="20"/>
      <c r="S194" s="20"/>
    </row>
    <row r="195">
      <c r="A195" s="20"/>
      <c r="B195" s="20"/>
      <c r="C195" s="20"/>
      <c r="D195" s="20"/>
      <c r="E195" s="20"/>
      <c r="F195" s="20"/>
      <c r="G195" s="20"/>
      <c r="H195" s="20"/>
      <c r="I195" s="20"/>
      <c r="J195" s="20"/>
      <c r="K195" s="20"/>
      <c r="L195" s="20"/>
      <c r="M195" s="20"/>
      <c r="N195" s="20"/>
      <c r="O195" s="20"/>
      <c r="P195" s="20"/>
      <c r="Q195" s="20"/>
      <c r="R195" s="20"/>
      <c r="S195" s="20"/>
    </row>
    <row r="196">
      <c r="A196" s="20"/>
      <c r="B196" s="20"/>
      <c r="C196" s="20"/>
      <c r="D196" s="20"/>
      <c r="E196" s="20"/>
      <c r="F196" s="20"/>
      <c r="G196" s="20"/>
      <c r="H196" s="20"/>
      <c r="I196" s="20"/>
      <c r="J196" s="20"/>
      <c r="K196" s="20"/>
      <c r="L196" s="20"/>
      <c r="M196" s="20"/>
      <c r="N196" s="20"/>
      <c r="O196" s="20"/>
      <c r="P196" s="20"/>
      <c r="Q196" s="20"/>
      <c r="R196" s="20"/>
      <c r="S196" s="20"/>
    </row>
    <row r="197">
      <c r="A197" s="20"/>
      <c r="B197" s="20"/>
      <c r="C197" s="20"/>
      <c r="D197" s="20"/>
      <c r="E197" s="20"/>
      <c r="F197" s="20"/>
      <c r="G197" s="20"/>
      <c r="H197" s="20"/>
      <c r="I197" s="20"/>
      <c r="J197" s="20"/>
      <c r="K197" s="20"/>
      <c r="L197" s="20"/>
      <c r="M197" s="20"/>
      <c r="N197" s="20"/>
      <c r="O197" s="20"/>
      <c r="P197" s="20"/>
      <c r="Q197" s="20"/>
      <c r="R197" s="20"/>
      <c r="S197" s="20"/>
    </row>
    <row r="198">
      <c r="A198" s="20"/>
      <c r="B198" s="20"/>
      <c r="C198" s="20"/>
      <c r="D198" s="20"/>
      <c r="E198" s="20"/>
      <c r="F198" s="20"/>
      <c r="G198" s="20"/>
      <c r="H198" s="20"/>
      <c r="I198" s="20"/>
      <c r="J198" s="20"/>
      <c r="K198" s="20"/>
      <c r="L198" s="20"/>
      <c r="M198" s="20"/>
      <c r="N198" s="20"/>
      <c r="O198" s="20"/>
      <c r="P198" s="20"/>
      <c r="Q198" s="20"/>
      <c r="R198" s="20"/>
      <c r="S198" s="20"/>
    </row>
    <row r="199">
      <c r="A199" s="20"/>
      <c r="B199" s="20"/>
      <c r="C199" s="20"/>
      <c r="D199" s="20"/>
      <c r="E199" s="20"/>
      <c r="F199" s="20"/>
      <c r="G199" s="20"/>
      <c r="H199" s="20"/>
      <c r="I199" s="20"/>
      <c r="J199" s="20"/>
      <c r="K199" s="20"/>
      <c r="L199" s="20"/>
      <c r="M199" s="20"/>
      <c r="N199" s="20"/>
      <c r="O199" s="20"/>
      <c r="P199" s="20"/>
      <c r="Q199" s="20"/>
      <c r="R199" s="20"/>
      <c r="S199" s="20"/>
    </row>
    <row r="200">
      <c r="A200" s="20"/>
      <c r="B200" s="20"/>
      <c r="C200" s="20"/>
      <c r="D200" s="20"/>
      <c r="E200" s="20"/>
      <c r="F200" s="20"/>
      <c r="G200" s="20"/>
      <c r="H200" s="20"/>
      <c r="I200" s="20"/>
      <c r="J200" s="20"/>
      <c r="K200" s="20"/>
      <c r="L200" s="20"/>
      <c r="M200" s="20"/>
      <c r="N200" s="20"/>
      <c r="O200" s="20"/>
      <c r="P200" s="20"/>
      <c r="Q200" s="20"/>
      <c r="R200" s="20"/>
      <c r="S200" s="20"/>
    </row>
    <row r="201">
      <c r="A201" s="20"/>
      <c r="B201" s="20"/>
      <c r="C201" s="20"/>
      <c r="D201" s="20"/>
      <c r="E201" s="20"/>
      <c r="F201" s="20"/>
      <c r="G201" s="20"/>
      <c r="H201" s="20"/>
      <c r="I201" s="20"/>
      <c r="J201" s="20"/>
      <c r="K201" s="20"/>
      <c r="L201" s="20"/>
      <c r="M201" s="20"/>
      <c r="N201" s="20"/>
      <c r="O201" s="20"/>
      <c r="P201" s="20"/>
      <c r="Q201" s="20"/>
      <c r="R201" s="20"/>
      <c r="S201" s="20"/>
    </row>
    <row r="202">
      <c r="A202" s="20"/>
      <c r="B202" s="20"/>
      <c r="C202" s="20"/>
      <c r="D202" s="20"/>
      <c r="E202" s="20"/>
      <c r="F202" s="20"/>
      <c r="G202" s="20"/>
      <c r="H202" s="20"/>
      <c r="I202" s="20"/>
      <c r="J202" s="20"/>
      <c r="K202" s="20"/>
      <c r="L202" s="20"/>
      <c r="M202" s="20"/>
      <c r="N202" s="20"/>
      <c r="O202" s="20"/>
      <c r="P202" s="20"/>
      <c r="Q202" s="20"/>
      <c r="R202" s="20"/>
      <c r="S202" s="20"/>
    </row>
    <row r="203">
      <c r="A203" s="20"/>
      <c r="B203" s="20"/>
      <c r="C203" s="20"/>
      <c r="D203" s="20"/>
      <c r="E203" s="20"/>
      <c r="F203" s="20"/>
      <c r="G203" s="20"/>
      <c r="H203" s="20"/>
      <c r="I203" s="20"/>
      <c r="J203" s="20"/>
      <c r="K203" s="20"/>
      <c r="L203" s="20"/>
      <c r="M203" s="20"/>
      <c r="N203" s="20"/>
      <c r="O203" s="20"/>
      <c r="P203" s="20"/>
      <c r="Q203" s="20"/>
      <c r="R203" s="20"/>
      <c r="S203" s="20"/>
    </row>
    <row r="204">
      <c r="A204" s="20"/>
      <c r="B204" s="20"/>
      <c r="C204" s="20"/>
      <c r="D204" s="20"/>
      <c r="E204" s="20"/>
      <c r="F204" s="20"/>
      <c r="G204" s="20"/>
      <c r="H204" s="20"/>
      <c r="I204" s="20"/>
      <c r="J204" s="20"/>
      <c r="K204" s="20"/>
      <c r="L204" s="20"/>
      <c r="M204" s="20"/>
      <c r="N204" s="20"/>
      <c r="O204" s="20"/>
      <c r="P204" s="20"/>
      <c r="Q204" s="20"/>
      <c r="R204" s="20"/>
      <c r="S204" s="20"/>
    </row>
    <row r="205">
      <c r="A205" s="20"/>
      <c r="B205" s="20"/>
      <c r="C205" s="20"/>
      <c r="D205" s="20"/>
      <c r="E205" s="20"/>
      <c r="F205" s="20"/>
      <c r="G205" s="20"/>
      <c r="H205" s="20"/>
      <c r="I205" s="20"/>
      <c r="J205" s="20"/>
      <c r="K205" s="20"/>
      <c r="L205" s="20"/>
      <c r="M205" s="20"/>
      <c r="N205" s="20"/>
      <c r="O205" s="20"/>
      <c r="P205" s="20"/>
      <c r="Q205" s="20"/>
      <c r="R205" s="20"/>
      <c r="S205" s="20"/>
    </row>
    <row r="206">
      <c r="A206" s="20"/>
      <c r="B206" s="20"/>
      <c r="C206" s="20"/>
      <c r="D206" s="20"/>
      <c r="E206" s="20"/>
      <c r="F206" s="20"/>
      <c r="G206" s="20"/>
      <c r="H206" s="20"/>
      <c r="I206" s="20"/>
      <c r="J206" s="20"/>
      <c r="K206" s="20"/>
      <c r="L206" s="20"/>
      <c r="M206" s="20"/>
      <c r="N206" s="20"/>
      <c r="O206" s="20"/>
      <c r="P206" s="20"/>
      <c r="Q206" s="20"/>
      <c r="R206" s="20"/>
      <c r="S206" s="20"/>
    </row>
    <row r="207">
      <c r="A207" s="20"/>
      <c r="B207" s="20"/>
      <c r="C207" s="20"/>
      <c r="D207" s="20"/>
      <c r="E207" s="20"/>
      <c r="F207" s="20"/>
      <c r="G207" s="20"/>
      <c r="H207" s="20"/>
      <c r="I207" s="20"/>
      <c r="J207" s="20"/>
      <c r="K207" s="20"/>
      <c r="L207" s="20"/>
      <c r="M207" s="20"/>
      <c r="N207" s="20"/>
      <c r="O207" s="20"/>
      <c r="P207" s="20"/>
      <c r="Q207" s="20"/>
      <c r="R207" s="20"/>
      <c r="S207" s="20"/>
    </row>
    <row r="208">
      <c r="A208" s="20"/>
      <c r="B208" s="20"/>
      <c r="C208" s="20"/>
      <c r="D208" s="20"/>
      <c r="E208" s="20"/>
      <c r="F208" s="20"/>
      <c r="G208" s="20"/>
      <c r="H208" s="20"/>
      <c r="I208" s="20"/>
      <c r="J208" s="20"/>
      <c r="K208" s="20"/>
      <c r="L208" s="20"/>
      <c r="M208" s="20"/>
      <c r="N208" s="20"/>
      <c r="O208" s="20"/>
      <c r="P208" s="20"/>
      <c r="Q208" s="20"/>
      <c r="R208" s="20"/>
      <c r="S208" s="20"/>
    </row>
    <row r="209">
      <c r="A209" s="20"/>
      <c r="B209" s="20"/>
      <c r="C209" s="20"/>
      <c r="D209" s="20"/>
      <c r="E209" s="20"/>
      <c r="F209" s="20"/>
      <c r="G209" s="20"/>
      <c r="H209" s="20"/>
      <c r="I209" s="20"/>
      <c r="J209" s="20"/>
      <c r="K209" s="20"/>
      <c r="L209" s="20"/>
      <c r="M209" s="20"/>
      <c r="N209" s="20"/>
      <c r="O209" s="20"/>
      <c r="P209" s="20"/>
      <c r="Q209" s="20"/>
      <c r="R209" s="20"/>
      <c r="S209" s="20"/>
    </row>
    <row r="210">
      <c r="A210" s="20"/>
      <c r="B210" s="20"/>
      <c r="C210" s="20"/>
      <c r="D210" s="20"/>
      <c r="E210" s="20"/>
      <c r="F210" s="20"/>
      <c r="G210" s="20"/>
      <c r="H210" s="20"/>
      <c r="I210" s="20"/>
      <c r="J210" s="20"/>
      <c r="K210" s="20"/>
      <c r="L210" s="20"/>
      <c r="M210" s="20"/>
      <c r="N210" s="20"/>
      <c r="O210" s="20"/>
      <c r="P210" s="20"/>
      <c r="Q210" s="20"/>
      <c r="R210" s="20"/>
      <c r="S210" s="20"/>
    </row>
    <row r="211">
      <c r="A211" s="20"/>
      <c r="B211" s="20"/>
      <c r="C211" s="20"/>
      <c r="D211" s="20"/>
      <c r="E211" s="20"/>
      <c r="F211" s="20"/>
      <c r="G211" s="20"/>
      <c r="H211" s="20"/>
      <c r="I211" s="20"/>
      <c r="J211" s="20"/>
      <c r="K211" s="20"/>
      <c r="L211" s="20"/>
      <c r="M211" s="20"/>
      <c r="N211" s="20"/>
      <c r="O211" s="20"/>
      <c r="P211" s="20"/>
      <c r="Q211" s="20"/>
      <c r="R211" s="20"/>
      <c r="S211" s="20"/>
    </row>
    <row r="212">
      <c r="A212" s="20"/>
      <c r="B212" s="20"/>
      <c r="C212" s="20"/>
      <c r="D212" s="20"/>
      <c r="E212" s="20"/>
      <c r="F212" s="20"/>
      <c r="G212" s="20"/>
      <c r="H212" s="20"/>
      <c r="I212" s="20"/>
      <c r="J212" s="20"/>
      <c r="K212" s="20"/>
      <c r="L212" s="20"/>
      <c r="M212" s="20"/>
      <c r="N212" s="20"/>
      <c r="O212" s="20"/>
      <c r="P212" s="20"/>
      <c r="Q212" s="20"/>
      <c r="R212" s="20"/>
      <c r="S212" s="20"/>
    </row>
    <row r="213">
      <c r="A213" s="20"/>
      <c r="B213" s="20"/>
      <c r="C213" s="20"/>
      <c r="D213" s="20"/>
      <c r="E213" s="20"/>
      <c r="F213" s="20"/>
      <c r="G213" s="20"/>
      <c r="H213" s="20"/>
      <c r="I213" s="20"/>
      <c r="J213" s="20"/>
      <c r="K213" s="20"/>
      <c r="L213" s="20"/>
      <c r="M213" s="20"/>
      <c r="N213" s="20"/>
      <c r="O213" s="20"/>
      <c r="P213" s="20"/>
      <c r="Q213" s="20"/>
      <c r="R213" s="20"/>
      <c r="S213" s="20"/>
    </row>
    <row r="214">
      <c r="A214" s="20"/>
      <c r="B214" s="20"/>
      <c r="C214" s="20"/>
      <c r="D214" s="20"/>
      <c r="E214" s="20"/>
      <c r="F214" s="20"/>
      <c r="G214" s="20"/>
      <c r="H214" s="20"/>
      <c r="I214" s="20"/>
      <c r="J214" s="20"/>
      <c r="K214" s="20"/>
      <c r="L214" s="20"/>
      <c r="M214" s="20"/>
      <c r="N214" s="20"/>
      <c r="O214" s="20"/>
      <c r="P214" s="20"/>
      <c r="Q214" s="20"/>
      <c r="R214" s="20"/>
      <c r="S214" s="20"/>
    </row>
    <row r="215">
      <c r="A215" s="20"/>
      <c r="B215" s="20"/>
      <c r="C215" s="20"/>
      <c r="D215" s="20"/>
      <c r="E215" s="20"/>
      <c r="F215" s="20"/>
      <c r="G215" s="20"/>
      <c r="H215" s="20"/>
      <c r="I215" s="20"/>
      <c r="J215" s="20"/>
      <c r="K215" s="20"/>
      <c r="L215" s="20"/>
      <c r="M215" s="20"/>
      <c r="N215" s="20"/>
      <c r="O215" s="20"/>
      <c r="P215" s="20"/>
      <c r="Q215" s="20"/>
      <c r="R215" s="20"/>
      <c r="S215" s="20"/>
    </row>
    <row r="216">
      <c r="A216" s="20"/>
      <c r="B216" s="20"/>
      <c r="C216" s="20"/>
      <c r="D216" s="20"/>
      <c r="E216" s="20"/>
      <c r="F216" s="20"/>
      <c r="G216" s="20"/>
      <c r="H216" s="20"/>
      <c r="I216" s="20"/>
      <c r="J216" s="20"/>
      <c r="K216" s="20"/>
      <c r="L216" s="20"/>
      <c r="M216" s="20"/>
      <c r="N216" s="20"/>
      <c r="O216" s="20"/>
      <c r="P216" s="20"/>
      <c r="Q216" s="20"/>
      <c r="R216" s="20"/>
      <c r="S216" s="20"/>
    </row>
    <row r="217">
      <c r="A217" s="20"/>
      <c r="B217" s="20"/>
      <c r="C217" s="20"/>
      <c r="D217" s="20"/>
      <c r="E217" s="20"/>
      <c r="F217" s="20"/>
      <c r="G217" s="20"/>
      <c r="H217" s="20"/>
      <c r="I217" s="20"/>
      <c r="J217" s="20"/>
      <c r="K217" s="20"/>
      <c r="L217" s="20"/>
      <c r="M217" s="20"/>
      <c r="N217" s="20"/>
      <c r="O217" s="20"/>
      <c r="P217" s="20"/>
      <c r="Q217" s="20"/>
      <c r="R217" s="20"/>
      <c r="S217" s="20"/>
    </row>
    <row r="218">
      <c r="A218" s="20"/>
      <c r="B218" s="20"/>
      <c r="C218" s="20"/>
      <c r="D218" s="20"/>
      <c r="E218" s="20"/>
      <c r="F218" s="20"/>
      <c r="G218" s="20"/>
      <c r="H218" s="20"/>
      <c r="I218" s="20"/>
      <c r="J218" s="20"/>
      <c r="K218" s="20"/>
      <c r="L218" s="20"/>
      <c r="M218" s="20"/>
      <c r="N218" s="20"/>
      <c r="O218" s="20"/>
      <c r="P218" s="20"/>
      <c r="Q218" s="20"/>
      <c r="R218" s="20"/>
      <c r="S218" s="20"/>
    </row>
    <row r="219">
      <c r="A219" s="20"/>
      <c r="B219" s="20"/>
      <c r="C219" s="20"/>
      <c r="D219" s="20"/>
      <c r="E219" s="20"/>
      <c r="F219" s="20"/>
      <c r="G219" s="20"/>
      <c r="H219" s="20"/>
      <c r="I219" s="20"/>
      <c r="J219" s="20"/>
      <c r="K219" s="20"/>
      <c r="L219" s="20"/>
      <c r="M219" s="20"/>
      <c r="N219" s="20"/>
      <c r="O219" s="20"/>
      <c r="P219" s="20"/>
      <c r="Q219" s="20"/>
      <c r="R219" s="20"/>
      <c r="S219" s="20"/>
    </row>
    <row r="220">
      <c r="A220" s="20"/>
      <c r="B220" s="20"/>
      <c r="C220" s="20"/>
      <c r="D220" s="20"/>
      <c r="E220" s="20"/>
      <c r="F220" s="20"/>
      <c r="G220" s="20"/>
      <c r="H220" s="20"/>
      <c r="I220" s="20"/>
      <c r="J220" s="20"/>
      <c r="K220" s="20"/>
      <c r="L220" s="20"/>
      <c r="M220" s="20"/>
      <c r="N220" s="20"/>
      <c r="O220" s="20"/>
      <c r="P220" s="20"/>
      <c r="Q220" s="20"/>
      <c r="R220" s="20"/>
      <c r="S220" s="20"/>
    </row>
    <row r="221">
      <c r="A221" s="20"/>
      <c r="B221" s="20"/>
      <c r="C221" s="20"/>
      <c r="D221" s="20"/>
      <c r="E221" s="20"/>
      <c r="F221" s="20"/>
      <c r="G221" s="20"/>
      <c r="H221" s="20"/>
      <c r="I221" s="20"/>
      <c r="J221" s="20"/>
      <c r="K221" s="20"/>
      <c r="L221" s="20"/>
      <c r="M221" s="20"/>
      <c r="N221" s="20"/>
      <c r="O221" s="20"/>
      <c r="P221" s="20"/>
      <c r="Q221" s="20"/>
      <c r="R221" s="20"/>
      <c r="S221" s="20"/>
    </row>
    <row r="222">
      <c r="A222" s="20"/>
      <c r="B222" s="20"/>
      <c r="C222" s="20"/>
      <c r="D222" s="20"/>
      <c r="E222" s="20"/>
      <c r="F222" s="20"/>
      <c r="G222" s="20"/>
      <c r="H222" s="20"/>
      <c r="I222" s="20"/>
      <c r="J222" s="20"/>
      <c r="K222" s="20"/>
      <c r="L222" s="20"/>
      <c r="M222" s="20"/>
      <c r="N222" s="20"/>
      <c r="O222" s="20"/>
      <c r="P222" s="20"/>
      <c r="Q222" s="20"/>
      <c r="R222" s="20"/>
      <c r="S222" s="20"/>
    </row>
    <row r="223">
      <c r="A223" s="20"/>
      <c r="B223" s="20"/>
      <c r="C223" s="20"/>
      <c r="D223" s="20"/>
      <c r="E223" s="20"/>
      <c r="F223" s="20"/>
      <c r="G223" s="20"/>
      <c r="H223" s="20"/>
      <c r="I223" s="20"/>
      <c r="J223" s="20"/>
      <c r="K223" s="20"/>
      <c r="L223" s="20"/>
      <c r="M223" s="20"/>
      <c r="N223" s="20"/>
      <c r="O223" s="20"/>
      <c r="P223" s="20"/>
      <c r="Q223" s="20"/>
      <c r="R223" s="20"/>
      <c r="S223" s="20"/>
    </row>
    <row r="224">
      <c r="A224" s="20"/>
      <c r="B224" s="20"/>
      <c r="C224" s="20"/>
      <c r="D224" s="20"/>
      <c r="E224" s="20"/>
      <c r="F224" s="20"/>
      <c r="G224" s="20"/>
      <c r="H224" s="20"/>
      <c r="I224" s="20"/>
      <c r="J224" s="20"/>
      <c r="K224" s="20"/>
      <c r="L224" s="20"/>
      <c r="M224" s="20"/>
      <c r="N224" s="20"/>
      <c r="O224" s="20"/>
      <c r="P224" s="20"/>
      <c r="Q224" s="20"/>
      <c r="R224" s="20"/>
      <c r="S224" s="20"/>
    </row>
    <row r="225">
      <c r="A225" s="20"/>
      <c r="B225" s="20"/>
      <c r="C225" s="20"/>
      <c r="D225" s="20"/>
      <c r="E225" s="20"/>
      <c r="F225" s="20"/>
      <c r="G225" s="20"/>
      <c r="H225" s="20"/>
      <c r="I225" s="20"/>
      <c r="J225" s="20"/>
      <c r="K225" s="20"/>
      <c r="L225" s="20"/>
      <c r="M225" s="20"/>
      <c r="N225" s="20"/>
      <c r="O225" s="20"/>
      <c r="P225" s="20"/>
      <c r="Q225" s="20"/>
      <c r="R225" s="20"/>
      <c r="S225" s="20"/>
    </row>
    <row r="226">
      <c r="A226" s="20"/>
      <c r="B226" s="20"/>
      <c r="C226" s="20"/>
      <c r="D226" s="20"/>
      <c r="E226" s="20"/>
      <c r="F226" s="20"/>
      <c r="G226" s="20"/>
      <c r="H226" s="20"/>
      <c r="I226" s="20"/>
      <c r="J226" s="20"/>
      <c r="K226" s="20"/>
      <c r="L226" s="20"/>
      <c r="M226" s="20"/>
      <c r="N226" s="20"/>
      <c r="O226" s="20"/>
      <c r="P226" s="20"/>
      <c r="Q226" s="20"/>
      <c r="R226" s="20"/>
      <c r="S226" s="20"/>
    </row>
    <row r="227">
      <c r="A227" s="20"/>
      <c r="B227" s="20"/>
      <c r="C227" s="20"/>
      <c r="D227" s="20"/>
      <c r="E227" s="20"/>
      <c r="F227" s="20"/>
      <c r="G227" s="20"/>
      <c r="H227" s="20"/>
      <c r="I227" s="20"/>
      <c r="J227" s="20"/>
      <c r="K227" s="20"/>
      <c r="L227" s="20"/>
      <c r="M227" s="20"/>
      <c r="N227" s="20"/>
      <c r="O227" s="20"/>
      <c r="P227" s="20"/>
      <c r="Q227" s="20"/>
      <c r="R227" s="20"/>
      <c r="S227" s="20"/>
    </row>
    <row r="228">
      <c r="A228" s="20"/>
      <c r="B228" s="20"/>
      <c r="C228" s="20"/>
      <c r="D228" s="20"/>
      <c r="E228" s="20"/>
      <c r="F228" s="20"/>
      <c r="G228" s="20"/>
      <c r="H228" s="20"/>
      <c r="I228" s="20"/>
      <c r="J228" s="20"/>
      <c r="K228" s="20"/>
      <c r="L228" s="20"/>
      <c r="M228" s="20"/>
      <c r="N228" s="20"/>
      <c r="O228" s="20"/>
      <c r="P228" s="20"/>
      <c r="Q228" s="20"/>
      <c r="R228" s="20"/>
      <c r="S228" s="20"/>
    </row>
    <row r="229">
      <c r="A229" s="20"/>
      <c r="B229" s="20"/>
      <c r="C229" s="20"/>
      <c r="D229" s="20"/>
      <c r="E229" s="20"/>
      <c r="F229" s="20"/>
      <c r="G229" s="20"/>
      <c r="H229" s="20"/>
      <c r="I229" s="20"/>
      <c r="J229" s="20"/>
      <c r="K229" s="20"/>
      <c r="L229" s="20"/>
      <c r="M229" s="20"/>
      <c r="N229" s="20"/>
      <c r="O229" s="20"/>
      <c r="P229" s="20"/>
      <c r="Q229" s="20"/>
      <c r="R229" s="20"/>
      <c r="S229" s="20"/>
    </row>
    <row r="230">
      <c r="A230" s="20"/>
      <c r="B230" s="20"/>
      <c r="C230" s="20"/>
      <c r="D230" s="20"/>
      <c r="E230" s="20"/>
      <c r="F230" s="20"/>
      <c r="G230" s="20"/>
      <c r="H230" s="20"/>
      <c r="I230" s="20"/>
      <c r="J230" s="20"/>
      <c r="K230" s="20"/>
      <c r="L230" s="20"/>
      <c r="M230" s="20"/>
      <c r="N230" s="20"/>
      <c r="O230" s="20"/>
      <c r="P230" s="20"/>
      <c r="Q230" s="20"/>
      <c r="R230" s="20"/>
      <c r="S230" s="20"/>
    </row>
    <row r="231">
      <c r="A231" s="20"/>
      <c r="B231" s="20"/>
      <c r="C231" s="20"/>
      <c r="D231" s="20"/>
      <c r="E231" s="20"/>
      <c r="F231" s="20"/>
      <c r="G231" s="20"/>
      <c r="H231" s="20"/>
      <c r="I231" s="20"/>
      <c r="J231" s="20"/>
      <c r="K231" s="20"/>
      <c r="L231" s="20"/>
      <c r="M231" s="20"/>
      <c r="N231" s="20"/>
      <c r="O231" s="20"/>
      <c r="P231" s="20"/>
      <c r="Q231" s="20"/>
      <c r="R231" s="20"/>
      <c r="S231" s="20"/>
    </row>
    <row r="232">
      <c r="A232" s="20"/>
      <c r="B232" s="20"/>
      <c r="C232" s="20"/>
      <c r="D232" s="20"/>
      <c r="E232" s="20"/>
      <c r="F232" s="20"/>
      <c r="G232" s="20"/>
      <c r="H232" s="20"/>
      <c r="I232" s="20"/>
      <c r="J232" s="20"/>
      <c r="K232" s="20"/>
      <c r="L232" s="20"/>
      <c r="M232" s="20"/>
      <c r="N232" s="20"/>
      <c r="O232" s="20"/>
      <c r="P232" s="20"/>
      <c r="Q232" s="20"/>
      <c r="R232" s="20"/>
      <c r="S232" s="20"/>
    </row>
    <row r="233">
      <c r="A233" s="20"/>
      <c r="B233" s="20"/>
      <c r="C233" s="20"/>
      <c r="D233" s="20"/>
      <c r="E233" s="20"/>
      <c r="F233" s="20"/>
      <c r="G233" s="20"/>
      <c r="H233" s="20"/>
      <c r="I233" s="20"/>
      <c r="J233" s="20"/>
      <c r="K233" s="20"/>
      <c r="L233" s="20"/>
      <c r="M233" s="20"/>
      <c r="N233" s="20"/>
      <c r="O233" s="20"/>
      <c r="P233" s="20"/>
      <c r="Q233" s="20"/>
      <c r="R233" s="20"/>
      <c r="S233" s="20"/>
    </row>
    <row r="234">
      <c r="A234" s="20"/>
      <c r="B234" s="20"/>
      <c r="C234" s="20"/>
      <c r="D234" s="20"/>
      <c r="E234" s="20"/>
      <c r="F234" s="20"/>
      <c r="G234" s="20"/>
      <c r="H234" s="20"/>
      <c r="I234" s="20"/>
      <c r="J234" s="20"/>
      <c r="K234" s="20"/>
      <c r="L234" s="20"/>
      <c r="M234" s="20"/>
      <c r="N234" s="20"/>
      <c r="O234" s="20"/>
      <c r="P234" s="20"/>
      <c r="Q234" s="20"/>
      <c r="R234" s="20"/>
      <c r="S234" s="20"/>
    </row>
    <row r="235">
      <c r="A235" s="20"/>
      <c r="B235" s="20"/>
      <c r="C235" s="20"/>
      <c r="D235" s="20"/>
      <c r="E235" s="20"/>
      <c r="F235" s="20"/>
      <c r="G235" s="20"/>
      <c r="H235" s="20"/>
      <c r="I235" s="20"/>
      <c r="J235" s="20"/>
      <c r="K235" s="20"/>
      <c r="L235" s="20"/>
      <c r="M235" s="20"/>
      <c r="N235" s="20"/>
      <c r="O235" s="20"/>
      <c r="P235" s="20"/>
      <c r="Q235" s="20"/>
      <c r="R235" s="20"/>
      <c r="S235" s="20"/>
    </row>
    <row r="236">
      <c r="A236" s="20"/>
      <c r="B236" s="20"/>
      <c r="C236" s="20"/>
      <c r="D236" s="20"/>
      <c r="E236" s="20"/>
      <c r="F236" s="20"/>
      <c r="G236" s="20"/>
      <c r="H236" s="20"/>
      <c r="I236" s="20"/>
      <c r="J236" s="20"/>
      <c r="K236" s="20"/>
      <c r="L236" s="20"/>
      <c r="M236" s="20"/>
      <c r="N236" s="20"/>
      <c r="O236" s="20"/>
      <c r="P236" s="20"/>
      <c r="Q236" s="20"/>
      <c r="R236" s="20"/>
      <c r="S236" s="20"/>
    </row>
    <row r="237">
      <c r="A237" s="20"/>
      <c r="B237" s="20"/>
      <c r="C237" s="20"/>
      <c r="D237" s="20"/>
      <c r="E237" s="20"/>
      <c r="F237" s="20"/>
      <c r="G237" s="20"/>
      <c r="H237" s="20"/>
      <c r="I237" s="20"/>
      <c r="J237" s="20"/>
      <c r="K237" s="20"/>
      <c r="L237" s="20"/>
      <c r="M237" s="20"/>
      <c r="N237" s="20"/>
      <c r="O237" s="20"/>
      <c r="P237" s="20"/>
      <c r="Q237" s="20"/>
      <c r="R237" s="20"/>
      <c r="S237" s="20"/>
    </row>
    <row r="238">
      <c r="A238" s="20"/>
      <c r="B238" s="20"/>
      <c r="C238" s="20"/>
      <c r="D238" s="20"/>
      <c r="E238" s="20"/>
      <c r="F238" s="20"/>
      <c r="G238" s="20"/>
      <c r="H238" s="20"/>
      <c r="I238" s="20"/>
      <c r="J238" s="20"/>
      <c r="K238" s="20"/>
      <c r="L238" s="20"/>
      <c r="M238" s="20"/>
      <c r="N238" s="20"/>
      <c r="O238" s="20"/>
      <c r="P238" s="20"/>
      <c r="Q238" s="20"/>
      <c r="R238" s="20"/>
      <c r="S238" s="20"/>
    </row>
    <row r="239">
      <c r="A239" s="20"/>
      <c r="B239" s="20"/>
      <c r="C239" s="20"/>
      <c r="D239" s="20"/>
      <c r="E239" s="20"/>
      <c r="F239" s="20"/>
      <c r="G239" s="20"/>
      <c r="H239" s="20"/>
      <c r="I239" s="20"/>
      <c r="J239" s="20"/>
      <c r="K239" s="20"/>
      <c r="L239" s="20"/>
      <c r="M239" s="20"/>
      <c r="N239" s="20"/>
      <c r="O239" s="20"/>
      <c r="P239" s="20"/>
      <c r="Q239" s="20"/>
      <c r="R239" s="20"/>
      <c r="S239" s="20"/>
    </row>
    <row r="240">
      <c r="A240" s="20"/>
      <c r="B240" s="20"/>
      <c r="C240" s="20"/>
      <c r="D240" s="20"/>
      <c r="E240" s="20"/>
      <c r="F240" s="20"/>
      <c r="G240" s="20"/>
      <c r="H240" s="20"/>
      <c r="I240" s="20"/>
      <c r="J240" s="20"/>
      <c r="K240" s="20"/>
      <c r="L240" s="20"/>
      <c r="M240" s="20"/>
      <c r="N240" s="20"/>
      <c r="O240" s="20"/>
      <c r="P240" s="20"/>
      <c r="Q240" s="20"/>
      <c r="R240" s="20"/>
      <c r="S240" s="20"/>
    </row>
    <row r="241">
      <c r="A241" s="20"/>
      <c r="B241" s="20"/>
      <c r="C241" s="20"/>
      <c r="D241" s="20"/>
      <c r="E241" s="20"/>
      <c r="F241" s="20"/>
      <c r="G241" s="20"/>
      <c r="H241" s="20"/>
      <c r="I241" s="20"/>
      <c r="J241" s="20"/>
      <c r="K241" s="20"/>
      <c r="L241" s="20"/>
      <c r="M241" s="20"/>
      <c r="N241" s="20"/>
      <c r="O241" s="20"/>
      <c r="P241" s="20"/>
      <c r="Q241" s="20"/>
      <c r="R241" s="20"/>
      <c r="S241" s="20"/>
    </row>
    <row r="242">
      <c r="A242" s="20"/>
      <c r="B242" s="20"/>
      <c r="C242" s="20"/>
      <c r="D242" s="20"/>
      <c r="E242" s="20"/>
      <c r="F242" s="20"/>
      <c r="G242" s="20"/>
      <c r="H242" s="20"/>
      <c r="I242" s="20"/>
      <c r="J242" s="20"/>
      <c r="K242" s="20"/>
      <c r="L242" s="20"/>
      <c r="M242" s="20"/>
      <c r="N242" s="20"/>
      <c r="O242" s="20"/>
      <c r="P242" s="20"/>
      <c r="Q242" s="20"/>
      <c r="R242" s="20"/>
      <c r="S242" s="20"/>
    </row>
    <row r="243">
      <c r="A243" s="20"/>
      <c r="B243" s="20"/>
      <c r="C243" s="20"/>
      <c r="D243" s="20"/>
      <c r="E243" s="20"/>
      <c r="F243" s="20"/>
      <c r="G243" s="20"/>
      <c r="H243" s="20"/>
      <c r="I243" s="20"/>
      <c r="J243" s="20"/>
      <c r="K243" s="20"/>
      <c r="L243" s="20"/>
      <c r="M243" s="20"/>
      <c r="N243" s="20"/>
      <c r="O243" s="20"/>
      <c r="P243" s="20"/>
      <c r="Q243" s="20"/>
      <c r="R243" s="20"/>
      <c r="S243" s="20"/>
    </row>
    <row r="244">
      <c r="A244" s="20"/>
      <c r="B244" s="20"/>
      <c r="C244" s="20"/>
      <c r="D244" s="20"/>
      <c r="E244" s="20"/>
      <c r="F244" s="20"/>
      <c r="G244" s="20"/>
      <c r="H244" s="20"/>
      <c r="I244" s="20"/>
      <c r="J244" s="20"/>
      <c r="K244" s="20"/>
      <c r="L244" s="20"/>
      <c r="M244" s="20"/>
      <c r="N244" s="20"/>
      <c r="O244" s="20"/>
      <c r="P244" s="20"/>
      <c r="Q244" s="20"/>
      <c r="R244" s="20"/>
      <c r="S244" s="20"/>
    </row>
    <row r="245">
      <c r="A245" s="20"/>
      <c r="B245" s="20"/>
      <c r="C245" s="20"/>
      <c r="D245" s="20"/>
      <c r="E245" s="20"/>
      <c r="F245" s="20"/>
      <c r="G245" s="20"/>
      <c r="H245" s="20"/>
      <c r="I245" s="20"/>
      <c r="J245" s="20"/>
      <c r="K245" s="20"/>
      <c r="L245" s="20"/>
      <c r="M245" s="20"/>
      <c r="N245" s="20"/>
      <c r="O245" s="20"/>
      <c r="P245" s="20"/>
      <c r="Q245" s="20"/>
      <c r="R245" s="20"/>
      <c r="S245" s="20"/>
    </row>
    <row r="246">
      <c r="A246" s="20"/>
      <c r="B246" s="20"/>
      <c r="C246" s="20"/>
      <c r="D246" s="20"/>
      <c r="E246" s="20"/>
      <c r="F246" s="20"/>
      <c r="G246" s="20"/>
      <c r="H246" s="20"/>
      <c r="I246" s="20"/>
      <c r="J246" s="20"/>
      <c r="K246" s="20"/>
      <c r="L246" s="20"/>
      <c r="M246" s="20"/>
      <c r="N246" s="20"/>
      <c r="O246" s="20"/>
      <c r="P246" s="20"/>
      <c r="Q246" s="20"/>
      <c r="R246" s="20"/>
      <c r="S246" s="20"/>
    </row>
    <row r="247">
      <c r="A247" s="20"/>
      <c r="B247" s="20"/>
      <c r="C247" s="20"/>
      <c r="D247" s="20"/>
      <c r="E247" s="20"/>
      <c r="F247" s="20"/>
      <c r="G247" s="20"/>
      <c r="H247" s="20"/>
      <c r="I247" s="20"/>
      <c r="J247" s="20"/>
      <c r="K247" s="20"/>
      <c r="L247" s="20"/>
      <c r="M247" s="20"/>
      <c r="N247" s="20"/>
      <c r="O247" s="20"/>
      <c r="P247" s="20"/>
      <c r="Q247" s="20"/>
      <c r="R247" s="20"/>
      <c r="S247" s="20"/>
    </row>
    <row r="248">
      <c r="A248" s="20"/>
      <c r="B248" s="20"/>
      <c r="C248" s="20"/>
      <c r="D248" s="20"/>
      <c r="E248" s="20"/>
      <c r="F248" s="20"/>
      <c r="G248" s="20"/>
      <c r="H248" s="20"/>
      <c r="I248" s="20"/>
      <c r="J248" s="20"/>
      <c r="K248" s="20"/>
      <c r="L248" s="20"/>
      <c r="M248" s="20"/>
      <c r="N248" s="20"/>
      <c r="O248" s="20"/>
      <c r="P248" s="20"/>
      <c r="Q248" s="20"/>
      <c r="R248" s="20"/>
      <c r="S248" s="20"/>
    </row>
    <row r="249">
      <c r="A249" s="20"/>
      <c r="B249" s="20"/>
      <c r="C249" s="20"/>
      <c r="D249" s="20"/>
      <c r="E249" s="20"/>
      <c r="F249" s="20"/>
      <c r="G249" s="20"/>
      <c r="H249" s="20"/>
      <c r="I249" s="20"/>
      <c r="J249" s="20"/>
      <c r="K249" s="20"/>
      <c r="L249" s="20"/>
      <c r="M249" s="20"/>
      <c r="N249" s="20"/>
      <c r="O249" s="20"/>
      <c r="P249" s="20"/>
      <c r="Q249" s="20"/>
      <c r="R249" s="20"/>
      <c r="S249" s="20"/>
    </row>
    <row r="250">
      <c r="A250" s="20"/>
      <c r="B250" s="20"/>
      <c r="C250" s="20"/>
      <c r="D250" s="20"/>
      <c r="E250" s="20"/>
      <c r="F250" s="20"/>
      <c r="G250" s="20"/>
      <c r="H250" s="20"/>
      <c r="I250" s="20"/>
      <c r="J250" s="20"/>
      <c r="K250" s="20"/>
      <c r="L250" s="20"/>
      <c r="M250" s="20"/>
      <c r="N250" s="20"/>
      <c r="O250" s="20"/>
      <c r="P250" s="20"/>
      <c r="Q250" s="20"/>
      <c r="R250" s="20"/>
      <c r="S250" s="20"/>
    </row>
    <row r="251">
      <c r="A251" s="20"/>
      <c r="B251" s="20"/>
      <c r="C251" s="20"/>
      <c r="D251" s="20"/>
      <c r="E251" s="20"/>
      <c r="F251" s="20"/>
      <c r="G251" s="20"/>
      <c r="H251" s="20"/>
      <c r="I251" s="20"/>
      <c r="J251" s="20"/>
      <c r="K251" s="20"/>
      <c r="L251" s="20"/>
      <c r="M251" s="20"/>
      <c r="N251" s="20"/>
      <c r="O251" s="20"/>
      <c r="P251" s="20"/>
      <c r="Q251" s="20"/>
      <c r="R251" s="20"/>
      <c r="S251" s="20"/>
    </row>
    <row r="252">
      <c r="A252" s="20"/>
      <c r="B252" s="20"/>
      <c r="C252" s="20"/>
      <c r="D252" s="20"/>
      <c r="E252" s="20"/>
      <c r="F252" s="20"/>
      <c r="G252" s="20"/>
      <c r="H252" s="20"/>
      <c r="I252" s="20"/>
      <c r="J252" s="20"/>
      <c r="K252" s="20"/>
      <c r="L252" s="20"/>
      <c r="M252" s="20"/>
      <c r="N252" s="20"/>
      <c r="O252" s="20"/>
      <c r="P252" s="20"/>
      <c r="Q252" s="20"/>
      <c r="R252" s="20"/>
      <c r="S252" s="20"/>
    </row>
    <row r="253">
      <c r="A253" s="20"/>
      <c r="B253" s="20"/>
      <c r="C253" s="20"/>
      <c r="D253" s="20"/>
      <c r="E253" s="20"/>
      <c r="F253" s="20"/>
      <c r="G253" s="20"/>
      <c r="H253" s="20"/>
      <c r="I253" s="20"/>
      <c r="J253" s="20"/>
      <c r="K253" s="20"/>
      <c r="L253" s="20"/>
      <c r="M253" s="20"/>
      <c r="N253" s="20"/>
      <c r="O253" s="20"/>
      <c r="P253" s="20"/>
      <c r="Q253" s="20"/>
      <c r="R253" s="20"/>
      <c r="S253" s="20"/>
    </row>
    <row r="254">
      <c r="A254" s="20"/>
      <c r="B254" s="20"/>
      <c r="C254" s="20"/>
      <c r="D254" s="20"/>
      <c r="E254" s="20"/>
      <c r="F254" s="20"/>
      <c r="G254" s="20"/>
      <c r="H254" s="20"/>
      <c r="I254" s="20"/>
      <c r="J254" s="20"/>
      <c r="K254" s="20"/>
      <c r="L254" s="20"/>
      <c r="M254" s="20"/>
      <c r="N254" s="20"/>
      <c r="O254" s="20"/>
      <c r="P254" s="20"/>
      <c r="Q254" s="20"/>
      <c r="R254" s="20"/>
      <c r="S254" s="20"/>
    </row>
    <row r="255">
      <c r="A255" s="20"/>
      <c r="B255" s="20"/>
      <c r="C255" s="20"/>
      <c r="D255" s="20"/>
      <c r="E255" s="20"/>
      <c r="F255" s="20"/>
      <c r="G255" s="20"/>
      <c r="H255" s="20"/>
      <c r="I255" s="20"/>
      <c r="J255" s="20"/>
      <c r="K255" s="20"/>
      <c r="L255" s="20"/>
      <c r="M255" s="20"/>
      <c r="N255" s="20"/>
      <c r="O255" s="20"/>
      <c r="P255" s="20"/>
      <c r="Q255" s="20"/>
      <c r="R255" s="20"/>
      <c r="S255" s="20"/>
    </row>
    <row r="256">
      <c r="A256" s="20"/>
      <c r="B256" s="20"/>
      <c r="C256" s="20"/>
      <c r="D256" s="20"/>
      <c r="E256" s="20"/>
      <c r="F256" s="20"/>
      <c r="G256" s="20"/>
      <c r="H256" s="20"/>
      <c r="I256" s="20"/>
      <c r="J256" s="20"/>
      <c r="K256" s="20"/>
      <c r="L256" s="20"/>
      <c r="M256" s="20"/>
      <c r="N256" s="20"/>
      <c r="O256" s="20"/>
      <c r="P256" s="20"/>
      <c r="Q256" s="20"/>
      <c r="R256" s="20"/>
      <c r="S256" s="20"/>
    </row>
    <row r="257">
      <c r="A257" s="20"/>
      <c r="B257" s="20"/>
      <c r="C257" s="20"/>
      <c r="D257" s="20"/>
      <c r="E257" s="20"/>
      <c r="F257" s="20"/>
      <c r="G257" s="20"/>
      <c r="H257" s="20"/>
      <c r="I257" s="20"/>
      <c r="J257" s="20"/>
      <c r="K257" s="20"/>
      <c r="L257" s="20"/>
      <c r="M257" s="20"/>
      <c r="N257" s="20"/>
      <c r="O257" s="20"/>
      <c r="P257" s="20"/>
      <c r="Q257" s="20"/>
      <c r="R257" s="20"/>
      <c r="S257" s="20"/>
    </row>
    <row r="258">
      <c r="A258" s="20"/>
      <c r="B258" s="20"/>
      <c r="C258" s="20"/>
      <c r="D258" s="20"/>
      <c r="E258" s="20"/>
      <c r="F258" s="20"/>
      <c r="G258" s="20"/>
      <c r="H258" s="20"/>
      <c r="I258" s="20"/>
      <c r="J258" s="20"/>
      <c r="K258" s="20"/>
      <c r="L258" s="20"/>
      <c r="M258" s="20"/>
      <c r="N258" s="20"/>
      <c r="O258" s="20"/>
      <c r="P258" s="20"/>
      <c r="Q258" s="20"/>
      <c r="R258" s="20"/>
      <c r="S258" s="20"/>
    </row>
    <row r="259">
      <c r="A259" s="20"/>
      <c r="B259" s="20"/>
      <c r="C259" s="20"/>
      <c r="D259" s="20"/>
      <c r="E259" s="20"/>
      <c r="F259" s="20"/>
      <c r="G259" s="20"/>
      <c r="H259" s="20"/>
      <c r="I259" s="20"/>
      <c r="J259" s="20"/>
      <c r="K259" s="20"/>
      <c r="L259" s="20"/>
      <c r="M259" s="20"/>
      <c r="N259" s="20"/>
      <c r="O259" s="20"/>
      <c r="P259" s="20"/>
      <c r="Q259" s="20"/>
      <c r="R259" s="20"/>
      <c r="S259" s="20"/>
    </row>
    <row r="260">
      <c r="A260" s="20"/>
      <c r="B260" s="20"/>
      <c r="C260" s="20"/>
      <c r="D260" s="20"/>
      <c r="E260" s="20"/>
      <c r="F260" s="20"/>
      <c r="G260" s="20"/>
      <c r="H260" s="20"/>
      <c r="I260" s="20"/>
      <c r="J260" s="20"/>
      <c r="K260" s="20"/>
      <c r="L260" s="20"/>
      <c r="M260" s="20"/>
      <c r="N260" s="20"/>
      <c r="O260" s="20"/>
      <c r="P260" s="20"/>
      <c r="Q260" s="20"/>
      <c r="R260" s="20"/>
      <c r="S260" s="20"/>
    </row>
    <row r="261">
      <c r="A261" s="20"/>
      <c r="B261" s="20"/>
      <c r="C261" s="20"/>
      <c r="D261" s="20"/>
      <c r="E261" s="20"/>
      <c r="F261" s="20"/>
      <c r="G261" s="20"/>
      <c r="H261" s="20"/>
      <c r="I261" s="20"/>
      <c r="J261" s="20"/>
      <c r="K261" s="20"/>
      <c r="L261" s="20"/>
      <c r="M261" s="20"/>
      <c r="N261" s="20"/>
      <c r="O261" s="20"/>
      <c r="P261" s="20"/>
      <c r="Q261" s="20"/>
      <c r="R261" s="20"/>
      <c r="S261" s="20"/>
    </row>
    <row r="262">
      <c r="A262" s="20"/>
      <c r="B262" s="20"/>
      <c r="C262" s="20"/>
      <c r="D262" s="20"/>
      <c r="E262" s="20"/>
      <c r="F262" s="20"/>
      <c r="G262" s="20"/>
      <c r="H262" s="20"/>
      <c r="I262" s="20"/>
      <c r="J262" s="20"/>
      <c r="K262" s="20"/>
      <c r="L262" s="20"/>
      <c r="M262" s="20"/>
      <c r="N262" s="20"/>
      <c r="O262" s="20"/>
      <c r="P262" s="20"/>
      <c r="Q262" s="20"/>
      <c r="R262" s="20"/>
      <c r="S262" s="20"/>
    </row>
    <row r="263">
      <c r="A263" s="20"/>
      <c r="B263" s="20"/>
      <c r="C263" s="20"/>
      <c r="D263" s="20"/>
      <c r="E263" s="20"/>
      <c r="F263" s="20"/>
      <c r="G263" s="20"/>
      <c r="H263" s="20"/>
      <c r="I263" s="20"/>
      <c r="J263" s="20"/>
      <c r="K263" s="20"/>
      <c r="L263" s="20"/>
      <c r="M263" s="20"/>
      <c r="N263" s="20"/>
      <c r="O263" s="20"/>
      <c r="P263" s="20"/>
      <c r="Q263" s="20"/>
      <c r="R263" s="20"/>
      <c r="S263" s="20"/>
    </row>
    <row r="264">
      <c r="A264" s="20"/>
      <c r="B264" s="20"/>
      <c r="C264" s="20"/>
      <c r="D264" s="20"/>
      <c r="E264" s="20"/>
      <c r="F264" s="20"/>
      <c r="G264" s="20"/>
      <c r="H264" s="20"/>
      <c r="I264" s="20"/>
      <c r="J264" s="20"/>
      <c r="K264" s="20"/>
      <c r="L264" s="20"/>
      <c r="M264" s="20"/>
      <c r="N264" s="20"/>
      <c r="O264" s="20"/>
      <c r="P264" s="20"/>
      <c r="Q264" s="20"/>
      <c r="R264" s="20"/>
      <c r="S264" s="20"/>
    </row>
    <row r="265">
      <c r="A265" s="20"/>
      <c r="B265" s="20"/>
      <c r="C265" s="20"/>
      <c r="D265" s="20"/>
      <c r="E265" s="20"/>
      <c r="F265" s="20"/>
      <c r="G265" s="20"/>
      <c r="H265" s="20"/>
      <c r="I265" s="20"/>
      <c r="J265" s="20"/>
      <c r="K265" s="20"/>
      <c r="L265" s="20"/>
      <c r="M265" s="20"/>
      <c r="N265" s="20"/>
      <c r="O265" s="20"/>
      <c r="P265" s="20"/>
      <c r="Q265" s="20"/>
      <c r="R265" s="20"/>
      <c r="S265" s="20"/>
    </row>
    <row r="266">
      <c r="A266" s="20"/>
      <c r="B266" s="20"/>
      <c r="C266" s="20"/>
      <c r="D266" s="20"/>
      <c r="E266" s="20"/>
      <c r="F266" s="20"/>
      <c r="G266" s="20"/>
      <c r="H266" s="20"/>
      <c r="I266" s="20"/>
      <c r="J266" s="20"/>
      <c r="K266" s="20"/>
      <c r="L266" s="20"/>
      <c r="M266" s="20"/>
      <c r="N266" s="20"/>
      <c r="O266" s="20"/>
      <c r="P266" s="20"/>
      <c r="Q266" s="20"/>
      <c r="R266" s="20"/>
      <c r="S266" s="20"/>
    </row>
    <row r="267">
      <c r="A267" s="20"/>
      <c r="B267" s="20"/>
      <c r="C267" s="20"/>
      <c r="D267" s="20"/>
      <c r="E267" s="20"/>
      <c r="F267" s="20"/>
      <c r="G267" s="20"/>
      <c r="H267" s="20"/>
      <c r="I267" s="20"/>
      <c r="J267" s="20"/>
      <c r="K267" s="20"/>
      <c r="L267" s="20"/>
      <c r="M267" s="20"/>
      <c r="N267" s="20"/>
      <c r="O267" s="20"/>
      <c r="P267" s="20"/>
      <c r="Q267" s="20"/>
      <c r="R267" s="20"/>
      <c r="S267" s="20"/>
    </row>
    <row r="268">
      <c r="A268" s="20"/>
      <c r="B268" s="20"/>
      <c r="C268" s="20"/>
      <c r="D268" s="20"/>
      <c r="E268" s="20"/>
      <c r="F268" s="20"/>
      <c r="G268" s="20"/>
      <c r="H268" s="20"/>
      <c r="I268" s="20"/>
      <c r="J268" s="20"/>
      <c r="K268" s="20"/>
      <c r="L268" s="20"/>
      <c r="M268" s="20"/>
      <c r="N268" s="20"/>
      <c r="O268" s="20"/>
      <c r="P268" s="20"/>
      <c r="Q268" s="20"/>
      <c r="R268" s="20"/>
      <c r="S268" s="20"/>
    </row>
    <row r="269">
      <c r="A269" s="20"/>
      <c r="B269" s="20"/>
      <c r="C269" s="20"/>
      <c r="D269" s="20"/>
      <c r="E269" s="20"/>
      <c r="F269" s="20"/>
      <c r="G269" s="20"/>
      <c r="H269" s="20"/>
      <c r="I269" s="20"/>
      <c r="J269" s="20"/>
      <c r="K269" s="20"/>
      <c r="L269" s="20"/>
      <c r="M269" s="20"/>
      <c r="N269" s="20"/>
      <c r="O269" s="20"/>
      <c r="P269" s="20"/>
      <c r="Q269" s="20"/>
      <c r="R269" s="20"/>
      <c r="S269" s="20"/>
    </row>
    <row r="270">
      <c r="A270" s="20"/>
      <c r="B270" s="20"/>
      <c r="C270" s="20"/>
      <c r="D270" s="20"/>
      <c r="E270" s="20"/>
      <c r="F270" s="20"/>
      <c r="G270" s="20"/>
      <c r="H270" s="20"/>
      <c r="I270" s="20"/>
      <c r="J270" s="20"/>
      <c r="K270" s="20"/>
      <c r="L270" s="20"/>
      <c r="M270" s="20"/>
      <c r="N270" s="20"/>
      <c r="O270" s="20"/>
      <c r="P270" s="20"/>
      <c r="Q270" s="20"/>
      <c r="R270" s="20"/>
      <c r="S270" s="20"/>
    </row>
    <row r="271">
      <c r="A271" s="20"/>
      <c r="B271" s="20"/>
      <c r="C271" s="20"/>
      <c r="D271" s="20"/>
      <c r="E271" s="20"/>
      <c r="F271" s="20"/>
      <c r="G271" s="20"/>
      <c r="H271" s="20"/>
      <c r="I271" s="20"/>
      <c r="J271" s="20"/>
      <c r="K271" s="20"/>
      <c r="L271" s="20"/>
      <c r="M271" s="20"/>
      <c r="N271" s="20"/>
      <c r="O271" s="20"/>
      <c r="P271" s="20"/>
      <c r="Q271" s="20"/>
      <c r="R271" s="20"/>
      <c r="S271" s="20"/>
    </row>
    <row r="272">
      <c r="A272" s="20"/>
      <c r="B272" s="20"/>
      <c r="C272" s="20"/>
      <c r="D272" s="20"/>
      <c r="E272" s="20"/>
      <c r="F272" s="20"/>
      <c r="G272" s="20"/>
      <c r="H272" s="20"/>
      <c r="I272" s="20"/>
      <c r="J272" s="20"/>
      <c r="K272" s="20"/>
      <c r="L272" s="20"/>
      <c r="M272" s="20"/>
      <c r="N272" s="20"/>
      <c r="O272" s="20"/>
      <c r="P272" s="20"/>
      <c r="Q272" s="20"/>
      <c r="R272" s="20"/>
      <c r="S272" s="20"/>
    </row>
    <row r="273">
      <c r="A273" s="20"/>
      <c r="B273" s="20"/>
      <c r="C273" s="20"/>
      <c r="D273" s="20"/>
      <c r="E273" s="20"/>
      <c r="F273" s="20"/>
      <c r="G273" s="20"/>
      <c r="H273" s="20"/>
      <c r="I273" s="20"/>
      <c r="J273" s="20"/>
      <c r="K273" s="20"/>
      <c r="L273" s="20"/>
      <c r="M273" s="20"/>
      <c r="N273" s="20"/>
      <c r="O273" s="20"/>
      <c r="P273" s="20"/>
      <c r="Q273" s="20"/>
      <c r="R273" s="20"/>
      <c r="S273" s="20"/>
    </row>
    <row r="274">
      <c r="A274" s="20"/>
      <c r="B274" s="20"/>
      <c r="C274" s="20"/>
      <c r="D274" s="20"/>
      <c r="E274" s="20"/>
      <c r="F274" s="20"/>
      <c r="G274" s="20"/>
      <c r="H274" s="20"/>
      <c r="I274" s="20"/>
      <c r="J274" s="20"/>
      <c r="K274" s="20"/>
      <c r="L274" s="20"/>
      <c r="M274" s="20"/>
      <c r="N274" s="20"/>
      <c r="O274" s="20"/>
      <c r="P274" s="20"/>
      <c r="Q274" s="20"/>
      <c r="R274" s="20"/>
      <c r="S274" s="20"/>
    </row>
    <row r="275">
      <c r="A275" s="20"/>
      <c r="B275" s="20"/>
      <c r="C275" s="20"/>
      <c r="D275" s="20"/>
      <c r="E275" s="20"/>
      <c r="F275" s="20"/>
      <c r="G275" s="20"/>
      <c r="H275" s="20"/>
      <c r="I275" s="20"/>
      <c r="J275" s="20"/>
      <c r="K275" s="20"/>
      <c r="L275" s="20"/>
      <c r="M275" s="20"/>
      <c r="N275" s="20"/>
      <c r="O275" s="20"/>
      <c r="P275" s="20"/>
      <c r="Q275" s="20"/>
      <c r="R275" s="20"/>
      <c r="S275" s="20"/>
    </row>
    <row r="276">
      <c r="A276" s="20"/>
      <c r="B276" s="20"/>
      <c r="C276" s="20"/>
      <c r="D276" s="20"/>
      <c r="E276" s="20"/>
      <c r="F276" s="20"/>
      <c r="G276" s="20"/>
      <c r="H276" s="20"/>
      <c r="I276" s="20"/>
      <c r="J276" s="20"/>
      <c r="K276" s="20"/>
      <c r="L276" s="20"/>
      <c r="M276" s="20"/>
      <c r="N276" s="20"/>
      <c r="O276" s="20"/>
      <c r="P276" s="20"/>
      <c r="Q276" s="20"/>
      <c r="R276" s="20"/>
      <c r="S276" s="20"/>
    </row>
    <row r="277">
      <c r="A277" s="20"/>
      <c r="B277" s="20"/>
      <c r="C277" s="20"/>
      <c r="D277" s="20"/>
      <c r="E277" s="20"/>
      <c r="F277" s="20"/>
      <c r="G277" s="20"/>
      <c r="H277" s="20"/>
      <c r="I277" s="20"/>
      <c r="J277" s="20"/>
      <c r="K277" s="20"/>
      <c r="L277" s="20"/>
      <c r="M277" s="20"/>
      <c r="N277" s="20"/>
      <c r="O277" s="20"/>
      <c r="P277" s="20"/>
      <c r="Q277" s="20"/>
      <c r="R277" s="20"/>
      <c r="S277" s="20"/>
    </row>
    <row r="278">
      <c r="A278" s="20"/>
      <c r="B278" s="20"/>
      <c r="C278" s="20"/>
      <c r="D278" s="20"/>
      <c r="E278" s="20"/>
      <c r="F278" s="20"/>
      <c r="G278" s="20"/>
      <c r="H278" s="20"/>
      <c r="I278" s="20"/>
      <c r="J278" s="20"/>
      <c r="K278" s="20"/>
      <c r="L278" s="20"/>
      <c r="M278" s="20"/>
      <c r="N278" s="20"/>
      <c r="O278" s="20"/>
      <c r="P278" s="20"/>
      <c r="Q278" s="20"/>
      <c r="R278" s="20"/>
      <c r="S278" s="20"/>
    </row>
    <row r="279">
      <c r="A279" s="20"/>
      <c r="B279" s="20"/>
      <c r="C279" s="20"/>
      <c r="D279" s="20"/>
      <c r="E279" s="20"/>
      <c r="F279" s="20"/>
      <c r="G279" s="20"/>
      <c r="H279" s="20"/>
      <c r="I279" s="20"/>
      <c r="J279" s="20"/>
      <c r="K279" s="20"/>
      <c r="L279" s="20"/>
      <c r="M279" s="20"/>
      <c r="N279" s="20"/>
      <c r="O279" s="20"/>
      <c r="P279" s="20"/>
      <c r="Q279" s="20"/>
      <c r="R279" s="20"/>
      <c r="S279" s="20"/>
    </row>
    <row r="280">
      <c r="A280" s="20"/>
      <c r="B280" s="20"/>
      <c r="C280" s="20"/>
      <c r="D280" s="20"/>
      <c r="E280" s="20"/>
      <c r="F280" s="20"/>
      <c r="G280" s="20"/>
      <c r="H280" s="20"/>
      <c r="I280" s="20"/>
      <c r="J280" s="20"/>
      <c r="K280" s="20"/>
      <c r="L280" s="20"/>
      <c r="M280" s="20"/>
      <c r="N280" s="20"/>
      <c r="O280" s="20"/>
      <c r="P280" s="20"/>
      <c r="Q280" s="20"/>
      <c r="R280" s="20"/>
      <c r="S280" s="20"/>
    </row>
    <row r="281">
      <c r="A281" s="20"/>
      <c r="B281" s="20"/>
      <c r="C281" s="20"/>
      <c r="D281" s="20"/>
      <c r="E281" s="20"/>
      <c r="F281" s="20"/>
      <c r="G281" s="20"/>
      <c r="H281" s="20"/>
      <c r="I281" s="20"/>
      <c r="J281" s="20"/>
      <c r="K281" s="20"/>
      <c r="L281" s="20"/>
      <c r="M281" s="20"/>
      <c r="N281" s="20"/>
      <c r="O281" s="20"/>
      <c r="P281" s="20"/>
      <c r="Q281" s="20"/>
      <c r="R281" s="20"/>
      <c r="S281" s="20"/>
    </row>
    <row r="282">
      <c r="A282" s="20"/>
      <c r="B282" s="20"/>
      <c r="C282" s="20"/>
      <c r="D282" s="20"/>
      <c r="E282" s="20"/>
      <c r="F282" s="20"/>
      <c r="G282" s="20"/>
      <c r="H282" s="20"/>
      <c r="I282" s="20"/>
      <c r="J282" s="20"/>
      <c r="K282" s="20"/>
      <c r="L282" s="20"/>
      <c r="M282" s="20"/>
      <c r="N282" s="20"/>
      <c r="O282" s="20"/>
      <c r="P282" s="20"/>
      <c r="Q282" s="20"/>
      <c r="R282" s="20"/>
      <c r="S282" s="20"/>
    </row>
    <row r="283">
      <c r="A283" s="20"/>
      <c r="B283" s="20"/>
      <c r="C283" s="20"/>
      <c r="D283" s="20"/>
      <c r="E283" s="20"/>
      <c r="F283" s="20"/>
      <c r="G283" s="20"/>
      <c r="H283" s="20"/>
      <c r="I283" s="20"/>
      <c r="J283" s="20"/>
      <c r="K283" s="20"/>
      <c r="L283" s="20"/>
      <c r="M283" s="20"/>
      <c r="N283" s="20"/>
      <c r="O283" s="20"/>
      <c r="P283" s="20"/>
      <c r="Q283" s="20"/>
      <c r="R283" s="20"/>
      <c r="S283" s="20"/>
    </row>
    <row r="284">
      <c r="A284" s="20"/>
      <c r="B284" s="20"/>
      <c r="C284" s="20"/>
      <c r="D284" s="20"/>
      <c r="E284" s="20"/>
      <c r="F284" s="20"/>
      <c r="G284" s="20"/>
      <c r="H284" s="20"/>
      <c r="I284" s="20"/>
      <c r="J284" s="20"/>
      <c r="K284" s="20"/>
      <c r="L284" s="20"/>
      <c r="M284" s="20"/>
      <c r="N284" s="20"/>
      <c r="O284" s="20"/>
      <c r="P284" s="20"/>
      <c r="Q284" s="20"/>
      <c r="R284" s="20"/>
      <c r="S284" s="20"/>
    </row>
    <row r="285">
      <c r="A285" s="20"/>
      <c r="B285" s="20"/>
      <c r="C285" s="20"/>
      <c r="D285" s="20"/>
      <c r="E285" s="20"/>
      <c r="F285" s="20"/>
      <c r="G285" s="20"/>
      <c r="H285" s="20"/>
      <c r="I285" s="20"/>
      <c r="J285" s="20"/>
      <c r="K285" s="20"/>
      <c r="L285" s="20"/>
      <c r="M285" s="20"/>
      <c r="N285" s="20"/>
      <c r="O285" s="20"/>
      <c r="P285" s="20"/>
      <c r="Q285" s="20"/>
      <c r="R285" s="20"/>
      <c r="S285" s="20"/>
    </row>
    <row r="286">
      <c r="A286" s="20"/>
      <c r="B286" s="20"/>
      <c r="C286" s="20"/>
      <c r="D286" s="20"/>
      <c r="E286" s="20"/>
      <c r="F286" s="20"/>
      <c r="G286" s="20"/>
      <c r="H286" s="20"/>
      <c r="I286" s="20"/>
      <c r="J286" s="20"/>
      <c r="K286" s="20"/>
      <c r="L286" s="20"/>
      <c r="M286" s="20"/>
      <c r="N286" s="20"/>
      <c r="O286" s="20"/>
      <c r="P286" s="20"/>
      <c r="Q286" s="20"/>
      <c r="R286" s="20"/>
      <c r="S286" s="20"/>
    </row>
    <row r="287">
      <c r="A287" s="20"/>
      <c r="B287" s="20"/>
      <c r="C287" s="20"/>
      <c r="D287" s="20"/>
      <c r="E287" s="20"/>
      <c r="F287" s="20"/>
      <c r="G287" s="20"/>
      <c r="H287" s="20"/>
      <c r="I287" s="20"/>
      <c r="J287" s="20"/>
      <c r="K287" s="20"/>
      <c r="L287" s="20"/>
      <c r="M287" s="20"/>
      <c r="N287" s="20"/>
      <c r="O287" s="20"/>
      <c r="P287" s="20"/>
      <c r="Q287" s="20"/>
      <c r="R287" s="20"/>
      <c r="S287" s="20"/>
    </row>
    <row r="288">
      <c r="A288" s="20"/>
      <c r="B288" s="20"/>
      <c r="C288" s="20"/>
      <c r="D288" s="20"/>
      <c r="E288" s="20"/>
      <c r="F288" s="20"/>
      <c r="G288" s="20"/>
      <c r="H288" s="20"/>
      <c r="I288" s="20"/>
      <c r="J288" s="20"/>
      <c r="K288" s="20"/>
      <c r="L288" s="20"/>
      <c r="M288" s="20"/>
      <c r="N288" s="20"/>
      <c r="O288" s="20"/>
      <c r="P288" s="20"/>
      <c r="Q288" s="20"/>
      <c r="R288" s="20"/>
      <c r="S288" s="20"/>
    </row>
    <row r="289">
      <c r="A289" s="20"/>
      <c r="B289" s="20"/>
      <c r="C289" s="20"/>
      <c r="D289" s="20"/>
      <c r="E289" s="20"/>
      <c r="F289" s="20"/>
      <c r="G289" s="20"/>
      <c r="H289" s="20"/>
      <c r="I289" s="20"/>
      <c r="J289" s="20"/>
      <c r="K289" s="20"/>
      <c r="L289" s="20"/>
      <c r="M289" s="20"/>
      <c r="N289" s="20"/>
      <c r="O289" s="20"/>
      <c r="P289" s="20"/>
      <c r="Q289" s="20"/>
      <c r="R289" s="20"/>
      <c r="S289" s="20"/>
    </row>
    <row r="290">
      <c r="A290" s="20"/>
      <c r="B290" s="20"/>
      <c r="C290" s="20"/>
      <c r="D290" s="20"/>
      <c r="E290" s="20"/>
      <c r="F290" s="20"/>
      <c r="G290" s="20"/>
      <c r="H290" s="20"/>
      <c r="I290" s="20"/>
      <c r="J290" s="20"/>
      <c r="K290" s="20"/>
      <c r="L290" s="20"/>
      <c r="M290" s="20"/>
      <c r="N290" s="20"/>
      <c r="O290" s="20"/>
      <c r="P290" s="20"/>
      <c r="Q290" s="20"/>
      <c r="R290" s="20"/>
      <c r="S290" s="20"/>
    </row>
    <row r="291">
      <c r="A291" s="20"/>
      <c r="B291" s="20"/>
      <c r="C291" s="20"/>
      <c r="D291" s="20"/>
      <c r="E291" s="20"/>
      <c r="F291" s="20"/>
      <c r="G291" s="20"/>
      <c r="H291" s="20"/>
      <c r="I291" s="20"/>
      <c r="J291" s="20"/>
      <c r="K291" s="20"/>
      <c r="L291" s="20"/>
      <c r="M291" s="20"/>
      <c r="N291" s="20"/>
      <c r="O291" s="20"/>
      <c r="P291" s="20"/>
      <c r="Q291" s="20"/>
      <c r="R291" s="20"/>
      <c r="S291" s="20"/>
    </row>
    <row r="292">
      <c r="A292" s="20"/>
      <c r="B292" s="20"/>
      <c r="C292" s="20"/>
      <c r="D292" s="20"/>
      <c r="E292" s="20"/>
      <c r="F292" s="20"/>
      <c r="G292" s="20"/>
      <c r="H292" s="20"/>
      <c r="I292" s="20"/>
      <c r="J292" s="20"/>
      <c r="K292" s="20"/>
      <c r="L292" s="20"/>
      <c r="M292" s="20"/>
      <c r="N292" s="20"/>
      <c r="O292" s="20"/>
      <c r="P292" s="20"/>
      <c r="Q292" s="20"/>
      <c r="R292" s="20"/>
      <c r="S292" s="20"/>
    </row>
    <row r="293">
      <c r="A293" s="20"/>
      <c r="B293" s="20"/>
      <c r="C293" s="20"/>
      <c r="D293" s="20"/>
      <c r="E293" s="20"/>
      <c r="F293" s="20"/>
      <c r="G293" s="20"/>
      <c r="H293" s="20"/>
      <c r="I293" s="20"/>
      <c r="J293" s="20"/>
      <c r="K293" s="20"/>
      <c r="L293" s="20"/>
      <c r="M293" s="20"/>
      <c r="N293" s="20"/>
      <c r="O293" s="20"/>
      <c r="P293" s="20"/>
      <c r="Q293" s="20"/>
      <c r="R293" s="20"/>
      <c r="S293" s="20"/>
    </row>
    <row r="294">
      <c r="A294" s="20"/>
      <c r="B294" s="20"/>
      <c r="C294" s="20"/>
      <c r="D294" s="20"/>
      <c r="E294" s="20"/>
      <c r="F294" s="20"/>
      <c r="G294" s="20"/>
      <c r="H294" s="20"/>
      <c r="I294" s="20"/>
      <c r="J294" s="20"/>
      <c r="K294" s="20"/>
      <c r="L294" s="20"/>
      <c r="M294" s="20"/>
      <c r="N294" s="20"/>
      <c r="O294" s="20"/>
      <c r="P294" s="20"/>
      <c r="Q294" s="20"/>
      <c r="R294" s="20"/>
      <c r="S294" s="20"/>
    </row>
    <row r="295">
      <c r="A295" s="20"/>
      <c r="B295" s="20"/>
      <c r="C295" s="20"/>
      <c r="D295" s="20"/>
      <c r="E295" s="20"/>
      <c r="F295" s="20"/>
      <c r="G295" s="20"/>
      <c r="H295" s="20"/>
      <c r="I295" s="20"/>
      <c r="J295" s="20"/>
      <c r="K295" s="20"/>
      <c r="L295" s="20"/>
      <c r="M295" s="20"/>
      <c r="N295" s="20"/>
      <c r="O295" s="20"/>
      <c r="P295" s="20"/>
      <c r="Q295" s="20"/>
      <c r="R295" s="20"/>
      <c r="S295" s="20"/>
    </row>
    <row r="296">
      <c r="A296" s="20"/>
      <c r="B296" s="20"/>
      <c r="C296" s="20"/>
      <c r="D296" s="20"/>
      <c r="E296" s="20"/>
      <c r="F296" s="20"/>
      <c r="G296" s="20"/>
      <c r="H296" s="20"/>
      <c r="I296" s="20"/>
      <c r="J296" s="20"/>
      <c r="K296" s="20"/>
      <c r="L296" s="20"/>
      <c r="M296" s="20"/>
      <c r="N296" s="20"/>
      <c r="O296" s="20"/>
      <c r="P296" s="20"/>
      <c r="Q296" s="20"/>
      <c r="R296" s="20"/>
      <c r="S296" s="20"/>
    </row>
    <row r="297">
      <c r="A297" s="20"/>
      <c r="B297" s="20"/>
      <c r="C297" s="20"/>
      <c r="D297" s="20"/>
      <c r="E297" s="20"/>
      <c r="F297" s="20"/>
      <c r="G297" s="20"/>
      <c r="H297" s="20"/>
      <c r="I297" s="20"/>
      <c r="J297" s="20"/>
      <c r="K297" s="20"/>
      <c r="L297" s="20"/>
      <c r="M297" s="20"/>
      <c r="N297" s="20"/>
      <c r="O297" s="20"/>
      <c r="P297" s="20"/>
      <c r="Q297" s="20"/>
      <c r="R297" s="20"/>
      <c r="S297" s="20"/>
    </row>
    <row r="298">
      <c r="A298" s="20"/>
      <c r="B298" s="20"/>
      <c r="C298" s="20"/>
      <c r="D298" s="20"/>
      <c r="E298" s="20"/>
      <c r="F298" s="20"/>
      <c r="G298" s="20"/>
      <c r="H298" s="20"/>
      <c r="I298" s="20"/>
      <c r="J298" s="20"/>
      <c r="K298" s="20"/>
      <c r="L298" s="20"/>
      <c r="M298" s="20"/>
      <c r="N298" s="20"/>
      <c r="O298" s="20"/>
      <c r="P298" s="20"/>
      <c r="Q298" s="20"/>
      <c r="R298" s="20"/>
      <c r="S298" s="20"/>
    </row>
    <row r="299">
      <c r="A299" s="20"/>
      <c r="B299" s="20"/>
      <c r="C299" s="20"/>
      <c r="D299" s="20"/>
      <c r="E299" s="20"/>
      <c r="F299" s="20"/>
      <c r="G299" s="20"/>
      <c r="H299" s="20"/>
      <c r="I299" s="20"/>
      <c r="J299" s="20"/>
      <c r="K299" s="20"/>
      <c r="L299" s="20"/>
      <c r="M299" s="20"/>
      <c r="N299" s="20"/>
      <c r="O299" s="20"/>
      <c r="P299" s="20"/>
      <c r="Q299" s="20"/>
      <c r="R299" s="20"/>
      <c r="S299" s="20"/>
    </row>
    <row r="300">
      <c r="A300" s="20"/>
      <c r="B300" s="20"/>
      <c r="C300" s="20"/>
      <c r="D300" s="20"/>
      <c r="E300" s="20"/>
      <c r="F300" s="20"/>
      <c r="G300" s="20"/>
      <c r="H300" s="20"/>
      <c r="I300" s="20"/>
      <c r="J300" s="20"/>
      <c r="K300" s="20"/>
      <c r="L300" s="20"/>
      <c r="M300" s="20"/>
      <c r="N300" s="20"/>
      <c r="O300" s="20"/>
      <c r="P300" s="20"/>
      <c r="Q300" s="20"/>
      <c r="R300" s="20"/>
      <c r="S300" s="20"/>
    </row>
    <row r="301">
      <c r="A301" s="20"/>
      <c r="B301" s="20"/>
      <c r="C301" s="20"/>
      <c r="D301" s="20"/>
      <c r="E301" s="20"/>
      <c r="F301" s="20"/>
      <c r="G301" s="20"/>
      <c r="H301" s="20"/>
      <c r="I301" s="20"/>
      <c r="J301" s="20"/>
      <c r="K301" s="20"/>
      <c r="L301" s="20"/>
      <c r="M301" s="20"/>
      <c r="N301" s="20"/>
      <c r="O301" s="20"/>
      <c r="P301" s="20"/>
      <c r="Q301" s="20"/>
      <c r="R301" s="20"/>
      <c r="S301" s="20"/>
    </row>
    <row r="302">
      <c r="A302" s="20"/>
      <c r="B302" s="20"/>
      <c r="C302" s="20"/>
      <c r="D302" s="20"/>
      <c r="E302" s="20"/>
      <c r="F302" s="20"/>
      <c r="G302" s="20"/>
      <c r="H302" s="20"/>
      <c r="I302" s="20"/>
      <c r="J302" s="20"/>
      <c r="K302" s="20"/>
      <c r="L302" s="20"/>
      <c r="M302" s="20"/>
      <c r="N302" s="20"/>
      <c r="O302" s="20"/>
      <c r="P302" s="20"/>
      <c r="Q302" s="20"/>
      <c r="R302" s="20"/>
      <c r="S302" s="20"/>
    </row>
    <row r="303">
      <c r="A303" s="20"/>
      <c r="B303" s="20"/>
      <c r="C303" s="20"/>
      <c r="D303" s="20"/>
      <c r="E303" s="20"/>
      <c r="F303" s="20"/>
      <c r="G303" s="20"/>
      <c r="H303" s="20"/>
      <c r="I303" s="20"/>
      <c r="J303" s="20"/>
      <c r="K303" s="20"/>
      <c r="L303" s="20"/>
      <c r="M303" s="20"/>
      <c r="N303" s="20"/>
      <c r="O303" s="20"/>
      <c r="P303" s="20"/>
      <c r="Q303" s="20"/>
      <c r="R303" s="20"/>
      <c r="S303" s="20"/>
    </row>
    <row r="304">
      <c r="A304" s="20"/>
      <c r="B304" s="20"/>
      <c r="C304" s="20"/>
      <c r="D304" s="20"/>
      <c r="E304" s="20"/>
      <c r="F304" s="20"/>
      <c r="G304" s="20"/>
      <c r="H304" s="20"/>
      <c r="I304" s="20"/>
      <c r="J304" s="20"/>
      <c r="K304" s="20"/>
      <c r="L304" s="20"/>
      <c r="M304" s="20"/>
      <c r="N304" s="20"/>
      <c r="O304" s="20"/>
      <c r="P304" s="20"/>
      <c r="Q304" s="20"/>
      <c r="R304" s="20"/>
      <c r="S304" s="20"/>
    </row>
    <row r="305">
      <c r="A305" s="20"/>
      <c r="B305" s="20"/>
      <c r="C305" s="20"/>
      <c r="D305" s="20"/>
      <c r="E305" s="20"/>
      <c r="F305" s="20"/>
      <c r="G305" s="20"/>
      <c r="H305" s="20"/>
      <c r="I305" s="20"/>
      <c r="J305" s="20"/>
      <c r="K305" s="20"/>
      <c r="L305" s="20"/>
      <c r="M305" s="20"/>
      <c r="N305" s="20"/>
      <c r="O305" s="20"/>
      <c r="P305" s="20"/>
      <c r="Q305" s="20"/>
      <c r="R305" s="20"/>
      <c r="S305" s="20"/>
    </row>
    <row r="306">
      <c r="A306" s="20"/>
      <c r="B306" s="20"/>
      <c r="C306" s="20"/>
      <c r="D306" s="20"/>
      <c r="E306" s="20"/>
      <c r="F306" s="20"/>
      <c r="G306" s="20"/>
      <c r="H306" s="20"/>
      <c r="I306" s="20"/>
      <c r="J306" s="20"/>
      <c r="K306" s="20"/>
      <c r="L306" s="20"/>
      <c r="M306" s="20"/>
      <c r="N306" s="20"/>
      <c r="O306" s="20"/>
      <c r="P306" s="20"/>
      <c r="Q306" s="20"/>
      <c r="R306" s="20"/>
      <c r="S306" s="20"/>
    </row>
    <row r="307">
      <c r="A307" s="20"/>
      <c r="B307" s="20"/>
      <c r="C307" s="20"/>
      <c r="D307" s="20"/>
      <c r="E307" s="20"/>
      <c r="F307" s="20"/>
      <c r="G307" s="20"/>
      <c r="H307" s="20"/>
      <c r="I307" s="20"/>
      <c r="J307" s="20"/>
      <c r="K307" s="20"/>
      <c r="L307" s="20"/>
      <c r="M307" s="20"/>
      <c r="N307" s="20"/>
      <c r="O307" s="20"/>
      <c r="P307" s="20"/>
      <c r="Q307" s="20"/>
      <c r="R307" s="20"/>
      <c r="S307" s="20"/>
    </row>
    <row r="308">
      <c r="A308" s="20"/>
      <c r="B308" s="20"/>
      <c r="C308" s="20"/>
      <c r="D308" s="20"/>
      <c r="E308" s="20"/>
      <c r="F308" s="20"/>
      <c r="G308" s="20"/>
      <c r="H308" s="20"/>
      <c r="I308" s="20"/>
      <c r="J308" s="20"/>
      <c r="K308" s="20"/>
      <c r="L308" s="20"/>
      <c r="M308" s="20"/>
      <c r="N308" s="20"/>
      <c r="O308" s="20"/>
      <c r="P308" s="20"/>
      <c r="Q308" s="20"/>
      <c r="R308" s="20"/>
      <c r="S308" s="20"/>
    </row>
    <row r="309">
      <c r="A309" s="20"/>
      <c r="B309" s="20"/>
      <c r="C309" s="20"/>
      <c r="D309" s="20"/>
      <c r="E309" s="20"/>
      <c r="F309" s="20"/>
      <c r="G309" s="20"/>
      <c r="H309" s="20"/>
      <c r="I309" s="20"/>
      <c r="J309" s="20"/>
      <c r="K309" s="20"/>
      <c r="L309" s="20"/>
      <c r="M309" s="20"/>
      <c r="N309" s="20"/>
      <c r="O309" s="20"/>
      <c r="P309" s="20"/>
      <c r="Q309" s="20"/>
      <c r="R309" s="20"/>
      <c r="S309" s="20"/>
    </row>
    <row r="310">
      <c r="A310" s="20"/>
      <c r="B310" s="20"/>
      <c r="C310" s="20"/>
      <c r="D310" s="20"/>
      <c r="E310" s="20"/>
      <c r="F310" s="20"/>
      <c r="G310" s="20"/>
      <c r="H310" s="20"/>
      <c r="I310" s="20"/>
      <c r="J310" s="20"/>
      <c r="K310" s="20"/>
      <c r="L310" s="20"/>
      <c r="M310" s="20"/>
      <c r="N310" s="20"/>
      <c r="O310" s="20"/>
      <c r="P310" s="20"/>
      <c r="Q310" s="20"/>
      <c r="R310" s="20"/>
      <c r="S310" s="20"/>
    </row>
    <row r="311">
      <c r="A311" s="20"/>
      <c r="B311" s="20"/>
      <c r="C311" s="20"/>
      <c r="D311" s="20"/>
      <c r="E311" s="20"/>
      <c r="F311" s="20"/>
      <c r="G311" s="20"/>
      <c r="H311" s="20"/>
      <c r="I311" s="20"/>
      <c r="J311" s="20"/>
      <c r="K311" s="20"/>
      <c r="L311" s="20"/>
      <c r="M311" s="20"/>
      <c r="N311" s="20"/>
      <c r="O311" s="20"/>
      <c r="P311" s="20"/>
      <c r="Q311" s="20"/>
      <c r="R311" s="20"/>
      <c r="S311" s="20"/>
    </row>
    <row r="312">
      <c r="A312" s="20"/>
      <c r="B312" s="20"/>
      <c r="C312" s="20"/>
      <c r="D312" s="20"/>
      <c r="E312" s="20"/>
      <c r="F312" s="20"/>
      <c r="G312" s="20"/>
      <c r="H312" s="20"/>
      <c r="I312" s="20"/>
      <c r="J312" s="20"/>
      <c r="K312" s="20"/>
      <c r="L312" s="20"/>
      <c r="M312" s="20"/>
      <c r="N312" s="20"/>
      <c r="O312" s="20"/>
      <c r="P312" s="20"/>
      <c r="Q312" s="20"/>
      <c r="R312" s="20"/>
      <c r="S312" s="20"/>
    </row>
    <row r="313">
      <c r="A313" s="20"/>
      <c r="B313" s="20"/>
      <c r="C313" s="20"/>
      <c r="D313" s="20"/>
      <c r="E313" s="20"/>
      <c r="F313" s="20"/>
      <c r="G313" s="20"/>
      <c r="H313" s="20"/>
      <c r="I313" s="20"/>
      <c r="J313" s="20"/>
      <c r="K313" s="20"/>
      <c r="L313" s="20"/>
      <c r="M313" s="20"/>
      <c r="N313" s="20"/>
      <c r="O313" s="20"/>
      <c r="P313" s="20"/>
      <c r="Q313" s="20"/>
      <c r="R313" s="20"/>
      <c r="S313" s="20"/>
    </row>
    <row r="314">
      <c r="A314" s="20"/>
      <c r="B314" s="20"/>
      <c r="C314" s="20"/>
      <c r="D314" s="20"/>
      <c r="E314" s="20"/>
      <c r="F314" s="20"/>
      <c r="G314" s="20"/>
      <c r="H314" s="20"/>
      <c r="I314" s="20"/>
      <c r="J314" s="20"/>
      <c r="K314" s="20"/>
      <c r="L314" s="20"/>
      <c r="M314" s="20"/>
      <c r="N314" s="20"/>
      <c r="O314" s="20"/>
      <c r="P314" s="20"/>
      <c r="Q314" s="20"/>
      <c r="R314" s="20"/>
      <c r="S314" s="20"/>
    </row>
    <row r="315">
      <c r="A315" s="20"/>
      <c r="B315" s="20"/>
      <c r="C315" s="20"/>
      <c r="D315" s="20"/>
      <c r="E315" s="20"/>
      <c r="F315" s="20"/>
      <c r="G315" s="20"/>
      <c r="H315" s="20"/>
      <c r="I315" s="20"/>
      <c r="J315" s="20"/>
      <c r="K315" s="20"/>
      <c r="L315" s="20"/>
      <c r="M315" s="20"/>
      <c r="N315" s="20"/>
      <c r="O315" s="20"/>
      <c r="P315" s="20"/>
      <c r="Q315" s="20"/>
      <c r="R315" s="20"/>
      <c r="S315" s="20"/>
    </row>
    <row r="316">
      <c r="A316" s="20"/>
      <c r="B316" s="20"/>
      <c r="C316" s="20"/>
      <c r="D316" s="20"/>
      <c r="E316" s="20"/>
      <c r="F316" s="20"/>
      <c r="G316" s="20"/>
      <c r="H316" s="20"/>
      <c r="I316" s="20"/>
      <c r="J316" s="20"/>
      <c r="K316" s="20"/>
      <c r="L316" s="20"/>
      <c r="M316" s="20"/>
      <c r="N316" s="20"/>
      <c r="O316" s="20"/>
      <c r="P316" s="20"/>
      <c r="Q316" s="20"/>
      <c r="R316" s="20"/>
      <c r="S316" s="20"/>
    </row>
    <row r="317">
      <c r="A317" s="20"/>
      <c r="B317" s="20"/>
      <c r="C317" s="20"/>
      <c r="D317" s="20"/>
      <c r="E317" s="20"/>
      <c r="F317" s="20"/>
      <c r="G317" s="20"/>
      <c r="H317" s="20"/>
      <c r="I317" s="20"/>
      <c r="J317" s="20"/>
      <c r="K317" s="20"/>
      <c r="L317" s="20"/>
      <c r="M317" s="20"/>
      <c r="N317" s="20"/>
      <c r="O317" s="20"/>
      <c r="P317" s="20"/>
      <c r="Q317" s="20"/>
      <c r="R317" s="20"/>
      <c r="S317" s="20"/>
    </row>
    <row r="318">
      <c r="A318" s="20"/>
      <c r="B318" s="20"/>
      <c r="C318" s="20"/>
      <c r="D318" s="20"/>
      <c r="E318" s="20"/>
      <c r="F318" s="20"/>
      <c r="G318" s="20"/>
      <c r="H318" s="20"/>
      <c r="I318" s="20"/>
      <c r="J318" s="20"/>
      <c r="K318" s="20"/>
      <c r="L318" s="20"/>
      <c r="M318" s="20"/>
      <c r="N318" s="20"/>
      <c r="O318" s="20"/>
      <c r="P318" s="20"/>
      <c r="Q318" s="20"/>
      <c r="R318" s="20"/>
      <c r="S318" s="20"/>
    </row>
    <row r="319">
      <c r="A319" s="20"/>
      <c r="B319" s="20"/>
      <c r="C319" s="20"/>
      <c r="D319" s="20"/>
      <c r="E319" s="20"/>
      <c r="F319" s="20"/>
      <c r="G319" s="20"/>
      <c r="H319" s="20"/>
      <c r="I319" s="20"/>
      <c r="J319" s="20"/>
      <c r="K319" s="20"/>
      <c r="L319" s="20"/>
      <c r="M319" s="20"/>
      <c r="N319" s="20"/>
      <c r="O319" s="20"/>
      <c r="P319" s="20"/>
      <c r="Q319" s="20"/>
      <c r="R319" s="20"/>
      <c r="S319" s="20"/>
    </row>
    <row r="320">
      <c r="A320" s="20"/>
      <c r="B320" s="20"/>
      <c r="C320" s="20"/>
      <c r="D320" s="20"/>
      <c r="E320" s="20"/>
      <c r="F320" s="20"/>
      <c r="G320" s="20"/>
      <c r="H320" s="20"/>
      <c r="I320" s="20"/>
      <c r="J320" s="20"/>
      <c r="K320" s="20"/>
      <c r="L320" s="20"/>
      <c r="M320" s="20"/>
      <c r="N320" s="20"/>
      <c r="O320" s="20"/>
      <c r="P320" s="20"/>
      <c r="Q320" s="20"/>
      <c r="R320" s="20"/>
      <c r="S320" s="20"/>
    </row>
    <row r="321">
      <c r="A321" s="20"/>
      <c r="B321" s="20"/>
      <c r="C321" s="20"/>
      <c r="D321" s="20"/>
      <c r="E321" s="20"/>
      <c r="F321" s="20"/>
      <c r="G321" s="20"/>
      <c r="H321" s="20"/>
      <c r="I321" s="20"/>
      <c r="J321" s="20"/>
      <c r="K321" s="20"/>
      <c r="L321" s="20"/>
      <c r="M321" s="20"/>
      <c r="N321" s="20"/>
      <c r="O321" s="20"/>
      <c r="P321" s="20"/>
      <c r="Q321" s="20"/>
      <c r="R321" s="20"/>
      <c r="S321" s="20"/>
    </row>
    <row r="322">
      <c r="A322" s="20"/>
      <c r="B322" s="20"/>
      <c r="C322" s="20"/>
      <c r="D322" s="20"/>
      <c r="E322" s="20"/>
      <c r="F322" s="20"/>
      <c r="G322" s="20"/>
      <c r="H322" s="20"/>
      <c r="I322" s="20"/>
      <c r="J322" s="20"/>
      <c r="K322" s="20"/>
      <c r="L322" s="20"/>
      <c r="M322" s="20"/>
      <c r="N322" s="20"/>
      <c r="O322" s="20"/>
      <c r="P322" s="20"/>
      <c r="Q322" s="20"/>
      <c r="R322" s="20"/>
      <c r="S322" s="20"/>
    </row>
    <row r="323">
      <c r="A323" s="20"/>
      <c r="B323" s="20"/>
      <c r="C323" s="20"/>
      <c r="D323" s="20"/>
      <c r="E323" s="20"/>
      <c r="F323" s="20"/>
      <c r="G323" s="20"/>
      <c r="H323" s="20"/>
      <c r="I323" s="20"/>
      <c r="J323" s="20"/>
      <c r="K323" s="20"/>
      <c r="L323" s="20"/>
      <c r="M323" s="20"/>
      <c r="N323" s="20"/>
      <c r="O323" s="20"/>
      <c r="P323" s="20"/>
      <c r="Q323" s="20"/>
      <c r="R323" s="20"/>
      <c r="S323" s="20"/>
    </row>
    <row r="324">
      <c r="A324" s="20"/>
      <c r="B324" s="20"/>
      <c r="C324" s="20"/>
      <c r="D324" s="20"/>
      <c r="E324" s="20"/>
      <c r="F324" s="20"/>
      <c r="G324" s="20"/>
      <c r="H324" s="20"/>
      <c r="I324" s="20"/>
      <c r="J324" s="20"/>
      <c r="K324" s="20"/>
      <c r="L324" s="20"/>
      <c r="M324" s="20"/>
      <c r="N324" s="20"/>
      <c r="O324" s="20"/>
      <c r="P324" s="20"/>
      <c r="Q324" s="20"/>
      <c r="R324" s="20"/>
      <c r="S324" s="20"/>
    </row>
    <row r="325">
      <c r="A325" s="20"/>
      <c r="B325" s="20"/>
      <c r="C325" s="20"/>
      <c r="D325" s="20"/>
      <c r="E325" s="20"/>
      <c r="F325" s="20"/>
      <c r="G325" s="20"/>
      <c r="H325" s="20"/>
      <c r="I325" s="20"/>
      <c r="J325" s="20"/>
      <c r="K325" s="20"/>
      <c r="L325" s="20"/>
      <c r="M325" s="20"/>
      <c r="N325" s="20"/>
      <c r="O325" s="20"/>
      <c r="P325" s="20"/>
      <c r="Q325" s="20"/>
      <c r="R325" s="20"/>
      <c r="S325" s="20"/>
    </row>
    <row r="326">
      <c r="A326" s="20"/>
      <c r="B326" s="20"/>
      <c r="C326" s="20"/>
      <c r="D326" s="20"/>
      <c r="E326" s="20"/>
      <c r="F326" s="20"/>
      <c r="G326" s="20"/>
      <c r="H326" s="20"/>
      <c r="I326" s="20"/>
      <c r="J326" s="20"/>
      <c r="K326" s="20"/>
      <c r="L326" s="20"/>
      <c r="M326" s="20"/>
      <c r="N326" s="20"/>
      <c r="O326" s="20"/>
      <c r="P326" s="20"/>
      <c r="Q326" s="20"/>
      <c r="R326" s="20"/>
      <c r="S326" s="20"/>
    </row>
    <row r="327">
      <c r="A327" s="20"/>
      <c r="B327" s="20"/>
      <c r="C327" s="20"/>
      <c r="D327" s="20"/>
      <c r="E327" s="20"/>
      <c r="F327" s="20"/>
      <c r="G327" s="20"/>
      <c r="H327" s="20"/>
      <c r="I327" s="20"/>
      <c r="J327" s="20"/>
      <c r="K327" s="20"/>
      <c r="L327" s="20"/>
      <c r="M327" s="20"/>
      <c r="N327" s="20"/>
      <c r="O327" s="20"/>
      <c r="P327" s="20"/>
      <c r="Q327" s="20"/>
      <c r="R327" s="20"/>
      <c r="S327" s="20"/>
    </row>
    <row r="328">
      <c r="A328" s="20"/>
      <c r="B328" s="20"/>
      <c r="C328" s="20"/>
      <c r="D328" s="20"/>
      <c r="E328" s="20"/>
      <c r="F328" s="20"/>
      <c r="G328" s="20"/>
      <c r="H328" s="20"/>
      <c r="I328" s="20"/>
      <c r="J328" s="20"/>
      <c r="K328" s="20"/>
      <c r="L328" s="20"/>
      <c r="M328" s="20"/>
      <c r="N328" s="20"/>
      <c r="O328" s="20"/>
      <c r="P328" s="20"/>
      <c r="Q328" s="20"/>
      <c r="R328" s="20"/>
      <c r="S328" s="20"/>
    </row>
    <row r="329">
      <c r="A329" s="20"/>
      <c r="B329" s="20"/>
      <c r="C329" s="20"/>
      <c r="D329" s="20"/>
      <c r="E329" s="20"/>
      <c r="F329" s="20"/>
      <c r="G329" s="20"/>
      <c r="H329" s="20"/>
      <c r="I329" s="20"/>
      <c r="J329" s="20"/>
      <c r="K329" s="20"/>
      <c r="L329" s="20"/>
      <c r="M329" s="20"/>
      <c r="N329" s="20"/>
      <c r="O329" s="20"/>
      <c r="P329" s="20"/>
      <c r="Q329" s="20"/>
      <c r="R329" s="20"/>
      <c r="S329" s="20"/>
    </row>
    <row r="330">
      <c r="A330" s="20"/>
      <c r="B330" s="20"/>
      <c r="C330" s="20"/>
      <c r="D330" s="20"/>
      <c r="E330" s="20"/>
      <c r="F330" s="20"/>
      <c r="G330" s="20"/>
      <c r="H330" s="20"/>
      <c r="I330" s="20"/>
      <c r="J330" s="20"/>
      <c r="K330" s="20"/>
      <c r="L330" s="20"/>
      <c r="M330" s="20"/>
      <c r="N330" s="20"/>
      <c r="O330" s="20"/>
      <c r="P330" s="20"/>
      <c r="Q330" s="20"/>
      <c r="R330" s="20"/>
      <c r="S330" s="20"/>
    </row>
    <row r="331">
      <c r="A331" s="20"/>
      <c r="B331" s="20"/>
      <c r="C331" s="20"/>
      <c r="D331" s="20"/>
      <c r="E331" s="20"/>
      <c r="F331" s="20"/>
      <c r="G331" s="20"/>
      <c r="H331" s="20"/>
      <c r="I331" s="20"/>
      <c r="J331" s="20"/>
      <c r="K331" s="20"/>
      <c r="L331" s="20"/>
      <c r="M331" s="20"/>
      <c r="N331" s="20"/>
      <c r="O331" s="20"/>
      <c r="P331" s="20"/>
      <c r="Q331" s="20"/>
      <c r="R331" s="20"/>
      <c r="S331" s="20"/>
    </row>
    <row r="332">
      <c r="A332" s="20"/>
      <c r="B332" s="20"/>
      <c r="C332" s="20"/>
      <c r="D332" s="20"/>
      <c r="E332" s="20"/>
      <c r="F332" s="20"/>
      <c r="G332" s="20"/>
      <c r="H332" s="20"/>
      <c r="I332" s="20"/>
      <c r="J332" s="20"/>
      <c r="K332" s="20"/>
      <c r="L332" s="20"/>
      <c r="M332" s="20"/>
      <c r="N332" s="20"/>
      <c r="O332" s="20"/>
      <c r="P332" s="20"/>
      <c r="Q332" s="20"/>
      <c r="R332" s="20"/>
      <c r="S332" s="20"/>
    </row>
    <row r="333">
      <c r="A333" s="20"/>
      <c r="B333" s="20"/>
      <c r="C333" s="20"/>
      <c r="D333" s="20"/>
      <c r="E333" s="20"/>
      <c r="F333" s="20"/>
      <c r="G333" s="20"/>
      <c r="H333" s="20"/>
      <c r="I333" s="20"/>
      <c r="J333" s="20"/>
      <c r="K333" s="20"/>
      <c r="L333" s="20"/>
      <c r="M333" s="20"/>
      <c r="N333" s="20"/>
      <c r="O333" s="20"/>
      <c r="P333" s="20"/>
      <c r="Q333" s="20"/>
      <c r="R333" s="20"/>
      <c r="S333" s="20"/>
    </row>
    <row r="334">
      <c r="A334" s="20"/>
      <c r="B334" s="20"/>
      <c r="C334" s="20"/>
      <c r="D334" s="20"/>
      <c r="E334" s="20"/>
      <c r="F334" s="20"/>
      <c r="G334" s="20"/>
      <c r="H334" s="20"/>
      <c r="I334" s="20"/>
      <c r="J334" s="20"/>
      <c r="K334" s="20"/>
      <c r="L334" s="20"/>
      <c r="M334" s="20"/>
      <c r="N334" s="20"/>
      <c r="O334" s="20"/>
      <c r="P334" s="20"/>
      <c r="Q334" s="20"/>
      <c r="R334" s="20"/>
      <c r="S334" s="20"/>
    </row>
    <row r="335">
      <c r="A335" s="20"/>
      <c r="B335" s="20"/>
      <c r="C335" s="20"/>
      <c r="D335" s="20"/>
      <c r="E335" s="20"/>
      <c r="F335" s="20"/>
      <c r="G335" s="20"/>
      <c r="H335" s="20"/>
      <c r="I335" s="20"/>
      <c r="J335" s="20"/>
      <c r="K335" s="20"/>
      <c r="L335" s="20"/>
      <c r="M335" s="20"/>
      <c r="N335" s="20"/>
      <c r="O335" s="20"/>
      <c r="P335" s="20"/>
      <c r="Q335" s="20"/>
      <c r="R335" s="20"/>
      <c r="S335" s="20"/>
    </row>
    <row r="336">
      <c r="A336" s="20"/>
      <c r="B336" s="20"/>
      <c r="C336" s="20"/>
      <c r="D336" s="20"/>
      <c r="E336" s="20"/>
      <c r="F336" s="20"/>
      <c r="G336" s="20"/>
      <c r="H336" s="20"/>
      <c r="I336" s="20"/>
      <c r="J336" s="20"/>
      <c r="K336" s="20"/>
      <c r="L336" s="20"/>
      <c r="M336" s="20"/>
      <c r="N336" s="20"/>
      <c r="O336" s="20"/>
      <c r="P336" s="20"/>
      <c r="Q336" s="20"/>
      <c r="R336" s="20"/>
      <c r="S336" s="20"/>
    </row>
    <row r="337">
      <c r="A337" s="20"/>
      <c r="B337" s="20"/>
      <c r="C337" s="20"/>
      <c r="D337" s="20"/>
      <c r="E337" s="20"/>
      <c r="F337" s="20"/>
      <c r="G337" s="20"/>
      <c r="H337" s="20"/>
      <c r="I337" s="20"/>
      <c r="J337" s="20"/>
      <c r="K337" s="20"/>
      <c r="L337" s="20"/>
      <c r="M337" s="20"/>
      <c r="N337" s="20"/>
      <c r="O337" s="20"/>
      <c r="P337" s="20"/>
      <c r="Q337" s="20"/>
      <c r="R337" s="20"/>
      <c r="S337" s="20"/>
    </row>
    <row r="338">
      <c r="A338" s="20"/>
      <c r="B338" s="20"/>
      <c r="C338" s="20"/>
      <c r="D338" s="20"/>
      <c r="E338" s="20"/>
      <c r="F338" s="20"/>
      <c r="G338" s="20"/>
      <c r="H338" s="20"/>
      <c r="I338" s="20"/>
      <c r="J338" s="20"/>
      <c r="K338" s="20"/>
      <c r="L338" s="20"/>
      <c r="M338" s="20"/>
      <c r="N338" s="20"/>
      <c r="O338" s="20"/>
      <c r="P338" s="20"/>
      <c r="Q338" s="20"/>
      <c r="R338" s="20"/>
      <c r="S338" s="20"/>
    </row>
    <row r="339">
      <c r="A339" s="20"/>
      <c r="B339" s="20"/>
      <c r="C339" s="20"/>
      <c r="D339" s="20"/>
      <c r="E339" s="20"/>
      <c r="F339" s="20"/>
      <c r="G339" s="20"/>
      <c r="H339" s="20"/>
      <c r="I339" s="20"/>
      <c r="J339" s="20"/>
      <c r="K339" s="20"/>
      <c r="L339" s="20"/>
      <c r="M339" s="20"/>
      <c r="N339" s="20"/>
      <c r="O339" s="20"/>
      <c r="P339" s="20"/>
      <c r="Q339" s="20"/>
      <c r="R339" s="20"/>
      <c r="S339" s="20"/>
    </row>
    <row r="340">
      <c r="A340" s="20"/>
      <c r="B340" s="20"/>
      <c r="C340" s="20"/>
      <c r="D340" s="20"/>
      <c r="E340" s="20"/>
      <c r="F340" s="20"/>
      <c r="G340" s="20"/>
      <c r="H340" s="20"/>
      <c r="I340" s="20"/>
      <c r="J340" s="20"/>
      <c r="K340" s="20"/>
      <c r="L340" s="20"/>
      <c r="M340" s="20"/>
      <c r="N340" s="20"/>
      <c r="O340" s="20"/>
      <c r="P340" s="20"/>
      <c r="Q340" s="20"/>
      <c r="R340" s="20"/>
      <c r="S340" s="20"/>
    </row>
    <row r="341">
      <c r="A341" s="20"/>
      <c r="B341" s="20"/>
      <c r="C341" s="20"/>
      <c r="D341" s="20"/>
      <c r="E341" s="20"/>
      <c r="F341" s="20"/>
      <c r="G341" s="20"/>
      <c r="H341" s="20"/>
      <c r="I341" s="20"/>
      <c r="J341" s="20"/>
      <c r="K341" s="20"/>
      <c r="L341" s="20"/>
      <c r="M341" s="20"/>
      <c r="N341" s="20"/>
      <c r="O341" s="20"/>
      <c r="P341" s="20"/>
      <c r="Q341" s="20"/>
      <c r="R341" s="20"/>
      <c r="S341" s="20"/>
    </row>
    <row r="342">
      <c r="A342" s="20"/>
      <c r="B342" s="20"/>
      <c r="C342" s="20"/>
      <c r="D342" s="20"/>
      <c r="E342" s="20"/>
      <c r="F342" s="20"/>
      <c r="G342" s="20"/>
      <c r="H342" s="20"/>
      <c r="I342" s="20"/>
      <c r="J342" s="20"/>
      <c r="K342" s="20"/>
      <c r="L342" s="20"/>
      <c r="M342" s="20"/>
      <c r="N342" s="20"/>
      <c r="O342" s="20"/>
      <c r="P342" s="20"/>
      <c r="Q342" s="20"/>
      <c r="R342" s="20"/>
      <c r="S342" s="20"/>
    </row>
    <row r="343">
      <c r="A343" s="20"/>
      <c r="B343" s="20"/>
      <c r="C343" s="20"/>
      <c r="D343" s="20"/>
      <c r="E343" s="20"/>
      <c r="F343" s="20"/>
      <c r="G343" s="20"/>
      <c r="H343" s="20"/>
      <c r="I343" s="20"/>
      <c r="J343" s="20"/>
      <c r="K343" s="20"/>
      <c r="L343" s="20"/>
      <c r="M343" s="20"/>
      <c r="N343" s="20"/>
      <c r="O343" s="20"/>
      <c r="P343" s="20"/>
      <c r="Q343" s="20"/>
      <c r="R343" s="20"/>
      <c r="S343" s="20"/>
    </row>
    <row r="344">
      <c r="A344" s="20"/>
      <c r="B344" s="20"/>
      <c r="C344" s="20"/>
      <c r="D344" s="20"/>
      <c r="E344" s="20"/>
      <c r="F344" s="20"/>
      <c r="G344" s="20"/>
      <c r="H344" s="20"/>
      <c r="I344" s="20"/>
      <c r="J344" s="20"/>
      <c r="K344" s="20"/>
      <c r="L344" s="20"/>
      <c r="M344" s="20"/>
      <c r="N344" s="20"/>
      <c r="O344" s="20"/>
      <c r="P344" s="20"/>
      <c r="Q344" s="20"/>
      <c r="R344" s="20"/>
      <c r="S344" s="20"/>
    </row>
    <row r="345">
      <c r="A345" s="20"/>
      <c r="B345" s="20"/>
      <c r="C345" s="20"/>
      <c r="D345" s="20"/>
      <c r="E345" s="20"/>
      <c r="F345" s="20"/>
      <c r="G345" s="20"/>
      <c r="H345" s="20"/>
      <c r="I345" s="20"/>
      <c r="J345" s="20"/>
      <c r="K345" s="20"/>
      <c r="L345" s="20"/>
      <c r="M345" s="20"/>
      <c r="N345" s="20"/>
      <c r="O345" s="20"/>
      <c r="P345" s="20"/>
      <c r="Q345" s="20"/>
      <c r="R345" s="20"/>
      <c r="S345" s="20"/>
    </row>
    <row r="346">
      <c r="A346" s="20"/>
      <c r="B346" s="20"/>
      <c r="C346" s="20"/>
      <c r="D346" s="20"/>
      <c r="E346" s="20"/>
      <c r="F346" s="20"/>
      <c r="G346" s="20"/>
      <c r="H346" s="20"/>
      <c r="I346" s="20"/>
      <c r="J346" s="20"/>
      <c r="K346" s="20"/>
      <c r="L346" s="20"/>
      <c r="M346" s="20"/>
      <c r="N346" s="20"/>
      <c r="O346" s="20"/>
      <c r="P346" s="20"/>
      <c r="Q346" s="20"/>
      <c r="R346" s="20"/>
      <c r="S346" s="20"/>
    </row>
    <row r="347">
      <c r="A347" s="20"/>
      <c r="B347" s="20"/>
      <c r="C347" s="20"/>
      <c r="D347" s="20"/>
      <c r="E347" s="20"/>
      <c r="F347" s="20"/>
      <c r="G347" s="20"/>
      <c r="H347" s="20"/>
      <c r="I347" s="20"/>
      <c r="J347" s="20"/>
      <c r="K347" s="20"/>
      <c r="L347" s="20"/>
      <c r="M347" s="20"/>
      <c r="N347" s="20"/>
      <c r="O347" s="20"/>
      <c r="P347" s="20"/>
      <c r="Q347" s="20"/>
      <c r="R347" s="20"/>
      <c r="S347" s="20"/>
    </row>
    <row r="348">
      <c r="A348" s="20"/>
      <c r="B348" s="20"/>
      <c r="C348" s="20"/>
      <c r="D348" s="20"/>
      <c r="E348" s="20"/>
      <c r="F348" s="20"/>
      <c r="G348" s="20"/>
      <c r="H348" s="20"/>
      <c r="I348" s="20"/>
      <c r="J348" s="20"/>
      <c r="K348" s="20"/>
      <c r="L348" s="20"/>
      <c r="M348" s="20"/>
      <c r="N348" s="20"/>
      <c r="O348" s="20"/>
      <c r="P348" s="20"/>
      <c r="Q348" s="20"/>
      <c r="R348" s="20"/>
      <c r="S348" s="20"/>
    </row>
    <row r="349">
      <c r="A349" s="20"/>
      <c r="B349" s="20"/>
      <c r="C349" s="20"/>
      <c r="D349" s="20"/>
      <c r="E349" s="20"/>
      <c r="F349" s="20"/>
      <c r="G349" s="20"/>
      <c r="H349" s="20"/>
      <c r="I349" s="20"/>
      <c r="J349" s="20"/>
      <c r="K349" s="20"/>
      <c r="L349" s="20"/>
      <c r="M349" s="20"/>
      <c r="N349" s="20"/>
      <c r="O349" s="20"/>
      <c r="P349" s="20"/>
      <c r="Q349" s="20"/>
      <c r="R349" s="20"/>
      <c r="S349" s="20"/>
    </row>
    <row r="350">
      <c r="A350" s="20"/>
      <c r="B350" s="20"/>
      <c r="C350" s="20"/>
      <c r="D350" s="20"/>
      <c r="E350" s="20"/>
      <c r="F350" s="20"/>
      <c r="G350" s="20"/>
      <c r="H350" s="20"/>
      <c r="I350" s="20"/>
      <c r="J350" s="20"/>
      <c r="K350" s="20"/>
      <c r="L350" s="20"/>
      <c r="M350" s="20"/>
      <c r="N350" s="20"/>
      <c r="O350" s="20"/>
      <c r="P350" s="20"/>
      <c r="Q350" s="20"/>
      <c r="R350" s="20"/>
      <c r="S350" s="20"/>
    </row>
    <row r="351">
      <c r="A351" s="20"/>
      <c r="B351" s="20"/>
      <c r="C351" s="20"/>
      <c r="D351" s="20"/>
      <c r="E351" s="20"/>
      <c r="F351" s="20"/>
      <c r="G351" s="20"/>
      <c r="H351" s="20"/>
      <c r="I351" s="20"/>
      <c r="J351" s="20"/>
      <c r="K351" s="20"/>
      <c r="L351" s="20"/>
      <c r="M351" s="20"/>
      <c r="N351" s="20"/>
      <c r="O351" s="20"/>
      <c r="P351" s="20"/>
      <c r="Q351" s="20"/>
      <c r="R351" s="20"/>
      <c r="S351" s="20"/>
    </row>
    <row r="352">
      <c r="A352" s="20"/>
      <c r="B352" s="20"/>
      <c r="C352" s="20"/>
      <c r="D352" s="20"/>
      <c r="E352" s="20"/>
      <c r="F352" s="20"/>
      <c r="G352" s="20"/>
      <c r="H352" s="20"/>
      <c r="I352" s="20"/>
      <c r="J352" s="20"/>
      <c r="K352" s="20"/>
      <c r="L352" s="20"/>
      <c r="M352" s="20"/>
      <c r="N352" s="20"/>
      <c r="O352" s="20"/>
      <c r="P352" s="20"/>
      <c r="Q352" s="20"/>
      <c r="R352" s="20"/>
      <c r="S352" s="20"/>
    </row>
    <row r="353">
      <c r="A353" s="20"/>
      <c r="B353" s="20"/>
      <c r="C353" s="20"/>
      <c r="D353" s="20"/>
      <c r="E353" s="20"/>
      <c r="F353" s="20"/>
      <c r="G353" s="20"/>
      <c r="H353" s="20"/>
      <c r="I353" s="20"/>
      <c r="J353" s="20"/>
      <c r="K353" s="20"/>
      <c r="L353" s="20"/>
      <c r="M353" s="20"/>
      <c r="N353" s="20"/>
      <c r="O353" s="20"/>
      <c r="P353" s="20"/>
      <c r="Q353" s="20"/>
      <c r="R353" s="20"/>
      <c r="S353" s="20"/>
    </row>
    <row r="354">
      <c r="A354" s="20"/>
      <c r="B354" s="20"/>
      <c r="C354" s="20"/>
      <c r="D354" s="20"/>
      <c r="E354" s="20"/>
      <c r="F354" s="20"/>
      <c r="G354" s="20"/>
      <c r="H354" s="20"/>
      <c r="I354" s="20"/>
      <c r="J354" s="20"/>
      <c r="K354" s="20"/>
      <c r="L354" s="20"/>
      <c r="M354" s="20"/>
      <c r="N354" s="20"/>
      <c r="O354" s="20"/>
      <c r="P354" s="20"/>
      <c r="Q354" s="20"/>
      <c r="R354" s="20"/>
      <c r="S354" s="20"/>
    </row>
    <row r="355">
      <c r="A355" s="20"/>
      <c r="B355" s="20"/>
      <c r="C355" s="20"/>
      <c r="D355" s="20"/>
      <c r="E355" s="20"/>
      <c r="F355" s="20"/>
      <c r="G355" s="20"/>
      <c r="H355" s="20"/>
      <c r="I355" s="20"/>
      <c r="J355" s="20"/>
      <c r="K355" s="20"/>
      <c r="L355" s="20"/>
      <c r="M355" s="20"/>
      <c r="N355" s="20"/>
      <c r="O355" s="20"/>
      <c r="P355" s="20"/>
      <c r="Q355" s="20"/>
      <c r="R355" s="20"/>
      <c r="S355" s="20"/>
    </row>
    <row r="356">
      <c r="A356" s="20"/>
      <c r="B356" s="20"/>
      <c r="C356" s="20"/>
      <c r="D356" s="20"/>
      <c r="E356" s="20"/>
      <c r="F356" s="20"/>
      <c r="G356" s="20"/>
      <c r="H356" s="20"/>
      <c r="I356" s="20"/>
      <c r="J356" s="20"/>
      <c r="K356" s="20"/>
      <c r="L356" s="20"/>
      <c r="M356" s="20"/>
      <c r="N356" s="20"/>
      <c r="O356" s="20"/>
      <c r="P356" s="20"/>
      <c r="Q356" s="20"/>
      <c r="R356" s="20"/>
      <c r="S356" s="20"/>
    </row>
    <row r="357">
      <c r="A357" s="20"/>
      <c r="B357" s="20"/>
      <c r="C357" s="20"/>
      <c r="D357" s="20"/>
      <c r="E357" s="20"/>
      <c r="F357" s="20"/>
      <c r="G357" s="20"/>
      <c r="H357" s="20"/>
      <c r="I357" s="20"/>
      <c r="J357" s="20"/>
      <c r="K357" s="20"/>
      <c r="L357" s="20"/>
      <c r="M357" s="20"/>
      <c r="N357" s="20"/>
      <c r="O357" s="20"/>
      <c r="P357" s="20"/>
      <c r="Q357" s="20"/>
      <c r="R357" s="20"/>
      <c r="S357" s="20"/>
    </row>
    <row r="358">
      <c r="A358" s="20"/>
      <c r="B358" s="20"/>
      <c r="C358" s="20"/>
      <c r="D358" s="20"/>
      <c r="E358" s="20"/>
      <c r="F358" s="20"/>
      <c r="G358" s="20"/>
      <c r="H358" s="20"/>
      <c r="I358" s="20"/>
      <c r="J358" s="20"/>
      <c r="K358" s="20"/>
      <c r="L358" s="20"/>
      <c r="M358" s="20"/>
      <c r="N358" s="20"/>
      <c r="O358" s="20"/>
      <c r="P358" s="20"/>
      <c r="Q358" s="20"/>
      <c r="R358" s="20"/>
      <c r="S358" s="20"/>
    </row>
    <row r="359">
      <c r="A359" s="20"/>
      <c r="B359" s="20"/>
      <c r="C359" s="20"/>
      <c r="D359" s="20"/>
      <c r="E359" s="20"/>
      <c r="F359" s="20"/>
      <c r="G359" s="20"/>
      <c r="H359" s="20"/>
      <c r="I359" s="20"/>
      <c r="J359" s="20"/>
      <c r="K359" s="20"/>
      <c r="L359" s="20"/>
      <c r="M359" s="20"/>
      <c r="N359" s="20"/>
      <c r="O359" s="20"/>
      <c r="P359" s="20"/>
      <c r="Q359" s="20"/>
      <c r="R359" s="20"/>
      <c r="S359" s="20"/>
    </row>
    <row r="360">
      <c r="A360" s="20"/>
      <c r="B360" s="20"/>
      <c r="C360" s="20"/>
      <c r="D360" s="20"/>
      <c r="E360" s="20"/>
      <c r="F360" s="20"/>
      <c r="G360" s="20"/>
      <c r="H360" s="20"/>
      <c r="I360" s="20"/>
      <c r="J360" s="20"/>
      <c r="K360" s="20"/>
      <c r="L360" s="20"/>
      <c r="M360" s="20"/>
      <c r="N360" s="20"/>
      <c r="O360" s="20"/>
      <c r="P360" s="20"/>
      <c r="Q360" s="20"/>
      <c r="R360" s="20"/>
      <c r="S360" s="20"/>
    </row>
    <row r="361">
      <c r="A361" s="20"/>
      <c r="B361" s="20"/>
      <c r="C361" s="20"/>
      <c r="D361" s="20"/>
      <c r="E361" s="20"/>
      <c r="F361" s="20"/>
      <c r="G361" s="20"/>
      <c r="H361" s="20"/>
      <c r="I361" s="20"/>
      <c r="J361" s="20"/>
      <c r="K361" s="20"/>
      <c r="L361" s="20"/>
      <c r="M361" s="20"/>
      <c r="N361" s="20"/>
      <c r="O361" s="20"/>
      <c r="P361" s="20"/>
      <c r="Q361" s="20"/>
      <c r="R361" s="20"/>
      <c r="S361" s="20"/>
    </row>
    <row r="362">
      <c r="A362" s="20"/>
      <c r="B362" s="20"/>
      <c r="C362" s="20"/>
      <c r="D362" s="20"/>
      <c r="E362" s="20"/>
      <c r="F362" s="20"/>
      <c r="G362" s="20"/>
      <c r="H362" s="20"/>
      <c r="I362" s="20"/>
      <c r="J362" s="20"/>
      <c r="K362" s="20"/>
      <c r="L362" s="20"/>
      <c r="M362" s="20"/>
      <c r="N362" s="20"/>
      <c r="O362" s="20"/>
      <c r="P362" s="20"/>
      <c r="Q362" s="20"/>
      <c r="R362" s="20"/>
      <c r="S362" s="20"/>
    </row>
    <row r="363">
      <c r="A363" s="20"/>
      <c r="B363" s="20"/>
      <c r="C363" s="20"/>
      <c r="D363" s="20"/>
      <c r="E363" s="20"/>
      <c r="F363" s="20"/>
      <c r="G363" s="20"/>
      <c r="H363" s="20"/>
      <c r="I363" s="20"/>
      <c r="J363" s="20"/>
      <c r="K363" s="20"/>
      <c r="L363" s="20"/>
      <c r="M363" s="20"/>
      <c r="N363" s="20"/>
      <c r="O363" s="20"/>
      <c r="P363" s="20"/>
      <c r="Q363" s="20"/>
      <c r="R363" s="20"/>
      <c r="S363" s="20"/>
    </row>
    <row r="364">
      <c r="A364" s="20"/>
      <c r="B364" s="20"/>
      <c r="C364" s="20"/>
      <c r="D364" s="20"/>
      <c r="E364" s="20"/>
      <c r="F364" s="20"/>
      <c r="G364" s="20"/>
      <c r="H364" s="20"/>
      <c r="I364" s="20"/>
      <c r="J364" s="20"/>
      <c r="K364" s="20"/>
      <c r="L364" s="20"/>
      <c r="M364" s="20"/>
      <c r="N364" s="20"/>
      <c r="O364" s="20"/>
      <c r="P364" s="20"/>
      <c r="Q364" s="20"/>
      <c r="R364" s="20"/>
      <c r="S364" s="20"/>
    </row>
    <row r="365">
      <c r="A365" s="20"/>
      <c r="B365" s="20"/>
      <c r="C365" s="20"/>
      <c r="D365" s="20"/>
      <c r="E365" s="20"/>
      <c r="F365" s="20"/>
      <c r="G365" s="20"/>
      <c r="H365" s="20"/>
      <c r="I365" s="20"/>
      <c r="J365" s="20"/>
      <c r="K365" s="20"/>
      <c r="L365" s="20"/>
      <c r="M365" s="20"/>
      <c r="N365" s="20"/>
      <c r="O365" s="20"/>
      <c r="P365" s="20"/>
      <c r="Q365" s="20"/>
      <c r="R365" s="20"/>
      <c r="S365" s="20"/>
    </row>
    <row r="366">
      <c r="A366" s="20"/>
      <c r="B366" s="20"/>
      <c r="C366" s="20"/>
      <c r="D366" s="20"/>
      <c r="E366" s="20"/>
      <c r="F366" s="20"/>
      <c r="G366" s="20"/>
      <c r="H366" s="20"/>
      <c r="I366" s="20"/>
      <c r="J366" s="20"/>
      <c r="K366" s="20"/>
      <c r="L366" s="20"/>
      <c r="M366" s="20"/>
      <c r="N366" s="20"/>
      <c r="O366" s="20"/>
      <c r="P366" s="20"/>
      <c r="Q366" s="20"/>
      <c r="R366" s="20"/>
      <c r="S366" s="20"/>
    </row>
    <row r="367">
      <c r="A367" s="20"/>
      <c r="B367" s="20"/>
      <c r="C367" s="20"/>
      <c r="D367" s="20"/>
      <c r="E367" s="20"/>
      <c r="F367" s="20"/>
      <c r="G367" s="20"/>
      <c r="H367" s="20"/>
      <c r="I367" s="20"/>
      <c r="J367" s="20"/>
      <c r="K367" s="20"/>
      <c r="L367" s="20"/>
      <c r="M367" s="20"/>
      <c r="N367" s="20"/>
      <c r="O367" s="20"/>
      <c r="P367" s="20"/>
      <c r="Q367" s="20"/>
      <c r="R367" s="20"/>
      <c r="S367" s="20"/>
    </row>
    <row r="368">
      <c r="A368" s="20"/>
      <c r="B368" s="20"/>
      <c r="C368" s="20"/>
      <c r="D368" s="20"/>
      <c r="E368" s="20"/>
      <c r="F368" s="20"/>
      <c r="G368" s="20"/>
      <c r="H368" s="20"/>
      <c r="I368" s="20"/>
      <c r="J368" s="20"/>
      <c r="K368" s="20"/>
      <c r="L368" s="20"/>
      <c r="M368" s="20"/>
      <c r="N368" s="20"/>
      <c r="O368" s="20"/>
      <c r="P368" s="20"/>
      <c r="Q368" s="20"/>
      <c r="R368" s="20"/>
      <c r="S368" s="20"/>
    </row>
    <row r="369">
      <c r="A369" s="20"/>
      <c r="B369" s="20"/>
      <c r="C369" s="20"/>
      <c r="D369" s="20"/>
      <c r="E369" s="20"/>
      <c r="F369" s="20"/>
      <c r="G369" s="20"/>
      <c r="H369" s="20"/>
      <c r="I369" s="20"/>
      <c r="J369" s="20"/>
      <c r="K369" s="20"/>
      <c r="L369" s="20"/>
      <c r="M369" s="20"/>
      <c r="N369" s="20"/>
      <c r="O369" s="20"/>
      <c r="P369" s="20"/>
      <c r="Q369" s="20"/>
      <c r="R369" s="20"/>
      <c r="S369" s="20"/>
    </row>
    <row r="370">
      <c r="A370" s="20"/>
      <c r="B370" s="20"/>
      <c r="C370" s="20"/>
      <c r="D370" s="20"/>
      <c r="E370" s="20"/>
      <c r="F370" s="20"/>
      <c r="G370" s="20"/>
      <c r="H370" s="20"/>
      <c r="I370" s="20"/>
      <c r="J370" s="20"/>
      <c r="K370" s="20"/>
      <c r="L370" s="20"/>
      <c r="M370" s="20"/>
      <c r="N370" s="20"/>
      <c r="O370" s="20"/>
      <c r="P370" s="20"/>
      <c r="Q370" s="20"/>
      <c r="R370" s="20"/>
      <c r="S370" s="20"/>
    </row>
    <row r="371">
      <c r="A371" s="20"/>
      <c r="B371" s="20"/>
      <c r="C371" s="20"/>
      <c r="D371" s="20"/>
      <c r="E371" s="20"/>
      <c r="F371" s="20"/>
      <c r="G371" s="20"/>
      <c r="H371" s="20"/>
      <c r="I371" s="20"/>
      <c r="J371" s="20"/>
      <c r="K371" s="20"/>
      <c r="L371" s="20"/>
      <c r="M371" s="20"/>
      <c r="N371" s="20"/>
      <c r="O371" s="20"/>
      <c r="P371" s="20"/>
      <c r="Q371" s="20"/>
      <c r="R371" s="20"/>
      <c r="S371" s="20"/>
    </row>
    <row r="372">
      <c r="A372" s="20"/>
      <c r="B372" s="20"/>
      <c r="C372" s="20"/>
      <c r="D372" s="20"/>
      <c r="E372" s="20"/>
      <c r="F372" s="20"/>
      <c r="G372" s="20"/>
      <c r="H372" s="20"/>
      <c r="I372" s="20"/>
      <c r="J372" s="20"/>
      <c r="K372" s="20"/>
      <c r="L372" s="20"/>
      <c r="M372" s="20"/>
      <c r="N372" s="20"/>
      <c r="O372" s="20"/>
      <c r="P372" s="20"/>
      <c r="Q372" s="20"/>
      <c r="R372" s="20"/>
      <c r="S372" s="20"/>
    </row>
    <row r="373">
      <c r="A373" s="20"/>
      <c r="B373" s="20"/>
      <c r="C373" s="20"/>
      <c r="D373" s="20"/>
      <c r="E373" s="20"/>
      <c r="F373" s="20"/>
      <c r="G373" s="20"/>
      <c r="H373" s="20"/>
      <c r="I373" s="20"/>
      <c r="J373" s="20"/>
      <c r="K373" s="20"/>
      <c r="L373" s="20"/>
      <c r="M373" s="20"/>
      <c r="N373" s="20"/>
      <c r="O373" s="20"/>
      <c r="P373" s="20"/>
      <c r="Q373" s="20"/>
      <c r="R373" s="20"/>
      <c r="S373" s="20"/>
    </row>
    <row r="374">
      <c r="A374" s="20"/>
      <c r="B374" s="20"/>
      <c r="C374" s="20"/>
      <c r="D374" s="20"/>
      <c r="E374" s="20"/>
      <c r="F374" s="20"/>
      <c r="G374" s="20"/>
      <c r="H374" s="20"/>
      <c r="I374" s="20"/>
      <c r="J374" s="20"/>
      <c r="K374" s="20"/>
      <c r="L374" s="20"/>
      <c r="M374" s="20"/>
      <c r="N374" s="20"/>
      <c r="O374" s="20"/>
      <c r="P374" s="20"/>
      <c r="Q374" s="20"/>
      <c r="R374" s="20"/>
      <c r="S374" s="20"/>
    </row>
    <row r="375">
      <c r="A375" s="20"/>
      <c r="B375" s="20"/>
      <c r="C375" s="20"/>
      <c r="D375" s="20"/>
      <c r="E375" s="20"/>
      <c r="F375" s="20"/>
      <c r="G375" s="20"/>
      <c r="H375" s="20"/>
      <c r="I375" s="20"/>
      <c r="J375" s="20"/>
      <c r="K375" s="20"/>
      <c r="L375" s="20"/>
      <c r="M375" s="20"/>
      <c r="N375" s="20"/>
      <c r="O375" s="20"/>
      <c r="P375" s="20"/>
      <c r="Q375" s="20"/>
      <c r="R375" s="20"/>
      <c r="S375" s="20"/>
    </row>
    <row r="376">
      <c r="A376" s="20"/>
      <c r="B376" s="20"/>
      <c r="C376" s="20"/>
      <c r="D376" s="20"/>
      <c r="E376" s="20"/>
      <c r="F376" s="20"/>
      <c r="G376" s="20"/>
      <c r="H376" s="20"/>
      <c r="I376" s="20"/>
      <c r="J376" s="20"/>
      <c r="K376" s="20"/>
      <c r="L376" s="20"/>
      <c r="M376" s="20"/>
      <c r="N376" s="20"/>
      <c r="O376" s="20"/>
      <c r="P376" s="20"/>
      <c r="Q376" s="20"/>
      <c r="R376" s="20"/>
      <c r="S376" s="20"/>
    </row>
    <row r="377">
      <c r="A377" s="20"/>
      <c r="B377" s="20"/>
      <c r="C377" s="20"/>
      <c r="D377" s="20"/>
      <c r="E377" s="20"/>
      <c r="F377" s="20"/>
      <c r="G377" s="20"/>
      <c r="H377" s="20"/>
      <c r="I377" s="20"/>
      <c r="J377" s="20"/>
      <c r="K377" s="20"/>
      <c r="L377" s="20"/>
      <c r="M377" s="20"/>
      <c r="N377" s="20"/>
      <c r="O377" s="20"/>
      <c r="P377" s="20"/>
      <c r="Q377" s="20"/>
      <c r="R377" s="20"/>
      <c r="S377" s="20"/>
    </row>
    <row r="378">
      <c r="A378" s="20"/>
      <c r="B378" s="20"/>
      <c r="C378" s="20"/>
      <c r="D378" s="20"/>
      <c r="E378" s="20"/>
      <c r="F378" s="20"/>
      <c r="G378" s="20"/>
      <c r="H378" s="20"/>
      <c r="I378" s="20"/>
      <c r="J378" s="20"/>
      <c r="K378" s="20"/>
      <c r="L378" s="20"/>
      <c r="M378" s="20"/>
      <c r="N378" s="20"/>
      <c r="O378" s="20"/>
      <c r="P378" s="20"/>
      <c r="Q378" s="20"/>
      <c r="R378" s="20"/>
      <c r="S378" s="20"/>
    </row>
    <row r="379">
      <c r="A379" s="20"/>
      <c r="B379" s="20"/>
      <c r="C379" s="20"/>
      <c r="D379" s="20"/>
      <c r="E379" s="20"/>
      <c r="F379" s="20"/>
      <c r="G379" s="20"/>
      <c r="H379" s="20"/>
      <c r="I379" s="20"/>
      <c r="J379" s="20"/>
      <c r="K379" s="20"/>
      <c r="L379" s="20"/>
      <c r="M379" s="20"/>
      <c r="N379" s="20"/>
      <c r="O379" s="20"/>
      <c r="P379" s="20"/>
      <c r="Q379" s="20"/>
      <c r="R379" s="20"/>
      <c r="S379" s="20"/>
    </row>
    <row r="380">
      <c r="A380" s="20"/>
      <c r="B380" s="20"/>
      <c r="C380" s="20"/>
      <c r="D380" s="20"/>
      <c r="E380" s="20"/>
      <c r="F380" s="20"/>
      <c r="G380" s="20"/>
      <c r="H380" s="20"/>
      <c r="I380" s="20"/>
      <c r="J380" s="20"/>
      <c r="K380" s="20"/>
      <c r="L380" s="20"/>
      <c r="M380" s="20"/>
      <c r="N380" s="20"/>
      <c r="O380" s="20"/>
      <c r="P380" s="20"/>
      <c r="Q380" s="20"/>
      <c r="R380" s="20"/>
      <c r="S380" s="20"/>
    </row>
    <row r="381">
      <c r="A381" s="20"/>
      <c r="B381" s="20"/>
      <c r="C381" s="20"/>
      <c r="D381" s="20"/>
      <c r="E381" s="20"/>
      <c r="F381" s="20"/>
      <c r="G381" s="20"/>
      <c r="H381" s="20"/>
      <c r="I381" s="20"/>
      <c r="J381" s="20"/>
      <c r="K381" s="20"/>
      <c r="L381" s="20"/>
      <c r="M381" s="20"/>
      <c r="N381" s="20"/>
      <c r="O381" s="20"/>
      <c r="P381" s="20"/>
      <c r="Q381" s="20"/>
      <c r="R381" s="20"/>
      <c r="S381" s="20"/>
    </row>
    <row r="382">
      <c r="A382" s="20"/>
      <c r="B382" s="20"/>
      <c r="C382" s="20"/>
      <c r="D382" s="20"/>
      <c r="E382" s="20"/>
      <c r="F382" s="20"/>
      <c r="G382" s="20"/>
      <c r="H382" s="20"/>
      <c r="I382" s="20"/>
      <c r="J382" s="20"/>
      <c r="K382" s="20"/>
      <c r="L382" s="20"/>
      <c r="M382" s="20"/>
      <c r="N382" s="20"/>
      <c r="O382" s="20"/>
      <c r="P382" s="20"/>
      <c r="Q382" s="20"/>
      <c r="R382" s="20"/>
      <c r="S382" s="20"/>
    </row>
    <row r="383">
      <c r="A383" s="20"/>
      <c r="B383" s="20"/>
      <c r="C383" s="20"/>
      <c r="D383" s="20"/>
      <c r="E383" s="20"/>
      <c r="F383" s="20"/>
      <c r="G383" s="20"/>
      <c r="H383" s="20"/>
      <c r="I383" s="20"/>
      <c r="J383" s="20"/>
      <c r="K383" s="20"/>
      <c r="L383" s="20"/>
      <c r="M383" s="20"/>
      <c r="N383" s="20"/>
      <c r="O383" s="20"/>
      <c r="P383" s="20"/>
      <c r="Q383" s="20"/>
      <c r="R383" s="20"/>
      <c r="S383" s="20"/>
    </row>
    <row r="384">
      <c r="A384" s="20"/>
      <c r="B384" s="20"/>
      <c r="C384" s="20"/>
      <c r="D384" s="20"/>
      <c r="E384" s="20"/>
      <c r="F384" s="20"/>
      <c r="G384" s="20"/>
      <c r="H384" s="20"/>
      <c r="I384" s="20"/>
      <c r="J384" s="20"/>
      <c r="K384" s="20"/>
      <c r="L384" s="20"/>
      <c r="M384" s="20"/>
      <c r="N384" s="20"/>
      <c r="O384" s="20"/>
      <c r="P384" s="20"/>
      <c r="Q384" s="20"/>
      <c r="R384" s="20"/>
      <c r="S384" s="20"/>
    </row>
    <row r="385">
      <c r="A385" s="20"/>
      <c r="B385" s="20"/>
      <c r="C385" s="20"/>
      <c r="D385" s="20"/>
      <c r="E385" s="20"/>
      <c r="F385" s="20"/>
      <c r="G385" s="20"/>
      <c r="H385" s="20"/>
      <c r="I385" s="20"/>
      <c r="J385" s="20"/>
      <c r="K385" s="20"/>
      <c r="L385" s="20"/>
      <c r="M385" s="20"/>
      <c r="N385" s="20"/>
      <c r="O385" s="20"/>
      <c r="P385" s="20"/>
      <c r="Q385" s="20"/>
      <c r="R385" s="20"/>
      <c r="S385" s="20"/>
    </row>
    <row r="386">
      <c r="A386" s="20"/>
      <c r="B386" s="20"/>
      <c r="C386" s="20"/>
      <c r="D386" s="20"/>
      <c r="E386" s="20"/>
      <c r="F386" s="20"/>
      <c r="G386" s="20"/>
      <c r="H386" s="20"/>
      <c r="I386" s="20"/>
      <c r="J386" s="20"/>
      <c r="K386" s="20"/>
      <c r="L386" s="20"/>
      <c r="M386" s="20"/>
      <c r="N386" s="20"/>
      <c r="O386" s="20"/>
      <c r="P386" s="20"/>
      <c r="Q386" s="20"/>
      <c r="R386" s="20"/>
      <c r="S386" s="20"/>
    </row>
    <row r="387">
      <c r="A387" s="20"/>
      <c r="B387" s="20"/>
      <c r="C387" s="20"/>
      <c r="D387" s="20"/>
      <c r="E387" s="20"/>
      <c r="F387" s="20"/>
      <c r="G387" s="20"/>
      <c r="H387" s="20"/>
      <c r="I387" s="20"/>
      <c r="J387" s="20"/>
      <c r="K387" s="20"/>
      <c r="L387" s="20"/>
      <c r="M387" s="20"/>
      <c r="N387" s="20"/>
      <c r="O387" s="20"/>
      <c r="P387" s="20"/>
      <c r="Q387" s="20"/>
      <c r="R387" s="20"/>
      <c r="S387" s="20"/>
    </row>
    <row r="388">
      <c r="A388" s="20"/>
      <c r="B388" s="20"/>
      <c r="C388" s="20"/>
      <c r="D388" s="20"/>
      <c r="E388" s="20"/>
      <c r="F388" s="20"/>
      <c r="G388" s="20"/>
      <c r="H388" s="20"/>
      <c r="I388" s="20"/>
      <c r="J388" s="20"/>
      <c r="K388" s="20"/>
      <c r="L388" s="20"/>
      <c r="M388" s="20"/>
      <c r="N388" s="20"/>
      <c r="O388" s="20"/>
      <c r="P388" s="20"/>
      <c r="Q388" s="20"/>
      <c r="R388" s="20"/>
      <c r="S388" s="20"/>
    </row>
    <row r="389">
      <c r="A389" s="20"/>
      <c r="B389" s="20"/>
      <c r="C389" s="20"/>
      <c r="D389" s="20"/>
      <c r="E389" s="20"/>
      <c r="F389" s="20"/>
      <c r="G389" s="20"/>
      <c r="H389" s="20"/>
      <c r="I389" s="20"/>
      <c r="J389" s="20"/>
      <c r="K389" s="20"/>
      <c r="L389" s="20"/>
      <c r="M389" s="20"/>
      <c r="N389" s="20"/>
      <c r="O389" s="20"/>
      <c r="P389" s="20"/>
      <c r="Q389" s="20"/>
      <c r="R389" s="20"/>
      <c r="S389" s="20"/>
    </row>
    <row r="390">
      <c r="A390" s="20"/>
      <c r="B390" s="20"/>
      <c r="C390" s="20"/>
      <c r="D390" s="20"/>
      <c r="E390" s="20"/>
      <c r="F390" s="20"/>
      <c r="G390" s="20"/>
      <c r="H390" s="20"/>
      <c r="I390" s="20"/>
      <c r="J390" s="20"/>
      <c r="K390" s="20"/>
      <c r="L390" s="20"/>
      <c r="M390" s="20"/>
      <c r="N390" s="20"/>
      <c r="O390" s="20"/>
      <c r="P390" s="20"/>
      <c r="Q390" s="20"/>
      <c r="R390" s="20"/>
      <c r="S390" s="20"/>
    </row>
    <row r="391">
      <c r="A391" s="20"/>
      <c r="B391" s="20"/>
      <c r="C391" s="20"/>
      <c r="D391" s="20"/>
      <c r="E391" s="20"/>
      <c r="F391" s="20"/>
      <c r="G391" s="20"/>
      <c r="H391" s="20"/>
      <c r="I391" s="20"/>
      <c r="J391" s="20"/>
      <c r="K391" s="20"/>
      <c r="L391" s="20"/>
      <c r="M391" s="20"/>
      <c r="N391" s="20"/>
      <c r="O391" s="20"/>
      <c r="P391" s="20"/>
      <c r="Q391" s="20"/>
      <c r="R391" s="20"/>
      <c r="S391" s="20"/>
    </row>
    <row r="392">
      <c r="A392" s="20"/>
      <c r="B392" s="20"/>
      <c r="C392" s="20"/>
      <c r="D392" s="20"/>
      <c r="E392" s="20"/>
      <c r="F392" s="20"/>
      <c r="G392" s="20"/>
      <c r="H392" s="20"/>
      <c r="I392" s="20"/>
      <c r="J392" s="20"/>
      <c r="K392" s="20"/>
      <c r="L392" s="20"/>
      <c r="M392" s="20"/>
      <c r="N392" s="20"/>
      <c r="O392" s="20"/>
      <c r="P392" s="20"/>
      <c r="Q392" s="20"/>
      <c r="R392" s="20"/>
      <c r="S392" s="20"/>
    </row>
    <row r="393">
      <c r="A393" s="20"/>
      <c r="B393" s="20"/>
      <c r="C393" s="20"/>
      <c r="D393" s="20"/>
      <c r="E393" s="20"/>
      <c r="F393" s="20"/>
      <c r="G393" s="20"/>
      <c r="H393" s="20"/>
      <c r="I393" s="20"/>
      <c r="J393" s="20"/>
      <c r="K393" s="20"/>
      <c r="L393" s="20"/>
      <c r="M393" s="20"/>
      <c r="N393" s="20"/>
      <c r="O393" s="20"/>
      <c r="P393" s="20"/>
      <c r="Q393" s="20"/>
      <c r="R393" s="20"/>
      <c r="S393" s="20"/>
    </row>
    <row r="394">
      <c r="A394" s="20"/>
      <c r="B394" s="20"/>
      <c r="C394" s="20"/>
      <c r="D394" s="20"/>
      <c r="E394" s="20"/>
      <c r="F394" s="20"/>
      <c r="G394" s="20"/>
      <c r="H394" s="20"/>
      <c r="I394" s="20"/>
      <c r="J394" s="20"/>
      <c r="K394" s="20"/>
      <c r="L394" s="20"/>
      <c r="M394" s="20"/>
      <c r="N394" s="20"/>
      <c r="O394" s="20"/>
      <c r="P394" s="20"/>
      <c r="Q394" s="20"/>
      <c r="R394" s="20"/>
      <c r="S394" s="20"/>
    </row>
    <row r="395">
      <c r="A395" s="20"/>
      <c r="B395" s="20"/>
      <c r="C395" s="20"/>
      <c r="D395" s="20"/>
      <c r="E395" s="20"/>
      <c r="F395" s="20"/>
      <c r="G395" s="20"/>
      <c r="H395" s="20"/>
      <c r="I395" s="20"/>
      <c r="J395" s="20"/>
      <c r="K395" s="20"/>
      <c r="L395" s="20"/>
      <c r="M395" s="20"/>
      <c r="N395" s="20"/>
      <c r="O395" s="20"/>
      <c r="P395" s="20"/>
      <c r="Q395" s="20"/>
      <c r="R395" s="20"/>
      <c r="S395" s="20"/>
    </row>
    <row r="396">
      <c r="A396" s="20"/>
      <c r="B396" s="20"/>
      <c r="C396" s="20"/>
      <c r="D396" s="20"/>
      <c r="E396" s="20"/>
      <c r="F396" s="20"/>
      <c r="G396" s="20"/>
      <c r="H396" s="20"/>
      <c r="I396" s="20"/>
      <c r="J396" s="20"/>
      <c r="K396" s="20"/>
      <c r="L396" s="20"/>
      <c r="M396" s="20"/>
      <c r="N396" s="20"/>
      <c r="O396" s="20"/>
      <c r="P396" s="20"/>
      <c r="Q396" s="20"/>
      <c r="R396" s="20"/>
      <c r="S396" s="20"/>
    </row>
    <row r="397">
      <c r="A397" s="20"/>
      <c r="B397" s="20"/>
      <c r="C397" s="20"/>
      <c r="D397" s="20"/>
      <c r="E397" s="20"/>
      <c r="F397" s="20"/>
      <c r="G397" s="20"/>
      <c r="H397" s="20"/>
      <c r="I397" s="20"/>
      <c r="J397" s="20"/>
      <c r="K397" s="20"/>
      <c r="L397" s="20"/>
      <c r="M397" s="20"/>
      <c r="N397" s="20"/>
      <c r="O397" s="20"/>
      <c r="P397" s="20"/>
      <c r="Q397" s="20"/>
      <c r="R397" s="20"/>
      <c r="S397" s="20"/>
    </row>
    <row r="398">
      <c r="A398" s="20"/>
      <c r="B398" s="20"/>
      <c r="C398" s="20"/>
      <c r="D398" s="20"/>
      <c r="E398" s="20"/>
      <c r="F398" s="20"/>
      <c r="G398" s="20"/>
      <c r="H398" s="20"/>
      <c r="I398" s="20"/>
      <c r="J398" s="20"/>
      <c r="K398" s="20"/>
      <c r="L398" s="20"/>
      <c r="M398" s="20"/>
      <c r="N398" s="20"/>
      <c r="O398" s="20"/>
      <c r="P398" s="20"/>
      <c r="Q398" s="20"/>
      <c r="R398" s="20"/>
      <c r="S398" s="20"/>
    </row>
    <row r="399">
      <c r="A399" s="20"/>
      <c r="B399" s="20"/>
      <c r="C399" s="20"/>
      <c r="D399" s="20"/>
      <c r="E399" s="20"/>
      <c r="F399" s="20"/>
      <c r="G399" s="20"/>
      <c r="H399" s="20"/>
      <c r="I399" s="20"/>
      <c r="J399" s="20"/>
      <c r="K399" s="20"/>
      <c r="L399" s="20"/>
      <c r="M399" s="20"/>
      <c r="N399" s="20"/>
      <c r="O399" s="20"/>
      <c r="P399" s="20"/>
      <c r="Q399" s="20"/>
      <c r="R399" s="20"/>
      <c r="S399" s="20"/>
    </row>
    <row r="400">
      <c r="A400" s="20"/>
      <c r="B400" s="20"/>
      <c r="C400" s="20"/>
      <c r="D400" s="20"/>
      <c r="E400" s="20"/>
      <c r="F400" s="20"/>
      <c r="G400" s="20"/>
      <c r="H400" s="20"/>
      <c r="I400" s="20"/>
      <c r="J400" s="20"/>
      <c r="K400" s="20"/>
      <c r="L400" s="20"/>
      <c r="M400" s="20"/>
      <c r="N400" s="20"/>
      <c r="O400" s="20"/>
      <c r="P400" s="20"/>
      <c r="Q400" s="20"/>
      <c r="R400" s="20"/>
      <c r="S400" s="20"/>
    </row>
    <row r="401">
      <c r="A401" s="20"/>
      <c r="B401" s="20"/>
      <c r="C401" s="20"/>
      <c r="D401" s="20"/>
      <c r="E401" s="20"/>
      <c r="F401" s="20"/>
      <c r="G401" s="20"/>
      <c r="H401" s="20"/>
      <c r="I401" s="20"/>
      <c r="J401" s="20"/>
      <c r="K401" s="20"/>
      <c r="L401" s="20"/>
      <c r="M401" s="20"/>
      <c r="N401" s="20"/>
      <c r="O401" s="20"/>
      <c r="P401" s="20"/>
      <c r="Q401" s="20"/>
      <c r="R401" s="20"/>
      <c r="S401" s="20"/>
    </row>
    <row r="402">
      <c r="A402" s="20"/>
      <c r="B402" s="20"/>
      <c r="C402" s="20"/>
      <c r="D402" s="20"/>
      <c r="E402" s="20"/>
      <c r="F402" s="20"/>
      <c r="G402" s="20"/>
      <c r="H402" s="20"/>
      <c r="I402" s="20"/>
      <c r="J402" s="20"/>
      <c r="K402" s="20"/>
      <c r="L402" s="20"/>
      <c r="M402" s="20"/>
      <c r="N402" s="20"/>
      <c r="O402" s="20"/>
      <c r="P402" s="20"/>
      <c r="Q402" s="20"/>
      <c r="R402" s="20"/>
      <c r="S402" s="20"/>
    </row>
    <row r="403">
      <c r="A403" s="20"/>
      <c r="B403" s="20"/>
      <c r="C403" s="20"/>
      <c r="D403" s="20"/>
      <c r="E403" s="20"/>
      <c r="F403" s="20"/>
      <c r="G403" s="20"/>
      <c r="H403" s="20"/>
      <c r="I403" s="20"/>
      <c r="J403" s="20"/>
      <c r="K403" s="20"/>
      <c r="L403" s="20"/>
      <c r="M403" s="20"/>
      <c r="N403" s="20"/>
      <c r="O403" s="20"/>
      <c r="P403" s="20"/>
      <c r="Q403" s="20"/>
      <c r="R403" s="20"/>
      <c r="S403" s="20"/>
    </row>
    <row r="404">
      <c r="A404" s="20"/>
      <c r="B404" s="20"/>
      <c r="C404" s="20"/>
      <c r="D404" s="20"/>
      <c r="E404" s="20"/>
      <c r="F404" s="20"/>
      <c r="G404" s="20"/>
      <c r="H404" s="20"/>
      <c r="I404" s="20"/>
      <c r="J404" s="20"/>
      <c r="K404" s="20"/>
      <c r="L404" s="20"/>
      <c r="M404" s="20"/>
      <c r="N404" s="20"/>
      <c r="O404" s="20"/>
      <c r="P404" s="20"/>
      <c r="Q404" s="20"/>
      <c r="R404" s="20"/>
      <c r="S404" s="20"/>
    </row>
    <row r="405">
      <c r="A405" s="20"/>
      <c r="B405" s="20"/>
      <c r="C405" s="20"/>
      <c r="D405" s="20"/>
      <c r="E405" s="20"/>
      <c r="F405" s="20"/>
      <c r="G405" s="20"/>
      <c r="H405" s="20"/>
      <c r="I405" s="20"/>
      <c r="J405" s="20"/>
      <c r="K405" s="20"/>
      <c r="L405" s="20"/>
      <c r="M405" s="20"/>
      <c r="N405" s="20"/>
      <c r="O405" s="20"/>
      <c r="P405" s="20"/>
      <c r="Q405" s="20"/>
      <c r="R405" s="20"/>
      <c r="S405" s="20"/>
    </row>
    <row r="406">
      <c r="A406" s="20"/>
      <c r="B406" s="20"/>
      <c r="C406" s="20"/>
      <c r="D406" s="20"/>
      <c r="E406" s="20"/>
      <c r="F406" s="20"/>
      <c r="G406" s="20"/>
      <c r="H406" s="20"/>
      <c r="I406" s="20"/>
      <c r="J406" s="20"/>
      <c r="K406" s="20"/>
      <c r="L406" s="20"/>
      <c r="M406" s="20"/>
      <c r="N406" s="20"/>
      <c r="O406" s="20"/>
      <c r="P406" s="20"/>
      <c r="Q406" s="20"/>
      <c r="R406" s="20"/>
      <c r="S406" s="20"/>
    </row>
    <row r="407">
      <c r="A407" s="20"/>
      <c r="B407" s="20"/>
      <c r="C407" s="20"/>
      <c r="D407" s="20"/>
      <c r="E407" s="20"/>
      <c r="F407" s="20"/>
      <c r="G407" s="20"/>
      <c r="H407" s="20"/>
      <c r="I407" s="20"/>
      <c r="J407" s="20"/>
      <c r="K407" s="20"/>
      <c r="L407" s="20"/>
      <c r="M407" s="20"/>
      <c r="N407" s="20"/>
      <c r="O407" s="20"/>
      <c r="P407" s="20"/>
      <c r="Q407" s="20"/>
      <c r="R407" s="20"/>
      <c r="S407" s="20"/>
    </row>
    <row r="408">
      <c r="A408" s="20"/>
      <c r="B408" s="20"/>
      <c r="C408" s="20"/>
      <c r="D408" s="20"/>
      <c r="E408" s="20"/>
      <c r="F408" s="20"/>
      <c r="G408" s="20"/>
      <c r="H408" s="20"/>
      <c r="I408" s="20"/>
      <c r="J408" s="20"/>
      <c r="K408" s="20"/>
      <c r="L408" s="20"/>
      <c r="M408" s="20"/>
      <c r="N408" s="20"/>
      <c r="O408" s="20"/>
      <c r="P408" s="20"/>
      <c r="Q408" s="20"/>
      <c r="R408" s="20"/>
      <c r="S408" s="20"/>
    </row>
    <row r="409">
      <c r="A409" s="20"/>
      <c r="B409" s="20"/>
      <c r="C409" s="20"/>
      <c r="D409" s="20"/>
      <c r="E409" s="20"/>
      <c r="F409" s="20"/>
      <c r="G409" s="20"/>
      <c r="H409" s="20"/>
      <c r="I409" s="20"/>
      <c r="J409" s="20"/>
      <c r="K409" s="20"/>
      <c r="L409" s="20"/>
      <c r="M409" s="20"/>
      <c r="N409" s="20"/>
      <c r="O409" s="20"/>
      <c r="P409" s="20"/>
      <c r="Q409" s="20"/>
      <c r="R409" s="20"/>
      <c r="S409" s="20"/>
    </row>
    <row r="410">
      <c r="A410" s="20"/>
      <c r="B410" s="20"/>
      <c r="C410" s="20"/>
      <c r="D410" s="20"/>
      <c r="E410" s="20"/>
      <c r="F410" s="20"/>
      <c r="G410" s="20"/>
      <c r="H410" s="20"/>
      <c r="I410" s="20"/>
      <c r="J410" s="20"/>
      <c r="K410" s="20"/>
      <c r="L410" s="20"/>
      <c r="M410" s="20"/>
      <c r="N410" s="20"/>
      <c r="O410" s="20"/>
      <c r="P410" s="20"/>
      <c r="Q410" s="20"/>
      <c r="R410" s="20"/>
      <c r="S410" s="20"/>
    </row>
    <row r="411">
      <c r="A411" s="20"/>
      <c r="B411" s="20"/>
      <c r="C411" s="20"/>
      <c r="D411" s="20"/>
      <c r="E411" s="20"/>
      <c r="F411" s="20"/>
      <c r="G411" s="20"/>
      <c r="H411" s="20"/>
      <c r="I411" s="20"/>
      <c r="J411" s="20"/>
      <c r="K411" s="20"/>
      <c r="L411" s="20"/>
      <c r="M411" s="20"/>
      <c r="N411" s="20"/>
      <c r="O411" s="20"/>
      <c r="P411" s="20"/>
      <c r="Q411" s="20"/>
      <c r="R411" s="20"/>
      <c r="S411" s="20"/>
    </row>
    <row r="412">
      <c r="A412" s="20"/>
      <c r="B412" s="20"/>
      <c r="C412" s="20"/>
      <c r="D412" s="20"/>
      <c r="E412" s="20"/>
      <c r="F412" s="20"/>
      <c r="G412" s="20"/>
      <c r="H412" s="20"/>
      <c r="I412" s="20"/>
      <c r="J412" s="20"/>
      <c r="K412" s="20"/>
      <c r="L412" s="20"/>
      <c r="M412" s="20"/>
      <c r="N412" s="20"/>
      <c r="O412" s="20"/>
      <c r="P412" s="20"/>
      <c r="Q412" s="20"/>
      <c r="R412" s="20"/>
      <c r="S412" s="20"/>
    </row>
    <row r="413">
      <c r="A413" s="20"/>
      <c r="B413" s="20"/>
      <c r="C413" s="20"/>
      <c r="D413" s="20"/>
      <c r="E413" s="20"/>
      <c r="F413" s="20"/>
      <c r="G413" s="20"/>
      <c r="H413" s="20"/>
      <c r="I413" s="20"/>
      <c r="J413" s="20"/>
      <c r="K413" s="20"/>
      <c r="L413" s="20"/>
      <c r="M413" s="20"/>
      <c r="N413" s="20"/>
      <c r="O413" s="20"/>
      <c r="P413" s="20"/>
      <c r="Q413" s="20"/>
      <c r="R413" s="20"/>
      <c r="S413" s="20"/>
    </row>
    <row r="414">
      <c r="A414" s="20"/>
      <c r="B414" s="20"/>
      <c r="C414" s="20"/>
      <c r="D414" s="20"/>
      <c r="E414" s="20"/>
      <c r="F414" s="20"/>
      <c r="G414" s="20"/>
      <c r="H414" s="20"/>
      <c r="I414" s="20"/>
      <c r="J414" s="20"/>
      <c r="K414" s="20"/>
      <c r="L414" s="20"/>
      <c r="M414" s="20"/>
      <c r="N414" s="20"/>
      <c r="O414" s="20"/>
      <c r="P414" s="20"/>
      <c r="Q414" s="20"/>
      <c r="R414" s="20"/>
      <c r="S414" s="20"/>
    </row>
    <row r="415">
      <c r="A415" s="20"/>
      <c r="B415" s="20"/>
      <c r="C415" s="20"/>
      <c r="D415" s="20"/>
      <c r="E415" s="20"/>
      <c r="F415" s="20"/>
      <c r="G415" s="20"/>
      <c r="H415" s="20"/>
      <c r="I415" s="20"/>
      <c r="J415" s="20"/>
      <c r="K415" s="20"/>
      <c r="L415" s="20"/>
      <c r="M415" s="20"/>
      <c r="N415" s="20"/>
      <c r="O415" s="20"/>
      <c r="P415" s="20"/>
      <c r="Q415" s="20"/>
      <c r="R415" s="20"/>
      <c r="S415" s="20"/>
    </row>
    <row r="416">
      <c r="A416" s="20"/>
      <c r="B416" s="20"/>
      <c r="C416" s="20"/>
      <c r="D416" s="20"/>
      <c r="E416" s="20"/>
      <c r="F416" s="20"/>
      <c r="G416" s="20"/>
      <c r="H416" s="20"/>
      <c r="I416" s="20"/>
      <c r="J416" s="20"/>
      <c r="K416" s="20"/>
      <c r="L416" s="20"/>
      <c r="M416" s="20"/>
      <c r="N416" s="20"/>
      <c r="O416" s="20"/>
      <c r="P416" s="20"/>
      <c r="Q416" s="20"/>
      <c r="R416" s="20"/>
      <c r="S416" s="20"/>
    </row>
    <row r="417">
      <c r="A417" s="20"/>
      <c r="B417" s="20"/>
      <c r="C417" s="20"/>
      <c r="D417" s="20"/>
      <c r="E417" s="20"/>
      <c r="F417" s="20"/>
      <c r="G417" s="20"/>
      <c r="H417" s="20"/>
      <c r="I417" s="20"/>
      <c r="J417" s="20"/>
      <c r="K417" s="20"/>
      <c r="L417" s="20"/>
      <c r="M417" s="20"/>
      <c r="N417" s="20"/>
      <c r="O417" s="20"/>
      <c r="P417" s="20"/>
      <c r="Q417" s="20"/>
      <c r="R417" s="20"/>
      <c r="S417" s="20"/>
    </row>
    <row r="418">
      <c r="A418" s="20"/>
      <c r="B418" s="20"/>
      <c r="C418" s="20"/>
      <c r="D418" s="20"/>
      <c r="E418" s="20"/>
      <c r="F418" s="20"/>
      <c r="G418" s="20"/>
      <c r="H418" s="20"/>
      <c r="I418" s="20"/>
      <c r="J418" s="20"/>
      <c r="K418" s="20"/>
      <c r="L418" s="20"/>
      <c r="M418" s="20"/>
      <c r="N418" s="20"/>
      <c r="O418" s="20"/>
      <c r="P418" s="20"/>
      <c r="Q418" s="20"/>
      <c r="R418" s="20"/>
      <c r="S418" s="20"/>
    </row>
    <row r="419">
      <c r="A419" s="20"/>
      <c r="B419" s="20"/>
      <c r="C419" s="20"/>
      <c r="D419" s="20"/>
      <c r="E419" s="20"/>
      <c r="F419" s="20"/>
      <c r="G419" s="20"/>
      <c r="H419" s="20"/>
      <c r="I419" s="20"/>
      <c r="J419" s="20"/>
      <c r="K419" s="20"/>
      <c r="L419" s="20"/>
      <c r="M419" s="20"/>
      <c r="N419" s="20"/>
      <c r="O419" s="20"/>
      <c r="P419" s="20"/>
      <c r="Q419" s="20"/>
      <c r="R419" s="20"/>
      <c r="S419" s="20"/>
    </row>
    <row r="420">
      <c r="A420" s="20"/>
      <c r="B420" s="20"/>
      <c r="C420" s="20"/>
      <c r="D420" s="20"/>
      <c r="E420" s="20"/>
      <c r="F420" s="20"/>
      <c r="G420" s="20"/>
      <c r="H420" s="20"/>
      <c r="I420" s="20"/>
      <c r="J420" s="20"/>
      <c r="K420" s="20"/>
      <c r="L420" s="20"/>
      <c r="M420" s="20"/>
      <c r="N420" s="20"/>
      <c r="O420" s="20"/>
      <c r="P420" s="20"/>
      <c r="Q420" s="20"/>
      <c r="R420" s="20"/>
      <c r="S420" s="20"/>
    </row>
    <row r="421">
      <c r="A421" s="20"/>
      <c r="B421" s="20"/>
      <c r="C421" s="20"/>
      <c r="D421" s="20"/>
      <c r="E421" s="20"/>
      <c r="F421" s="20"/>
      <c r="G421" s="20"/>
      <c r="H421" s="20"/>
      <c r="I421" s="20"/>
      <c r="J421" s="20"/>
      <c r="K421" s="20"/>
      <c r="L421" s="20"/>
      <c r="M421" s="20"/>
      <c r="N421" s="20"/>
      <c r="O421" s="20"/>
      <c r="P421" s="20"/>
      <c r="Q421" s="20"/>
      <c r="R421" s="20"/>
      <c r="S421" s="20"/>
    </row>
    <row r="422">
      <c r="A422" s="20"/>
      <c r="B422" s="20"/>
      <c r="C422" s="20"/>
      <c r="D422" s="20"/>
      <c r="E422" s="20"/>
      <c r="F422" s="20"/>
      <c r="G422" s="20"/>
      <c r="H422" s="20"/>
      <c r="I422" s="20"/>
      <c r="J422" s="20"/>
      <c r="K422" s="20"/>
      <c r="L422" s="20"/>
      <c r="M422" s="20"/>
      <c r="N422" s="20"/>
      <c r="O422" s="20"/>
      <c r="P422" s="20"/>
      <c r="Q422" s="20"/>
      <c r="R422" s="20"/>
      <c r="S422" s="20"/>
    </row>
    <row r="423">
      <c r="A423" s="20"/>
      <c r="B423" s="20"/>
      <c r="C423" s="20"/>
      <c r="D423" s="20"/>
      <c r="E423" s="20"/>
      <c r="F423" s="20"/>
      <c r="G423" s="20"/>
      <c r="H423" s="20"/>
      <c r="I423" s="20"/>
      <c r="J423" s="20"/>
      <c r="K423" s="20"/>
      <c r="L423" s="20"/>
      <c r="M423" s="20"/>
      <c r="N423" s="20"/>
      <c r="O423" s="20"/>
      <c r="P423" s="20"/>
      <c r="Q423" s="20"/>
      <c r="R423" s="20"/>
      <c r="S423" s="20"/>
    </row>
    <row r="424">
      <c r="A424" s="20"/>
      <c r="B424" s="20"/>
      <c r="C424" s="20"/>
      <c r="D424" s="20"/>
      <c r="E424" s="20"/>
      <c r="F424" s="20"/>
      <c r="G424" s="20"/>
      <c r="H424" s="20"/>
      <c r="I424" s="20"/>
      <c r="J424" s="20"/>
      <c r="K424" s="20"/>
      <c r="L424" s="20"/>
      <c r="M424" s="20"/>
      <c r="N424" s="20"/>
      <c r="O424" s="20"/>
      <c r="P424" s="20"/>
      <c r="Q424" s="20"/>
      <c r="R424" s="20"/>
      <c r="S424" s="20"/>
    </row>
    <row r="425">
      <c r="A425" s="20"/>
      <c r="B425" s="20"/>
      <c r="C425" s="20"/>
      <c r="D425" s="20"/>
      <c r="E425" s="20"/>
      <c r="F425" s="20"/>
      <c r="G425" s="20"/>
      <c r="H425" s="20"/>
      <c r="I425" s="20"/>
      <c r="J425" s="20"/>
      <c r="K425" s="20"/>
      <c r="L425" s="20"/>
      <c r="M425" s="20"/>
      <c r="N425" s="20"/>
      <c r="O425" s="20"/>
      <c r="P425" s="20"/>
      <c r="Q425" s="20"/>
      <c r="R425" s="20"/>
      <c r="S425" s="20"/>
    </row>
    <row r="426">
      <c r="A426" s="20"/>
      <c r="B426" s="20"/>
      <c r="C426" s="20"/>
      <c r="D426" s="20"/>
      <c r="E426" s="20"/>
      <c r="F426" s="20"/>
      <c r="G426" s="20"/>
      <c r="H426" s="20"/>
      <c r="I426" s="20"/>
      <c r="J426" s="20"/>
      <c r="K426" s="20"/>
      <c r="L426" s="20"/>
      <c r="M426" s="20"/>
      <c r="N426" s="20"/>
      <c r="O426" s="20"/>
      <c r="P426" s="20"/>
      <c r="Q426" s="20"/>
      <c r="R426" s="20"/>
      <c r="S426" s="20"/>
    </row>
    <row r="427">
      <c r="A427" s="20"/>
      <c r="B427" s="20"/>
      <c r="C427" s="20"/>
      <c r="D427" s="20"/>
      <c r="E427" s="20"/>
      <c r="F427" s="20"/>
      <c r="G427" s="20"/>
      <c r="H427" s="20"/>
      <c r="I427" s="20"/>
      <c r="J427" s="20"/>
      <c r="K427" s="20"/>
      <c r="L427" s="20"/>
      <c r="M427" s="20"/>
      <c r="N427" s="20"/>
      <c r="O427" s="20"/>
      <c r="P427" s="20"/>
      <c r="Q427" s="20"/>
      <c r="R427" s="20"/>
      <c r="S427" s="20"/>
    </row>
    <row r="428">
      <c r="A428" s="20"/>
      <c r="B428" s="20"/>
      <c r="C428" s="20"/>
      <c r="D428" s="20"/>
      <c r="E428" s="20"/>
      <c r="F428" s="20"/>
      <c r="G428" s="20"/>
      <c r="H428" s="20"/>
      <c r="I428" s="20"/>
      <c r="J428" s="20"/>
      <c r="K428" s="20"/>
      <c r="L428" s="20"/>
      <c r="M428" s="20"/>
      <c r="N428" s="20"/>
      <c r="O428" s="20"/>
      <c r="P428" s="20"/>
      <c r="Q428" s="20"/>
      <c r="R428" s="20"/>
      <c r="S428" s="20"/>
    </row>
    <row r="429">
      <c r="A429" s="20"/>
      <c r="B429" s="20"/>
      <c r="C429" s="20"/>
      <c r="D429" s="20"/>
      <c r="E429" s="20"/>
      <c r="F429" s="20"/>
      <c r="G429" s="20"/>
      <c r="H429" s="20"/>
      <c r="I429" s="20"/>
      <c r="J429" s="20"/>
      <c r="K429" s="20"/>
      <c r="L429" s="20"/>
      <c r="M429" s="20"/>
      <c r="N429" s="20"/>
      <c r="O429" s="20"/>
      <c r="P429" s="20"/>
      <c r="Q429" s="20"/>
      <c r="R429" s="20"/>
      <c r="S429" s="20"/>
    </row>
    <row r="430">
      <c r="A430" s="20"/>
      <c r="B430" s="20"/>
      <c r="C430" s="20"/>
      <c r="D430" s="20"/>
      <c r="E430" s="20"/>
      <c r="F430" s="20"/>
      <c r="G430" s="20"/>
      <c r="H430" s="20"/>
      <c r="I430" s="20"/>
      <c r="J430" s="20"/>
      <c r="K430" s="20"/>
      <c r="L430" s="20"/>
      <c r="M430" s="20"/>
      <c r="N430" s="20"/>
      <c r="O430" s="20"/>
      <c r="P430" s="20"/>
      <c r="Q430" s="20"/>
      <c r="R430" s="20"/>
      <c r="S430" s="20"/>
    </row>
    <row r="431">
      <c r="A431" s="20"/>
      <c r="B431" s="20"/>
      <c r="C431" s="20"/>
      <c r="D431" s="20"/>
      <c r="E431" s="20"/>
      <c r="F431" s="20"/>
      <c r="G431" s="20"/>
      <c r="H431" s="20"/>
      <c r="I431" s="20"/>
      <c r="J431" s="20"/>
      <c r="K431" s="20"/>
      <c r="L431" s="20"/>
      <c r="M431" s="20"/>
      <c r="N431" s="20"/>
      <c r="O431" s="20"/>
      <c r="P431" s="20"/>
      <c r="Q431" s="20"/>
      <c r="R431" s="20"/>
      <c r="S431" s="20"/>
    </row>
    <row r="432">
      <c r="A432" s="20"/>
      <c r="B432" s="20"/>
      <c r="C432" s="20"/>
      <c r="D432" s="20"/>
      <c r="E432" s="20"/>
      <c r="F432" s="20"/>
      <c r="G432" s="20"/>
      <c r="H432" s="20"/>
      <c r="I432" s="20"/>
      <c r="J432" s="20"/>
      <c r="K432" s="20"/>
      <c r="L432" s="20"/>
      <c r="M432" s="20"/>
      <c r="N432" s="20"/>
      <c r="O432" s="20"/>
      <c r="P432" s="20"/>
      <c r="Q432" s="20"/>
      <c r="R432" s="20"/>
      <c r="S432" s="20"/>
    </row>
    <row r="433">
      <c r="A433" s="20"/>
      <c r="B433" s="20"/>
      <c r="C433" s="20"/>
      <c r="D433" s="20"/>
      <c r="E433" s="20"/>
      <c r="F433" s="20"/>
      <c r="G433" s="20"/>
      <c r="H433" s="20"/>
      <c r="I433" s="20"/>
      <c r="J433" s="20"/>
      <c r="K433" s="20"/>
      <c r="L433" s="20"/>
      <c r="M433" s="20"/>
      <c r="N433" s="20"/>
      <c r="O433" s="20"/>
      <c r="P433" s="20"/>
      <c r="Q433" s="20"/>
      <c r="R433" s="20"/>
      <c r="S433" s="20"/>
    </row>
    <row r="434">
      <c r="A434" s="20"/>
      <c r="B434" s="20"/>
      <c r="C434" s="20"/>
      <c r="D434" s="20"/>
      <c r="E434" s="20"/>
      <c r="F434" s="20"/>
      <c r="G434" s="20"/>
      <c r="H434" s="20"/>
      <c r="I434" s="20"/>
      <c r="J434" s="20"/>
      <c r="K434" s="20"/>
      <c r="L434" s="20"/>
      <c r="M434" s="20"/>
      <c r="N434" s="20"/>
      <c r="O434" s="20"/>
      <c r="P434" s="20"/>
      <c r="Q434" s="20"/>
      <c r="R434" s="20"/>
      <c r="S434" s="20"/>
    </row>
    <row r="435">
      <c r="A435" s="20"/>
      <c r="B435" s="20"/>
      <c r="C435" s="20"/>
      <c r="D435" s="20"/>
      <c r="E435" s="20"/>
      <c r="F435" s="20"/>
      <c r="G435" s="20"/>
      <c r="H435" s="20"/>
      <c r="I435" s="20"/>
      <c r="J435" s="20"/>
      <c r="K435" s="20"/>
      <c r="L435" s="20"/>
      <c r="M435" s="20"/>
      <c r="N435" s="20"/>
      <c r="O435" s="20"/>
      <c r="P435" s="20"/>
      <c r="Q435" s="20"/>
      <c r="R435" s="20"/>
      <c r="S435" s="20"/>
    </row>
    <row r="436">
      <c r="A436" s="20"/>
      <c r="B436" s="20"/>
      <c r="C436" s="20"/>
      <c r="D436" s="20"/>
      <c r="E436" s="20"/>
      <c r="F436" s="20"/>
      <c r="G436" s="20"/>
      <c r="H436" s="20"/>
      <c r="I436" s="20"/>
      <c r="J436" s="20"/>
      <c r="K436" s="20"/>
      <c r="L436" s="20"/>
      <c r="M436" s="20"/>
      <c r="N436" s="20"/>
      <c r="O436" s="20"/>
      <c r="P436" s="20"/>
      <c r="Q436" s="20"/>
      <c r="R436" s="20"/>
      <c r="S436" s="20"/>
    </row>
    <row r="437">
      <c r="A437" s="20"/>
      <c r="B437" s="20"/>
      <c r="C437" s="20"/>
      <c r="D437" s="20"/>
      <c r="E437" s="20"/>
      <c r="F437" s="20"/>
      <c r="G437" s="20"/>
      <c r="H437" s="20"/>
      <c r="I437" s="20"/>
      <c r="J437" s="20"/>
      <c r="K437" s="20"/>
      <c r="L437" s="20"/>
      <c r="M437" s="20"/>
      <c r="N437" s="20"/>
      <c r="O437" s="20"/>
      <c r="P437" s="20"/>
      <c r="Q437" s="20"/>
      <c r="R437" s="20"/>
      <c r="S437" s="20"/>
    </row>
    <row r="438">
      <c r="A438" s="20"/>
      <c r="B438" s="20"/>
      <c r="C438" s="20"/>
      <c r="D438" s="20"/>
      <c r="E438" s="20"/>
      <c r="F438" s="20"/>
      <c r="G438" s="20"/>
      <c r="H438" s="20"/>
      <c r="I438" s="20"/>
      <c r="J438" s="20"/>
      <c r="K438" s="20"/>
      <c r="L438" s="20"/>
      <c r="M438" s="20"/>
      <c r="N438" s="20"/>
      <c r="O438" s="20"/>
      <c r="P438" s="20"/>
      <c r="Q438" s="20"/>
      <c r="R438" s="20"/>
      <c r="S438" s="20"/>
    </row>
    <row r="439">
      <c r="A439" s="20"/>
      <c r="B439" s="20"/>
      <c r="C439" s="20"/>
      <c r="D439" s="20"/>
      <c r="E439" s="20"/>
      <c r="F439" s="20"/>
      <c r="G439" s="20"/>
      <c r="H439" s="20"/>
      <c r="I439" s="20"/>
      <c r="J439" s="20"/>
      <c r="K439" s="20"/>
      <c r="L439" s="20"/>
      <c r="M439" s="20"/>
      <c r="N439" s="20"/>
      <c r="O439" s="20"/>
      <c r="P439" s="20"/>
      <c r="Q439" s="20"/>
      <c r="R439" s="20"/>
      <c r="S439" s="20"/>
    </row>
    <row r="440">
      <c r="A440" s="20"/>
      <c r="B440" s="20"/>
      <c r="C440" s="20"/>
      <c r="D440" s="20"/>
      <c r="E440" s="20"/>
      <c r="F440" s="20"/>
      <c r="G440" s="20"/>
      <c r="H440" s="20"/>
      <c r="I440" s="20"/>
      <c r="J440" s="20"/>
      <c r="K440" s="20"/>
      <c r="L440" s="20"/>
      <c r="M440" s="20"/>
      <c r="N440" s="20"/>
      <c r="O440" s="20"/>
      <c r="P440" s="20"/>
      <c r="Q440" s="20"/>
      <c r="R440" s="20"/>
      <c r="S440" s="20"/>
    </row>
    <row r="441">
      <c r="A441" s="20"/>
      <c r="B441" s="20"/>
      <c r="C441" s="20"/>
      <c r="D441" s="20"/>
      <c r="E441" s="20"/>
      <c r="F441" s="20"/>
      <c r="G441" s="20"/>
      <c r="H441" s="20"/>
      <c r="I441" s="20"/>
      <c r="J441" s="20"/>
      <c r="K441" s="20"/>
      <c r="L441" s="20"/>
      <c r="M441" s="20"/>
      <c r="N441" s="20"/>
      <c r="O441" s="20"/>
      <c r="P441" s="20"/>
      <c r="Q441" s="20"/>
      <c r="R441" s="20"/>
      <c r="S441" s="20"/>
    </row>
    <row r="442">
      <c r="A442" s="20"/>
      <c r="B442" s="20"/>
      <c r="C442" s="20"/>
      <c r="D442" s="20"/>
      <c r="E442" s="20"/>
      <c r="F442" s="20"/>
      <c r="G442" s="20"/>
      <c r="H442" s="20"/>
      <c r="I442" s="20"/>
      <c r="J442" s="20"/>
      <c r="K442" s="20"/>
      <c r="L442" s="20"/>
      <c r="M442" s="20"/>
      <c r="N442" s="20"/>
      <c r="O442" s="20"/>
      <c r="P442" s="20"/>
      <c r="Q442" s="20"/>
      <c r="R442" s="20"/>
      <c r="S442" s="20"/>
    </row>
    <row r="443">
      <c r="A443" s="20"/>
      <c r="B443" s="20"/>
      <c r="C443" s="20"/>
      <c r="D443" s="20"/>
      <c r="E443" s="20"/>
      <c r="F443" s="20"/>
      <c r="G443" s="20"/>
      <c r="H443" s="20"/>
      <c r="I443" s="20"/>
      <c r="J443" s="20"/>
      <c r="K443" s="20"/>
      <c r="L443" s="20"/>
      <c r="M443" s="20"/>
      <c r="N443" s="20"/>
      <c r="O443" s="20"/>
      <c r="P443" s="20"/>
      <c r="Q443" s="20"/>
      <c r="R443" s="20"/>
      <c r="S443" s="20"/>
    </row>
    <row r="444">
      <c r="A444" s="20"/>
      <c r="B444" s="20"/>
      <c r="C444" s="20"/>
      <c r="D444" s="20"/>
      <c r="E444" s="20"/>
      <c r="F444" s="20"/>
      <c r="G444" s="20"/>
      <c r="H444" s="20"/>
      <c r="I444" s="20"/>
      <c r="J444" s="20"/>
      <c r="K444" s="20"/>
      <c r="L444" s="20"/>
      <c r="M444" s="20"/>
      <c r="N444" s="20"/>
      <c r="O444" s="20"/>
      <c r="P444" s="20"/>
      <c r="Q444" s="20"/>
      <c r="R444" s="20"/>
      <c r="S444" s="20"/>
    </row>
    <row r="445">
      <c r="A445" s="20"/>
      <c r="B445" s="20"/>
      <c r="C445" s="20"/>
      <c r="D445" s="20"/>
      <c r="E445" s="20"/>
      <c r="F445" s="20"/>
      <c r="G445" s="20"/>
      <c r="H445" s="20"/>
      <c r="I445" s="20"/>
      <c r="J445" s="20"/>
      <c r="K445" s="20"/>
      <c r="L445" s="20"/>
      <c r="M445" s="20"/>
      <c r="N445" s="20"/>
      <c r="O445" s="20"/>
      <c r="P445" s="20"/>
      <c r="Q445" s="20"/>
      <c r="R445" s="20"/>
      <c r="S445" s="20"/>
    </row>
    <row r="446">
      <c r="A446" s="20"/>
      <c r="B446" s="20"/>
      <c r="C446" s="20"/>
      <c r="D446" s="20"/>
      <c r="E446" s="20"/>
      <c r="F446" s="20"/>
      <c r="G446" s="20"/>
      <c r="H446" s="20"/>
      <c r="I446" s="20"/>
      <c r="J446" s="20"/>
      <c r="K446" s="20"/>
      <c r="L446" s="20"/>
      <c r="M446" s="20"/>
      <c r="N446" s="20"/>
      <c r="O446" s="20"/>
      <c r="P446" s="20"/>
      <c r="Q446" s="20"/>
      <c r="R446" s="20"/>
      <c r="S446" s="20"/>
    </row>
    <row r="447">
      <c r="A447" s="20"/>
      <c r="B447" s="20"/>
      <c r="C447" s="20"/>
      <c r="D447" s="20"/>
      <c r="E447" s="20"/>
      <c r="F447" s="20"/>
      <c r="G447" s="20"/>
      <c r="H447" s="20"/>
      <c r="I447" s="20"/>
      <c r="J447" s="20"/>
      <c r="K447" s="20"/>
      <c r="L447" s="20"/>
      <c r="M447" s="20"/>
      <c r="N447" s="20"/>
      <c r="O447" s="20"/>
      <c r="P447" s="20"/>
      <c r="Q447" s="20"/>
      <c r="R447" s="20"/>
      <c r="S447" s="20"/>
    </row>
    <row r="448">
      <c r="A448" s="20"/>
      <c r="B448" s="20"/>
      <c r="C448" s="20"/>
      <c r="D448" s="20"/>
      <c r="E448" s="20"/>
      <c r="F448" s="20"/>
      <c r="G448" s="20"/>
      <c r="H448" s="20"/>
      <c r="I448" s="20"/>
      <c r="J448" s="20"/>
      <c r="K448" s="20"/>
      <c r="L448" s="20"/>
      <c r="M448" s="20"/>
      <c r="N448" s="20"/>
      <c r="O448" s="20"/>
      <c r="P448" s="20"/>
      <c r="Q448" s="20"/>
      <c r="R448" s="20"/>
      <c r="S448" s="20"/>
    </row>
    <row r="449">
      <c r="A449" s="20"/>
      <c r="B449" s="20"/>
      <c r="C449" s="20"/>
      <c r="D449" s="20"/>
      <c r="E449" s="20"/>
      <c r="F449" s="20"/>
      <c r="G449" s="20"/>
      <c r="H449" s="20"/>
      <c r="I449" s="20"/>
      <c r="J449" s="20"/>
      <c r="K449" s="20"/>
      <c r="L449" s="20"/>
      <c r="M449" s="20"/>
      <c r="N449" s="20"/>
      <c r="O449" s="20"/>
      <c r="P449" s="20"/>
      <c r="Q449" s="20"/>
      <c r="R449" s="20"/>
      <c r="S449" s="20"/>
    </row>
    <row r="450">
      <c r="A450" s="20"/>
      <c r="B450" s="20"/>
      <c r="C450" s="20"/>
      <c r="D450" s="20"/>
      <c r="E450" s="20"/>
      <c r="F450" s="20"/>
      <c r="G450" s="20"/>
      <c r="H450" s="20"/>
      <c r="I450" s="20"/>
      <c r="J450" s="20"/>
      <c r="K450" s="20"/>
      <c r="L450" s="20"/>
      <c r="M450" s="20"/>
      <c r="N450" s="20"/>
      <c r="O450" s="20"/>
      <c r="P450" s="20"/>
      <c r="Q450" s="20"/>
      <c r="R450" s="20"/>
      <c r="S450" s="20"/>
    </row>
    <row r="451">
      <c r="A451" s="20"/>
      <c r="B451" s="20"/>
      <c r="C451" s="20"/>
      <c r="D451" s="20"/>
      <c r="E451" s="20"/>
      <c r="F451" s="20"/>
      <c r="G451" s="20"/>
      <c r="H451" s="20"/>
      <c r="I451" s="20"/>
      <c r="J451" s="20"/>
      <c r="K451" s="20"/>
      <c r="L451" s="20"/>
      <c r="M451" s="20"/>
      <c r="N451" s="20"/>
      <c r="O451" s="20"/>
      <c r="P451" s="20"/>
      <c r="Q451" s="20"/>
      <c r="R451" s="20"/>
      <c r="S451" s="20"/>
    </row>
    <row r="452">
      <c r="A452" s="20"/>
      <c r="B452" s="20"/>
      <c r="C452" s="20"/>
      <c r="D452" s="20"/>
      <c r="E452" s="20"/>
      <c r="F452" s="20"/>
      <c r="G452" s="20"/>
      <c r="H452" s="20"/>
      <c r="I452" s="20"/>
      <c r="J452" s="20"/>
      <c r="K452" s="20"/>
      <c r="L452" s="20"/>
      <c r="M452" s="20"/>
      <c r="N452" s="20"/>
      <c r="O452" s="20"/>
      <c r="P452" s="20"/>
      <c r="Q452" s="20"/>
      <c r="R452" s="20"/>
      <c r="S452" s="20"/>
    </row>
    <row r="453">
      <c r="A453" s="20"/>
      <c r="B453" s="20"/>
      <c r="C453" s="20"/>
      <c r="D453" s="20"/>
      <c r="E453" s="20"/>
      <c r="F453" s="20"/>
      <c r="G453" s="20"/>
      <c r="H453" s="20"/>
      <c r="I453" s="20"/>
      <c r="J453" s="20"/>
      <c r="K453" s="20"/>
      <c r="L453" s="20"/>
      <c r="M453" s="20"/>
      <c r="N453" s="20"/>
      <c r="O453" s="20"/>
      <c r="P453" s="20"/>
      <c r="Q453" s="20"/>
      <c r="R453" s="20"/>
      <c r="S453" s="20"/>
    </row>
    <row r="454">
      <c r="A454" s="20"/>
      <c r="B454" s="20"/>
      <c r="C454" s="20"/>
      <c r="D454" s="20"/>
      <c r="E454" s="20"/>
      <c r="F454" s="20"/>
      <c r="G454" s="20"/>
      <c r="H454" s="20"/>
      <c r="I454" s="20"/>
      <c r="J454" s="20"/>
      <c r="K454" s="20"/>
      <c r="L454" s="20"/>
      <c r="M454" s="20"/>
      <c r="N454" s="20"/>
      <c r="O454" s="20"/>
      <c r="P454" s="20"/>
      <c r="Q454" s="20"/>
      <c r="R454" s="20"/>
      <c r="S454" s="20"/>
    </row>
    <row r="455">
      <c r="A455" s="20"/>
      <c r="B455" s="20"/>
      <c r="C455" s="20"/>
      <c r="D455" s="20"/>
      <c r="E455" s="20"/>
      <c r="F455" s="20"/>
      <c r="G455" s="20"/>
      <c r="H455" s="20"/>
      <c r="I455" s="20"/>
      <c r="J455" s="20"/>
      <c r="K455" s="20"/>
      <c r="L455" s="20"/>
      <c r="M455" s="20"/>
      <c r="N455" s="20"/>
      <c r="O455" s="20"/>
      <c r="P455" s="20"/>
      <c r="Q455" s="20"/>
      <c r="R455" s="20"/>
      <c r="S455" s="20"/>
    </row>
    <row r="456">
      <c r="A456" s="20"/>
      <c r="B456" s="20"/>
      <c r="C456" s="20"/>
      <c r="D456" s="20"/>
      <c r="E456" s="20"/>
      <c r="F456" s="20"/>
      <c r="G456" s="20"/>
      <c r="H456" s="20"/>
      <c r="I456" s="20"/>
      <c r="J456" s="20"/>
      <c r="K456" s="20"/>
      <c r="L456" s="20"/>
      <c r="M456" s="20"/>
      <c r="N456" s="20"/>
      <c r="O456" s="20"/>
      <c r="P456" s="20"/>
      <c r="Q456" s="20"/>
      <c r="R456" s="20"/>
      <c r="S456" s="20"/>
    </row>
    <row r="457">
      <c r="A457" s="20"/>
      <c r="B457" s="20"/>
      <c r="C457" s="20"/>
      <c r="D457" s="20"/>
      <c r="E457" s="20"/>
      <c r="F457" s="20"/>
      <c r="G457" s="20"/>
      <c r="H457" s="20"/>
      <c r="I457" s="20"/>
      <c r="J457" s="20"/>
      <c r="K457" s="20"/>
      <c r="L457" s="20"/>
      <c r="M457" s="20"/>
      <c r="N457" s="20"/>
      <c r="O457" s="20"/>
      <c r="P457" s="20"/>
      <c r="Q457" s="20"/>
      <c r="R457" s="20"/>
      <c r="S457" s="20"/>
    </row>
    <row r="458">
      <c r="A458" s="20"/>
      <c r="B458" s="20"/>
      <c r="C458" s="20"/>
      <c r="D458" s="20"/>
      <c r="E458" s="20"/>
      <c r="F458" s="20"/>
      <c r="G458" s="20"/>
      <c r="H458" s="20"/>
      <c r="I458" s="20"/>
      <c r="J458" s="20"/>
      <c r="K458" s="20"/>
      <c r="L458" s="20"/>
      <c r="M458" s="20"/>
      <c r="N458" s="20"/>
      <c r="O458" s="20"/>
      <c r="P458" s="20"/>
      <c r="Q458" s="20"/>
      <c r="R458" s="20"/>
      <c r="S458" s="20"/>
    </row>
    <row r="459">
      <c r="A459" s="20"/>
      <c r="B459" s="20"/>
      <c r="C459" s="20"/>
      <c r="D459" s="20"/>
      <c r="E459" s="20"/>
      <c r="F459" s="20"/>
      <c r="G459" s="20"/>
      <c r="H459" s="20"/>
      <c r="I459" s="20"/>
      <c r="J459" s="20"/>
      <c r="K459" s="20"/>
      <c r="L459" s="20"/>
      <c r="M459" s="20"/>
      <c r="N459" s="20"/>
      <c r="O459" s="20"/>
      <c r="P459" s="20"/>
      <c r="Q459" s="20"/>
      <c r="R459" s="20"/>
      <c r="S459" s="20"/>
    </row>
    <row r="460">
      <c r="A460" s="20"/>
      <c r="B460" s="20"/>
      <c r="C460" s="20"/>
      <c r="D460" s="20"/>
      <c r="E460" s="20"/>
      <c r="F460" s="20"/>
      <c r="G460" s="20"/>
      <c r="H460" s="20"/>
      <c r="I460" s="20"/>
      <c r="J460" s="20"/>
      <c r="K460" s="20"/>
      <c r="L460" s="20"/>
      <c r="M460" s="20"/>
      <c r="N460" s="20"/>
      <c r="O460" s="20"/>
      <c r="P460" s="20"/>
      <c r="Q460" s="20"/>
      <c r="R460" s="20"/>
      <c r="S460" s="20"/>
    </row>
    <row r="461">
      <c r="A461" s="20"/>
      <c r="B461" s="20"/>
      <c r="C461" s="20"/>
      <c r="D461" s="20"/>
      <c r="E461" s="20"/>
      <c r="F461" s="20"/>
      <c r="G461" s="20"/>
      <c r="H461" s="20"/>
      <c r="I461" s="20"/>
      <c r="J461" s="20"/>
      <c r="K461" s="20"/>
      <c r="L461" s="20"/>
      <c r="M461" s="20"/>
      <c r="N461" s="20"/>
      <c r="O461" s="20"/>
      <c r="P461" s="20"/>
      <c r="Q461" s="20"/>
      <c r="R461" s="20"/>
      <c r="S461" s="20"/>
    </row>
    <row r="462">
      <c r="A462" s="20"/>
      <c r="B462" s="20"/>
      <c r="C462" s="20"/>
      <c r="D462" s="20"/>
      <c r="E462" s="20"/>
      <c r="F462" s="20"/>
      <c r="G462" s="20"/>
      <c r="H462" s="20"/>
      <c r="I462" s="20"/>
      <c r="J462" s="20"/>
      <c r="K462" s="20"/>
      <c r="L462" s="20"/>
      <c r="M462" s="20"/>
      <c r="N462" s="20"/>
      <c r="O462" s="20"/>
      <c r="P462" s="20"/>
      <c r="Q462" s="20"/>
      <c r="R462" s="20"/>
      <c r="S462" s="20"/>
    </row>
    <row r="463">
      <c r="A463" s="20"/>
      <c r="B463" s="20"/>
      <c r="C463" s="20"/>
      <c r="D463" s="20"/>
      <c r="E463" s="20"/>
      <c r="F463" s="20"/>
      <c r="G463" s="20"/>
      <c r="H463" s="20"/>
      <c r="I463" s="20"/>
      <c r="J463" s="20"/>
      <c r="K463" s="20"/>
      <c r="L463" s="20"/>
      <c r="M463" s="20"/>
      <c r="N463" s="20"/>
      <c r="O463" s="20"/>
      <c r="P463" s="20"/>
      <c r="Q463" s="20"/>
      <c r="R463" s="20"/>
      <c r="S463" s="20"/>
    </row>
    <row r="464">
      <c r="A464" s="20"/>
      <c r="B464" s="20"/>
      <c r="C464" s="20"/>
      <c r="D464" s="20"/>
      <c r="E464" s="20"/>
      <c r="F464" s="20"/>
      <c r="G464" s="20"/>
      <c r="H464" s="20"/>
      <c r="I464" s="20"/>
      <c r="J464" s="20"/>
      <c r="K464" s="20"/>
      <c r="L464" s="20"/>
      <c r="M464" s="20"/>
      <c r="N464" s="20"/>
      <c r="O464" s="20"/>
      <c r="P464" s="20"/>
      <c r="Q464" s="20"/>
      <c r="R464" s="20"/>
      <c r="S464" s="20"/>
    </row>
    <row r="465">
      <c r="A465" s="20"/>
      <c r="B465" s="20"/>
      <c r="C465" s="20"/>
      <c r="D465" s="20"/>
      <c r="E465" s="20"/>
      <c r="F465" s="20"/>
      <c r="G465" s="20"/>
      <c r="H465" s="20"/>
      <c r="I465" s="20"/>
      <c r="J465" s="20"/>
      <c r="K465" s="20"/>
      <c r="L465" s="20"/>
      <c r="M465" s="20"/>
      <c r="N465" s="20"/>
      <c r="O465" s="20"/>
      <c r="P465" s="20"/>
      <c r="Q465" s="20"/>
      <c r="R465" s="20"/>
      <c r="S465" s="20"/>
    </row>
    <row r="466">
      <c r="A466" s="20"/>
      <c r="B466" s="20"/>
      <c r="C466" s="20"/>
      <c r="D466" s="20"/>
      <c r="E466" s="20"/>
      <c r="F466" s="20"/>
      <c r="G466" s="20"/>
      <c r="H466" s="20"/>
      <c r="I466" s="20"/>
      <c r="J466" s="20"/>
      <c r="K466" s="20"/>
      <c r="L466" s="20"/>
      <c r="M466" s="20"/>
      <c r="N466" s="20"/>
      <c r="O466" s="20"/>
      <c r="P466" s="20"/>
      <c r="Q466" s="20"/>
      <c r="R466" s="20"/>
      <c r="S466" s="20"/>
    </row>
    <row r="467">
      <c r="A467" s="20"/>
      <c r="B467" s="20"/>
      <c r="C467" s="20"/>
      <c r="D467" s="20"/>
      <c r="E467" s="20"/>
      <c r="F467" s="20"/>
      <c r="G467" s="20"/>
      <c r="H467" s="20"/>
      <c r="I467" s="20"/>
      <c r="J467" s="20"/>
      <c r="K467" s="20"/>
      <c r="L467" s="20"/>
      <c r="M467" s="20"/>
      <c r="N467" s="20"/>
      <c r="O467" s="20"/>
      <c r="P467" s="20"/>
      <c r="Q467" s="20"/>
      <c r="R467" s="20"/>
      <c r="S467" s="20"/>
    </row>
    <row r="468">
      <c r="A468" s="20"/>
      <c r="B468" s="20"/>
      <c r="C468" s="20"/>
      <c r="D468" s="20"/>
      <c r="E468" s="20"/>
      <c r="F468" s="20"/>
      <c r="G468" s="20"/>
      <c r="H468" s="20"/>
      <c r="I468" s="20"/>
      <c r="J468" s="20"/>
      <c r="K468" s="20"/>
      <c r="L468" s="20"/>
      <c r="M468" s="20"/>
      <c r="N468" s="20"/>
      <c r="O468" s="20"/>
      <c r="P468" s="20"/>
      <c r="Q468" s="20"/>
      <c r="R468" s="20"/>
      <c r="S468" s="20"/>
    </row>
    <row r="469">
      <c r="A469" s="20"/>
      <c r="B469" s="20"/>
      <c r="C469" s="20"/>
      <c r="D469" s="20"/>
      <c r="E469" s="20"/>
      <c r="F469" s="20"/>
      <c r="G469" s="20"/>
      <c r="H469" s="20"/>
      <c r="I469" s="20"/>
      <c r="J469" s="20"/>
      <c r="K469" s="20"/>
      <c r="L469" s="20"/>
      <c r="M469" s="20"/>
      <c r="N469" s="20"/>
      <c r="O469" s="20"/>
      <c r="P469" s="20"/>
      <c r="Q469" s="20"/>
      <c r="R469" s="20"/>
      <c r="S469" s="20"/>
    </row>
    <row r="470">
      <c r="A470" s="20"/>
      <c r="B470" s="20"/>
      <c r="C470" s="20"/>
      <c r="D470" s="20"/>
      <c r="E470" s="20"/>
      <c r="F470" s="20"/>
      <c r="G470" s="20"/>
      <c r="H470" s="20"/>
      <c r="I470" s="20"/>
      <c r="J470" s="20"/>
      <c r="K470" s="20"/>
      <c r="L470" s="20"/>
      <c r="M470" s="20"/>
      <c r="N470" s="20"/>
      <c r="O470" s="20"/>
      <c r="P470" s="20"/>
      <c r="Q470" s="20"/>
      <c r="R470" s="20"/>
      <c r="S470" s="20"/>
    </row>
    <row r="471">
      <c r="A471" s="20"/>
      <c r="B471" s="20"/>
      <c r="C471" s="20"/>
      <c r="D471" s="20"/>
      <c r="E471" s="20"/>
      <c r="F471" s="20"/>
      <c r="G471" s="20"/>
      <c r="H471" s="20"/>
      <c r="I471" s="20"/>
      <c r="J471" s="20"/>
      <c r="K471" s="20"/>
      <c r="L471" s="20"/>
      <c r="M471" s="20"/>
      <c r="N471" s="20"/>
      <c r="O471" s="20"/>
      <c r="P471" s="20"/>
      <c r="Q471" s="20"/>
      <c r="R471" s="20"/>
      <c r="S471" s="20"/>
    </row>
    <row r="472">
      <c r="A472" s="20"/>
      <c r="B472" s="20"/>
      <c r="C472" s="20"/>
      <c r="D472" s="20"/>
      <c r="E472" s="20"/>
      <c r="F472" s="20"/>
      <c r="G472" s="20"/>
      <c r="H472" s="20"/>
      <c r="I472" s="20"/>
      <c r="J472" s="20"/>
      <c r="K472" s="20"/>
      <c r="L472" s="20"/>
      <c r="M472" s="20"/>
      <c r="N472" s="20"/>
      <c r="O472" s="20"/>
      <c r="P472" s="20"/>
      <c r="Q472" s="20"/>
      <c r="R472" s="20"/>
      <c r="S472" s="20"/>
    </row>
    <row r="473">
      <c r="A473" s="20"/>
      <c r="B473" s="20"/>
      <c r="C473" s="20"/>
      <c r="D473" s="20"/>
      <c r="E473" s="20"/>
      <c r="F473" s="20"/>
      <c r="G473" s="20"/>
      <c r="H473" s="20"/>
      <c r="I473" s="20"/>
      <c r="J473" s="20"/>
      <c r="K473" s="20"/>
      <c r="L473" s="20"/>
      <c r="M473" s="20"/>
      <c r="N473" s="20"/>
      <c r="O473" s="20"/>
      <c r="P473" s="20"/>
      <c r="Q473" s="20"/>
      <c r="R473" s="20"/>
      <c r="S473" s="20"/>
    </row>
    <row r="474">
      <c r="A474" s="20"/>
      <c r="B474" s="20"/>
      <c r="C474" s="20"/>
      <c r="D474" s="20"/>
      <c r="E474" s="20"/>
      <c r="F474" s="20"/>
      <c r="G474" s="20"/>
      <c r="H474" s="20"/>
      <c r="I474" s="20"/>
      <c r="J474" s="20"/>
      <c r="K474" s="20"/>
      <c r="L474" s="20"/>
      <c r="M474" s="20"/>
      <c r="N474" s="20"/>
      <c r="O474" s="20"/>
      <c r="P474" s="20"/>
      <c r="Q474" s="20"/>
      <c r="R474" s="20"/>
      <c r="S474" s="20"/>
    </row>
    <row r="475">
      <c r="A475" s="20"/>
      <c r="B475" s="20"/>
      <c r="C475" s="20"/>
      <c r="D475" s="20"/>
      <c r="E475" s="20"/>
      <c r="F475" s="20"/>
      <c r="G475" s="20"/>
      <c r="H475" s="20"/>
      <c r="I475" s="20"/>
      <c r="J475" s="20"/>
      <c r="K475" s="20"/>
      <c r="L475" s="20"/>
      <c r="M475" s="20"/>
      <c r="N475" s="20"/>
      <c r="O475" s="20"/>
      <c r="P475" s="20"/>
      <c r="Q475" s="20"/>
      <c r="R475" s="20"/>
      <c r="S475" s="20"/>
    </row>
    <row r="476">
      <c r="A476" s="20"/>
      <c r="B476" s="20"/>
      <c r="C476" s="20"/>
      <c r="D476" s="20"/>
      <c r="E476" s="20"/>
      <c r="F476" s="20"/>
      <c r="G476" s="20"/>
      <c r="H476" s="20"/>
      <c r="I476" s="20"/>
      <c r="J476" s="20"/>
      <c r="K476" s="20"/>
      <c r="L476" s="20"/>
      <c r="M476" s="20"/>
      <c r="N476" s="20"/>
      <c r="O476" s="20"/>
      <c r="P476" s="20"/>
      <c r="Q476" s="20"/>
      <c r="R476" s="20"/>
      <c r="S476" s="20"/>
    </row>
    <row r="477">
      <c r="A477" s="20"/>
      <c r="B477" s="20"/>
      <c r="C477" s="20"/>
      <c r="D477" s="20"/>
      <c r="E477" s="20"/>
      <c r="F477" s="20"/>
      <c r="G477" s="20"/>
      <c r="H477" s="20"/>
      <c r="I477" s="20"/>
      <c r="J477" s="20"/>
      <c r="K477" s="20"/>
      <c r="L477" s="20"/>
      <c r="M477" s="20"/>
      <c r="N477" s="20"/>
      <c r="O477" s="20"/>
      <c r="P477" s="20"/>
      <c r="Q477" s="20"/>
      <c r="R477" s="20"/>
      <c r="S477" s="20"/>
    </row>
    <row r="478">
      <c r="A478" s="20"/>
      <c r="B478" s="20"/>
      <c r="C478" s="20"/>
      <c r="D478" s="20"/>
      <c r="E478" s="20"/>
      <c r="F478" s="20"/>
      <c r="G478" s="20"/>
      <c r="H478" s="20"/>
      <c r="I478" s="20"/>
      <c r="J478" s="20"/>
      <c r="K478" s="20"/>
      <c r="L478" s="20"/>
      <c r="M478" s="20"/>
      <c r="N478" s="20"/>
      <c r="O478" s="20"/>
      <c r="P478" s="20"/>
      <c r="Q478" s="20"/>
      <c r="R478" s="20"/>
      <c r="S478" s="20"/>
    </row>
    <row r="479">
      <c r="A479" s="20"/>
      <c r="B479" s="20"/>
      <c r="C479" s="20"/>
      <c r="D479" s="20"/>
      <c r="E479" s="20"/>
      <c r="F479" s="20"/>
      <c r="G479" s="20"/>
      <c r="H479" s="20"/>
      <c r="I479" s="20"/>
      <c r="J479" s="20"/>
      <c r="K479" s="20"/>
      <c r="L479" s="20"/>
      <c r="M479" s="20"/>
      <c r="N479" s="20"/>
      <c r="O479" s="20"/>
      <c r="P479" s="20"/>
      <c r="Q479" s="20"/>
      <c r="R479" s="20"/>
      <c r="S479" s="20"/>
    </row>
    <row r="480">
      <c r="A480" s="20"/>
      <c r="B480" s="20"/>
      <c r="C480" s="20"/>
      <c r="D480" s="20"/>
      <c r="E480" s="20"/>
      <c r="F480" s="20"/>
      <c r="G480" s="20"/>
      <c r="H480" s="20"/>
      <c r="I480" s="20"/>
      <c r="J480" s="20"/>
      <c r="K480" s="20"/>
      <c r="L480" s="20"/>
      <c r="M480" s="20"/>
      <c r="N480" s="20"/>
      <c r="O480" s="20"/>
      <c r="P480" s="20"/>
      <c r="Q480" s="20"/>
      <c r="R480" s="20"/>
      <c r="S480" s="20"/>
    </row>
    <row r="481">
      <c r="A481" s="20"/>
      <c r="B481" s="20"/>
      <c r="C481" s="20"/>
      <c r="D481" s="20"/>
      <c r="E481" s="20"/>
      <c r="F481" s="20"/>
      <c r="G481" s="20"/>
      <c r="H481" s="20"/>
      <c r="I481" s="20"/>
      <c r="J481" s="20"/>
      <c r="K481" s="20"/>
      <c r="L481" s="20"/>
      <c r="M481" s="20"/>
      <c r="N481" s="20"/>
      <c r="O481" s="20"/>
      <c r="P481" s="20"/>
      <c r="Q481" s="20"/>
      <c r="R481" s="20"/>
      <c r="S481" s="20"/>
    </row>
    <row r="482">
      <c r="A482" s="20"/>
      <c r="B482" s="20"/>
      <c r="C482" s="20"/>
      <c r="D482" s="20"/>
      <c r="E482" s="20"/>
      <c r="F482" s="20"/>
      <c r="G482" s="20"/>
      <c r="H482" s="20"/>
      <c r="I482" s="20"/>
      <c r="J482" s="20"/>
      <c r="K482" s="20"/>
      <c r="L482" s="20"/>
      <c r="M482" s="20"/>
      <c r="N482" s="20"/>
      <c r="O482" s="20"/>
      <c r="P482" s="20"/>
      <c r="Q482" s="20"/>
      <c r="R482" s="20"/>
      <c r="S482" s="20"/>
    </row>
    <row r="483">
      <c r="A483" s="20"/>
      <c r="B483" s="20"/>
      <c r="C483" s="20"/>
      <c r="D483" s="20"/>
      <c r="E483" s="20"/>
      <c r="F483" s="20"/>
      <c r="G483" s="20"/>
      <c r="H483" s="20"/>
      <c r="I483" s="20"/>
      <c r="J483" s="20"/>
      <c r="K483" s="20"/>
      <c r="L483" s="20"/>
      <c r="M483" s="20"/>
      <c r="N483" s="20"/>
      <c r="O483" s="20"/>
      <c r="P483" s="20"/>
      <c r="Q483" s="20"/>
      <c r="R483" s="20"/>
      <c r="S483" s="20"/>
    </row>
    <row r="484">
      <c r="A484" s="20"/>
      <c r="B484" s="20"/>
      <c r="C484" s="20"/>
      <c r="D484" s="20"/>
      <c r="E484" s="20"/>
      <c r="F484" s="20"/>
      <c r="G484" s="20"/>
      <c r="H484" s="20"/>
      <c r="I484" s="20"/>
      <c r="J484" s="20"/>
      <c r="K484" s="20"/>
      <c r="L484" s="20"/>
      <c r="M484" s="20"/>
      <c r="N484" s="20"/>
      <c r="O484" s="20"/>
      <c r="P484" s="20"/>
      <c r="Q484" s="20"/>
      <c r="R484" s="20"/>
      <c r="S484" s="20"/>
    </row>
    <row r="485">
      <c r="A485" s="20"/>
      <c r="B485" s="20"/>
      <c r="C485" s="20"/>
      <c r="D485" s="20"/>
      <c r="E485" s="20"/>
      <c r="F485" s="20"/>
      <c r="G485" s="20"/>
      <c r="H485" s="20"/>
      <c r="I485" s="20"/>
      <c r="J485" s="20"/>
      <c r="K485" s="20"/>
      <c r="L485" s="20"/>
      <c r="M485" s="20"/>
      <c r="N485" s="20"/>
      <c r="O485" s="20"/>
      <c r="P485" s="20"/>
      <c r="Q485" s="20"/>
      <c r="R485" s="20"/>
      <c r="S485" s="20"/>
    </row>
    <row r="486">
      <c r="A486" s="20"/>
      <c r="B486" s="20"/>
      <c r="C486" s="20"/>
      <c r="D486" s="20"/>
      <c r="E486" s="20"/>
      <c r="F486" s="20"/>
      <c r="G486" s="20"/>
      <c r="H486" s="20"/>
      <c r="I486" s="20"/>
      <c r="J486" s="20"/>
      <c r="K486" s="20"/>
      <c r="L486" s="20"/>
      <c r="M486" s="20"/>
      <c r="N486" s="20"/>
      <c r="O486" s="20"/>
      <c r="P486" s="20"/>
      <c r="Q486" s="20"/>
      <c r="R486" s="20"/>
      <c r="S486" s="20"/>
    </row>
    <row r="487">
      <c r="A487" s="20"/>
      <c r="B487" s="20"/>
      <c r="C487" s="20"/>
      <c r="D487" s="20"/>
      <c r="E487" s="20"/>
      <c r="F487" s="20"/>
      <c r="G487" s="20"/>
      <c r="H487" s="20"/>
      <c r="I487" s="20"/>
      <c r="J487" s="20"/>
      <c r="K487" s="20"/>
      <c r="L487" s="20"/>
      <c r="M487" s="20"/>
      <c r="N487" s="20"/>
      <c r="O487" s="20"/>
      <c r="P487" s="20"/>
      <c r="Q487" s="20"/>
      <c r="R487" s="20"/>
      <c r="S487" s="20"/>
    </row>
    <row r="488">
      <c r="A488" s="20"/>
      <c r="B488" s="20"/>
      <c r="C488" s="20"/>
      <c r="D488" s="20"/>
      <c r="E488" s="20"/>
      <c r="F488" s="20"/>
      <c r="G488" s="20"/>
      <c r="H488" s="20"/>
      <c r="I488" s="20"/>
      <c r="J488" s="20"/>
      <c r="K488" s="20"/>
      <c r="L488" s="20"/>
      <c r="M488" s="20"/>
      <c r="N488" s="20"/>
      <c r="O488" s="20"/>
      <c r="P488" s="20"/>
      <c r="Q488" s="20"/>
      <c r="R488" s="20"/>
      <c r="S488" s="20"/>
    </row>
    <row r="489">
      <c r="A489" s="20"/>
      <c r="B489" s="20"/>
      <c r="C489" s="20"/>
      <c r="D489" s="20"/>
      <c r="E489" s="20"/>
      <c r="F489" s="20"/>
      <c r="G489" s="20"/>
      <c r="H489" s="20"/>
      <c r="I489" s="20"/>
      <c r="J489" s="20"/>
      <c r="K489" s="20"/>
      <c r="L489" s="20"/>
      <c r="M489" s="20"/>
      <c r="N489" s="20"/>
      <c r="O489" s="20"/>
      <c r="P489" s="20"/>
      <c r="Q489" s="20"/>
      <c r="R489" s="20"/>
      <c r="S489" s="20"/>
    </row>
    <row r="490">
      <c r="A490" s="20"/>
      <c r="B490" s="20"/>
      <c r="C490" s="20"/>
      <c r="D490" s="20"/>
      <c r="E490" s="20"/>
      <c r="F490" s="20"/>
      <c r="G490" s="20"/>
      <c r="H490" s="20"/>
      <c r="I490" s="20"/>
      <c r="J490" s="20"/>
      <c r="K490" s="20"/>
      <c r="L490" s="20"/>
      <c r="M490" s="20"/>
      <c r="N490" s="20"/>
      <c r="O490" s="20"/>
      <c r="P490" s="20"/>
      <c r="Q490" s="20"/>
      <c r="R490" s="20"/>
      <c r="S490" s="20"/>
    </row>
    <row r="491">
      <c r="A491" s="20"/>
      <c r="B491" s="20"/>
      <c r="C491" s="20"/>
      <c r="D491" s="20"/>
      <c r="E491" s="20"/>
      <c r="F491" s="20"/>
      <c r="G491" s="20"/>
      <c r="H491" s="20"/>
      <c r="I491" s="20"/>
      <c r="J491" s="20"/>
      <c r="K491" s="20"/>
      <c r="L491" s="20"/>
      <c r="M491" s="20"/>
      <c r="N491" s="20"/>
      <c r="O491" s="20"/>
      <c r="P491" s="20"/>
      <c r="Q491" s="20"/>
      <c r="R491" s="20"/>
      <c r="S491" s="20"/>
    </row>
    <row r="492">
      <c r="A492" s="20"/>
      <c r="B492" s="20"/>
      <c r="C492" s="20"/>
      <c r="D492" s="20"/>
      <c r="E492" s="20"/>
      <c r="F492" s="20"/>
      <c r="G492" s="20"/>
      <c r="H492" s="20"/>
      <c r="I492" s="20"/>
      <c r="J492" s="20"/>
      <c r="K492" s="20"/>
      <c r="L492" s="20"/>
      <c r="M492" s="20"/>
      <c r="N492" s="20"/>
      <c r="O492" s="20"/>
      <c r="P492" s="20"/>
      <c r="Q492" s="20"/>
      <c r="R492" s="20"/>
      <c r="S492" s="20"/>
    </row>
    <row r="493">
      <c r="A493" s="20"/>
      <c r="B493" s="20"/>
      <c r="C493" s="20"/>
      <c r="D493" s="20"/>
      <c r="E493" s="20"/>
      <c r="F493" s="20"/>
      <c r="G493" s="20"/>
      <c r="H493" s="20"/>
      <c r="I493" s="20"/>
      <c r="J493" s="20"/>
      <c r="K493" s="20"/>
      <c r="L493" s="20"/>
      <c r="M493" s="20"/>
      <c r="N493" s="20"/>
      <c r="O493" s="20"/>
      <c r="P493" s="20"/>
      <c r="Q493" s="20"/>
      <c r="R493" s="20"/>
      <c r="S493" s="20"/>
    </row>
    <row r="494">
      <c r="A494" s="20"/>
      <c r="B494" s="20"/>
      <c r="C494" s="20"/>
      <c r="D494" s="20"/>
      <c r="E494" s="20"/>
      <c r="F494" s="20"/>
      <c r="G494" s="20"/>
      <c r="H494" s="20"/>
      <c r="I494" s="20"/>
      <c r="J494" s="20"/>
      <c r="K494" s="20"/>
      <c r="L494" s="20"/>
      <c r="M494" s="20"/>
      <c r="N494" s="20"/>
      <c r="O494" s="20"/>
      <c r="P494" s="20"/>
      <c r="Q494" s="20"/>
      <c r="R494" s="20"/>
      <c r="S494" s="20"/>
    </row>
    <row r="495">
      <c r="A495" s="20"/>
      <c r="B495" s="20"/>
      <c r="C495" s="20"/>
      <c r="D495" s="20"/>
      <c r="E495" s="20"/>
      <c r="F495" s="20"/>
      <c r="G495" s="20"/>
      <c r="H495" s="20"/>
      <c r="I495" s="20"/>
      <c r="J495" s="20"/>
      <c r="K495" s="20"/>
      <c r="L495" s="20"/>
      <c r="M495" s="20"/>
      <c r="N495" s="20"/>
      <c r="O495" s="20"/>
      <c r="P495" s="20"/>
      <c r="Q495" s="20"/>
      <c r="R495" s="20"/>
      <c r="S495" s="20"/>
    </row>
    <row r="496">
      <c r="A496" s="20"/>
      <c r="B496" s="20"/>
      <c r="C496" s="20"/>
      <c r="D496" s="20"/>
      <c r="E496" s="20"/>
      <c r="F496" s="20"/>
      <c r="G496" s="20"/>
      <c r="H496" s="20"/>
      <c r="I496" s="20"/>
      <c r="J496" s="20"/>
      <c r="K496" s="20"/>
      <c r="L496" s="20"/>
      <c r="M496" s="20"/>
      <c r="N496" s="20"/>
      <c r="O496" s="20"/>
      <c r="P496" s="20"/>
      <c r="Q496" s="20"/>
      <c r="R496" s="20"/>
      <c r="S496" s="20"/>
    </row>
    <row r="497">
      <c r="A497" s="20"/>
      <c r="B497" s="20"/>
      <c r="C497" s="20"/>
      <c r="D497" s="20"/>
      <c r="E497" s="20"/>
      <c r="F497" s="20"/>
      <c r="G497" s="20"/>
      <c r="H497" s="20"/>
      <c r="I497" s="20"/>
      <c r="J497" s="20"/>
      <c r="K497" s="20"/>
      <c r="L497" s="20"/>
      <c r="M497" s="20"/>
      <c r="N497" s="20"/>
      <c r="O497" s="20"/>
      <c r="P497" s="20"/>
      <c r="Q497" s="20"/>
      <c r="R497" s="20"/>
      <c r="S497" s="20"/>
    </row>
    <row r="498">
      <c r="A498" s="20"/>
      <c r="B498" s="20"/>
      <c r="C498" s="20"/>
      <c r="D498" s="20"/>
      <c r="E498" s="20"/>
      <c r="F498" s="20"/>
      <c r="G498" s="20"/>
      <c r="H498" s="20"/>
      <c r="I498" s="20"/>
      <c r="J498" s="20"/>
      <c r="K498" s="20"/>
      <c r="L498" s="20"/>
      <c r="M498" s="20"/>
      <c r="N498" s="20"/>
      <c r="O498" s="20"/>
      <c r="P498" s="20"/>
      <c r="Q498" s="20"/>
      <c r="R498" s="20"/>
      <c r="S498" s="20"/>
    </row>
    <row r="499">
      <c r="A499" s="20"/>
      <c r="B499" s="20"/>
      <c r="C499" s="20"/>
      <c r="D499" s="20"/>
      <c r="E499" s="20"/>
      <c r="F499" s="20"/>
      <c r="G499" s="20"/>
      <c r="H499" s="20"/>
      <c r="I499" s="20"/>
      <c r="J499" s="20"/>
      <c r="K499" s="20"/>
      <c r="L499" s="20"/>
      <c r="M499" s="20"/>
      <c r="N499" s="20"/>
      <c r="O499" s="20"/>
      <c r="P499" s="20"/>
      <c r="Q499" s="20"/>
      <c r="R499" s="20"/>
      <c r="S499" s="20"/>
    </row>
    <row r="500">
      <c r="A500" s="20"/>
      <c r="B500" s="20"/>
      <c r="C500" s="20"/>
      <c r="D500" s="20"/>
      <c r="E500" s="20"/>
      <c r="F500" s="20"/>
      <c r="G500" s="20"/>
      <c r="H500" s="20"/>
      <c r="I500" s="20"/>
      <c r="J500" s="20"/>
      <c r="K500" s="20"/>
      <c r="L500" s="20"/>
      <c r="M500" s="20"/>
      <c r="N500" s="20"/>
      <c r="O500" s="20"/>
      <c r="P500" s="20"/>
      <c r="Q500" s="20"/>
      <c r="R500" s="20"/>
      <c r="S500" s="20"/>
    </row>
    <row r="501">
      <c r="A501" s="20"/>
      <c r="B501" s="20"/>
      <c r="C501" s="20"/>
      <c r="D501" s="20"/>
      <c r="E501" s="20"/>
      <c r="F501" s="20"/>
      <c r="G501" s="20"/>
      <c r="H501" s="20"/>
      <c r="I501" s="20"/>
      <c r="J501" s="20"/>
      <c r="K501" s="20"/>
      <c r="L501" s="20"/>
      <c r="M501" s="20"/>
      <c r="N501" s="20"/>
      <c r="O501" s="20"/>
      <c r="P501" s="20"/>
      <c r="Q501" s="20"/>
      <c r="R501" s="20"/>
      <c r="S501" s="20"/>
    </row>
    <row r="502">
      <c r="A502" s="20"/>
      <c r="B502" s="20"/>
      <c r="C502" s="20"/>
      <c r="D502" s="20"/>
      <c r="E502" s="20"/>
      <c r="F502" s="20"/>
      <c r="G502" s="20"/>
      <c r="H502" s="20"/>
      <c r="I502" s="20"/>
      <c r="J502" s="20"/>
      <c r="K502" s="20"/>
      <c r="L502" s="20"/>
      <c r="M502" s="20"/>
      <c r="N502" s="20"/>
      <c r="O502" s="20"/>
      <c r="P502" s="20"/>
      <c r="Q502" s="20"/>
      <c r="R502" s="20"/>
      <c r="S502" s="20"/>
    </row>
    <row r="503">
      <c r="A503" s="20"/>
      <c r="B503" s="20"/>
      <c r="C503" s="20"/>
      <c r="D503" s="20"/>
      <c r="E503" s="20"/>
      <c r="F503" s="20"/>
      <c r="G503" s="20"/>
      <c r="H503" s="20"/>
      <c r="I503" s="20"/>
      <c r="J503" s="20"/>
      <c r="K503" s="20"/>
      <c r="L503" s="20"/>
      <c r="M503" s="20"/>
      <c r="N503" s="20"/>
      <c r="O503" s="20"/>
      <c r="P503" s="20"/>
      <c r="Q503" s="20"/>
      <c r="R503" s="20"/>
      <c r="S503" s="20"/>
    </row>
    <row r="504">
      <c r="A504" s="20"/>
      <c r="B504" s="20"/>
      <c r="C504" s="20"/>
      <c r="D504" s="20"/>
      <c r="E504" s="20"/>
      <c r="F504" s="20"/>
      <c r="G504" s="20"/>
      <c r="H504" s="20"/>
      <c r="I504" s="20"/>
      <c r="J504" s="20"/>
      <c r="K504" s="20"/>
      <c r="L504" s="20"/>
      <c r="M504" s="20"/>
      <c r="N504" s="20"/>
      <c r="O504" s="20"/>
      <c r="P504" s="20"/>
      <c r="Q504" s="20"/>
      <c r="R504" s="20"/>
      <c r="S504" s="20"/>
    </row>
    <row r="505">
      <c r="A505" s="20"/>
      <c r="B505" s="20"/>
      <c r="C505" s="20"/>
      <c r="D505" s="20"/>
      <c r="E505" s="20"/>
      <c r="F505" s="20"/>
      <c r="G505" s="20"/>
      <c r="H505" s="20"/>
      <c r="I505" s="20"/>
      <c r="J505" s="20"/>
      <c r="K505" s="20"/>
      <c r="L505" s="20"/>
      <c r="M505" s="20"/>
      <c r="N505" s="20"/>
      <c r="O505" s="20"/>
      <c r="P505" s="20"/>
      <c r="Q505" s="20"/>
      <c r="R505" s="20"/>
      <c r="S505" s="20"/>
    </row>
    <row r="506">
      <c r="A506" s="20"/>
      <c r="B506" s="20"/>
      <c r="C506" s="20"/>
      <c r="D506" s="20"/>
      <c r="E506" s="20"/>
      <c r="F506" s="20"/>
      <c r="G506" s="20"/>
      <c r="H506" s="20"/>
      <c r="I506" s="20"/>
      <c r="J506" s="20"/>
      <c r="K506" s="20"/>
      <c r="L506" s="20"/>
      <c r="M506" s="20"/>
      <c r="N506" s="20"/>
      <c r="O506" s="20"/>
      <c r="P506" s="20"/>
      <c r="Q506" s="20"/>
      <c r="R506" s="20"/>
      <c r="S506" s="20"/>
    </row>
    <row r="507">
      <c r="A507" s="20"/>
      <c r="B507" s="20"/>
      <c r="C507" s="20"/>
      <c r="D507" s="20"/>
      <c r="E507" s="20"/>
      <c r="F507" s="20"/>
      <c r="G507" s="20"/>
      <c r="H507" s="20"/>
      <c r="I507" s="20"/>
      <c r="J507" s="20"/>
      <c r="K507" s="20"/>
      <c r="L507" s="20"/>
      <c r="M507" s="20"/>
      <c r="N507" s="20"/>
      <c r="O507" s="20"/>
      <c r="P507" s="20"/>
      <c r="Q507" s="20"/>
      <c r="R507" s="20"/>
      <c r="S507" s="20"/>
    </row>
    <row r="508">
      <c r="A508" s="20"/>
      <c r="B508" s="20"/>
      <c r="C508" s="20"/>
      <c r="D508" s="20"/>
      <c r="E508" s="20"/>
      <c r="F508" s="20"/>
      <c r="G508" s="20"/>
      <c r="H508" s="20"/>
      <c r="I508" s="20"/>
      <c r="J508" s="20"/>
      <c r="K508" s="20"/>
      <c r="L508" s="20"/>
      <c r="M508" s="20"/>
      <c r="N508" s="20"/>
      <c r="O508" s="20"/>
      <c r="P508" s="20"/>
      <c r="Q508" s="20"/>
      <c r="R508" s="20"/>
      <c r="S508" s="20"/>
    </row>
    <row r="509">
      <c r="A509" s="20"/>
      <c r="B509" s="20"/>
      <c r="C509" s="20"/>
      <c r="D509" s="20"/>
      <c r="E509" s="20"/>
      <c r="F509" s="20"/>
      <c r="G509" s="20"/>
      <c r="H509" s="20"/>
      <c r="I509" s="20"/>
      <c r="J509" s="20"/>
      <c r="K509" s="20"/>
      <c r="L509" s="20"/>
      <c r="M509" s="20"/>
      <c r="N509" s="20"/>
      <c r="O509" s="20"/>
      <c r="P509" s="20"/>
      <c r="Q509" s="20"/>
      <c r="R509" s="20"/>
      <c r="S509" s="20"/>
    </row>
    <row r="510">
      <c r="A510" s="20"/>
      <c r="B510" s="20"/>
      <c r="C510" s="20"/>
      <c r="D510" s="20"/>
      <c r="E510" s="20"/>
      <c r="F510" s="20"/>
      <c r="G510" s="20"/>
      <c r="H510" s="20"/>
      <c r="I510" s="20"/>
      <c r="J510" s="20"/>
      <c r="K510" s="20"/>
      <c r="L510" s="20"/>
      <c r="M510" s="20"/>
      <c r="N510" s="20"/>
      <c r="O510" s="20"/>
      <c r="P510" s="20"/>
      <c r="Q510" s="20"/>
      <c r="R510" s="20"/>
      <c r="S510" s="20"/>
    </row>
    <row r="511">
      <c r="A511" s="20"/>
      <c r="B511" s="20"/>
      <c r="C511" s="20"/>
      <c r="D511" s="20"/>
      <c r="E511" s="20"/>
      <c r="F511" s="20"/>
      <c r="G511" s="20"/>
      <c r="H511" s="20"/>
      <c r="I511" s="20"/>
      <c r="J511" s="20"/>
      <c r="K511" s="20"/>
      <c r="L511" s="20"/>
      <c r="M511" s="20"/>
      <c r="N511" s="20"/>
      <c r="O511" s="20"/>
      <c r="P511" s="20"/>
      <c r="Q511" s="20"/>
      <c r="R511" s="20"/>
      <c r="S511" s="20"/>
    </row>
    <row r="512">
      <c r="A512" s="20"/>
      <c r="B512" s="20"/>
      <c r="C512" s="20"/>
      <c r="D512" s="20"/>
      <c r="E512" s="20"/>
      <c r="F512" s="20"/>
      <c r="G512" s="20"/>
      <c r="H512" s="20"/>
      <c r="I512" s="20"/>
      <c r="J512" s="20"/>
      <c r="K512" s="20"/>
      <c r="L512" s="20"/>
      <c r="M512" s="20"/>
      <c r="N512" s="20"/>
      <c r="O512" s="20"/>
      <c r="P512" s="20"/>
      <c r="Q512" s="20"/>
      <c r="R512" s="20"/>
      <c r="S512" s="20"/>
    </row>
    <row r="513">
      <c r="A513" s="20"/>
      <c r="B513" s="20"/>
      <c r="C513" s="20"/>
      <c r="D513" s="20"/>
      <c r="E513" s="20"/>
      <c r="F513" s="20"/>
      <c r="G513" s="20"/>
      <c r="H513" s="20"/>
      <c r="I513" s="20"/>
      <c r="J513" s="20"/>
      <c r="K513" s="20"/>
      <c r="L513" s="20"/>
      <c r="M513" s="20"/>
      <c r="N513" s="20"/>
      <c r="O513" s="20"/>
      <c r="P513" s="20"/>
      <c r="Q513" s="20"/>
      <c r="R513" s="20"/>
      <c r="S513" s="20"/>
    </row>
    <row r="514">
      <c r="A514" s="20"/>
      <c r="B514" s="20"/>
      <c r="C514" s="20"/>
      <c r="D514" s="20"/>
      <c r="E514" s="20"/>
      <c r="F514" s="20"/>
      <c r="G514" s="20"/>
      <c r="H514" s="20"/>
      <c r="I514" s="20"/>
      <c r="J514" s="20"/>
      <c r="K514" s="20"/>
      <c r="L514" s="20"/>
      <c r="M514" s="20"/>
      <c r="N514" s="20"/>
      <c r="O514" s="20"/>
      <c r="P514" s="20"/>
      <c r="Q514" s="20"/>
      <c r="R514" s="20"/>
      <c r="S514" s="20"/>
    </row>
    <row r="515">
      <c r="A515" s="20"/>
      <c r="B515" s="20"/>
      <c r="C515" s="20"/>
      <c r="D515" s="20"/>
      <c r="E515" s="20"/>
      <c r="F515" s="20"/>
      <c r="G515" s="20"/>
      <c r="H515" s="20"/>
      <c r="I515" s="20"/>
      <c r="J515" s="20"/>
      <c r="K515" s="20"/>
      <c r="L515" s="20"/>
      <c r="M515" s="20"/>
      <c r="N515" s="20"/>
      <c r="O515" s="20"/>
      <c r="P515" s="20"/>
      <c r="Q515" s="20"/>
      <c r="R515" s="20"/>
      <c r="S515" s="20"/>
    </row>
    <row r="516">
      <c r="A516" s="20"/>
      <c r="B516" s="20"/>
      <c r="C516" s="20"/>
      <c r="D516" s="20"/>
      <c r="E516" s="20"/>
      <c r="F516" s="20"/>
      <c r="G516" s="20"/>
      <c r="H516" s="20"/>
      <c r="I516" s="20"/>
      <c r="J516" s="20"/>
      <c r="K516" s="20"/>
      <c r="L516" s="20"/>
      <c r="M516" s="20"/>
      <c r="N516" s="20"/>
      <c r="O516" s="20"/>
      <c r="P516" s="20"/>
      <c r="Q516" s="20"/>
      <c r="R516" s="20"/>
      <c r="S516" s="20"/>
    </row>
    <row r="517">
      <c r="A517" s="20"/>
      <c r="B517" s="20"/>
      <c r="C517" s="20"/>
      <c r="D517" s="20"/>
      <c r="E517" s="20"/>
      <c r="F517" s="20"/>
      <c r="G517" s="20"/>
      <c r="H517" s="20"/>
      <c r="I517" s="20"/>
      <c r="J517" s="20"/>
      <c r="K517" s="20"/>
      <c r="L517" s="20"/>
      <c r="M517" s="20"/>
      <c r="N517" s="20"/>
      <c r="O517" s="20"/>
      <c r="P517" s="20"/>
      <c r="Q517" s="20"/>
      <c r="R517" s="20"/>
      <c r="S517" s="20"/>
    </row>
    <row r="518">
      <c r="A518" s="20"/>
      <c r="B518" s="20"/>
      <c r="C518" s="20"/>
      <c r="D518" s="20"/>
      <c r="E518" s="20"/>
      <c r="F518" s="20"/>
      <c r="G518" s="20"/>
      <c r="H518" s="20"/>
      <c r="I518" s="20"/>
      <c r="J518" s="20"/>
      <c r="K518" s="20"/>
      <c r="L518" s="20"/>
      <c r="M518" s="20"/>
      <c r="N518" s="20"/>
      <c r="O518" s="20"/>
      <c r="P518" s="20"/>
      <c r="Q518" s="20"/>
      <c r="R518" s="20"/>
      <c r="S518" s="20"/>
    </row>
    <row r="519">
      <c r="A519" s="20"/>
      <c r="B519" s="20"/>
      <c r="C519" s="20"/>
      <c r="D519" s="20"/>
      <c r="E519" s="20"/>
      <c r="F519" s="20"/>
      <c r="G519" s="20"/>
      <c r="H519" s="20"/>
      <c r="I519" s="20"/>
      <c r="J519" s="20"/>
      <c r="K519" s="20"/>
      <c r="L519" s="20"/>
      <c r="M519" s="20"/>
      <c r="N519" s="20"/>
      <c r="O519" s="20"/>
      <c r="P519" s="20"/>
      <c r="Q519" s="20"/>
      <c r="R519" s="20"/>
      <c r="S519" s="20"/>
    </row>
    <row r="520">
      <c r="A520" s="20"/>
      <c r="B520" s="20"/>
      <c r="C520" s="20"/>
      <c r="D520" s="20"/>
      <c r="E520" s="20"/>
      <c r="F520" s="20"/>
      <c r="G520" s="20"/>
      <c r="H520" s="20"/>
      <c r="I520" s="20"/>
      <c r="J520" s="20"/>
      <c r="K520" s="20"/>
      <c r="L520" s="20"/>
      <c r="M520" s="20"/>
      <c r="N520" s="20"/>
      <c r="O520" s="20"/>
      <c r="P520" s="20"/>
      <c r="Q520" s="20"/>
      <c r="R520" s="20"/>
      <c r="S520" s="20"/>
    </row>
    <row r="521">
      <c r="A521" s="20"/>
      <c r="B521" s="20"/>
      <c r="C521" s="20"/>
      <c r="D521" s="20"/>
      <c r="E521" s="20"/>
      <c r="F521" s="20"/>
      <c r="G521" s="20"/>
      <c r="H521" s="20"/>
      <c r="I521" s="20"/>
      <c r="J521" s="20"/>
      <c r="K521" s="20"/>
      <c r="L521" s="20"/>
      <c r="M521" s="20"/>
      <c r="N521" s="20"/>
      <c r="O521" s="20"/>
      <c r="P521" s="20"/>
      <c r="Q521" s="20"/>
      <c r="R521" s="20"/>
      <c r="S521" s="20"/>
    </row>
    <row r="522">
      <c r="A522" s="20"/>
      <c r="B522" s="20"/>
      <c r="C522" s="20"/>
      <c r="D522" s="20"/>
      <c r="E522" s="20"/>
      <c r="F522" s="20"/>
      <c r="G522" s="20"/>
      <c r="H522" s="20"/>
      <c r="I522" s="20"/>
      <c r="J522" s="20"/>
      <c r="K522" s="20"/>
      <c r="L522" s="20"/>
      <c r="M522" s="20"/>
      <c r="N522" s="20"/>
      <c r="O522" s="20"/>
      <c r="P522" s="20"/>
      <c r="Q522" s="20"/>
      <c r="R522" s="20"/>
      <c r="S522" s="20"/>
    </row>
    <row r="523">
      <c r="A523" s="20"/>
      <c r="B523" s="20"/>
      <c r="C523" s="20"/>
      <c r="D523" s="20"/>
      <c r="E523" s="20"/>
      <c r="F523" s="20"/>
      <c r="G523" s="20"/>
      <c r="H523" s="20"/>
      <c r="I523" s="20"/>
      <c r="J523" s="20"/>
      <c r="K523" s="20"/>
      <c r="L523" s="20"/>
      <c r="M523" s="20"/>
      <c r="N523" s="20"/>
      <c r="O523" s="20"/>
      <c r="P523" s="20"/>
      <c r="Q523" s="20"/>
      <c r="R523" s="20"/>
      <c r="S523" s="20"/>
    </row>
    <row r="524">
      <c r="A524" s="20"/>
      <c r="B524" s="20"/>
      <c r="C524" s="20"/>
      <c r="D524" s="20"/>
      <c r="E524" s="20"/>
      <c r="F524" s="20"/>
      <c r="G524" s="20"/>
      <c r="H524" s="20"/>
      <c r="I524" s="20"/>
      <c r="J524" s="20"/>
      <c r="K524" s="20"/>
      <c r="L524" s="20"/>
      <c r="M524" s="20"/>
      <c r="N524" s="20"/>
      <c r="O524" s="20"/>
      <c r="P524" s="20"/>
      <c r="Q524" s="20"/>
      <c r="R524" s="20"/>
      <c r="S524" s="20"/>
    </row>
    <row r="525">
      <c r="A525" s="20"/>
      <c r="B525" s="20"/>
      <c r="C525" s="20"/>
      <c r="D525" s="20"/>
      <c r="E525" s="20"/>
      <c r="F525" s="20"/>
      <c r="G525" s="20"/>
      <c r="H525" s="20"/>
      <c r="I525" s="20"/>
      <c r="J525" s="20"/>
      <c r="K525" s="20"/>
      <c r="L525" s="20"/>
      <c r="M525" s="20"/>
      <c r="N525" s="20"/>
      <c r="O525" s="20"/>
      <c r="P525" s="20"/>
      <c r="Q525" s="20"/>
      <c r="R525" s="20"/>
      <c r="S525" s="20"/>
    </row>
    <row r="526">
      <c r="A526" s="20"/>
      <c r="B526" s="20"/>
      <c r="C526" s="20"/>
      <c r="D526" s="20"/>
      <c r="E526" s="20"/>
      <c r="F526" s="20"/>
      <c r="G526" s="20"/>
      <c r="H526" s="20"/>
      <c r="I526" s="20"/>
      <c r="J526" s="20"/>
      <c r="K526" s="20"/>
      <c r="L526" s="20"/>
      <c r="M526" s="20"/>
      <c r="N526" s="20"/>
      <c r="O526" s="20"/>
      <c r="P526" s="20"/>
      <c r="Q526" s="20"/>
      <c r="R526" s="20"/>
      <c r="S526" s="20"/>
    </row>
    <row r="527">
      <c r="A527" s="20"/>
      <c r="B527" s="20"/>
      <c r="C527" s="20"/>
      <c r="D527" s="20"/>
      <c r="E527" s="20"/>
      <c r="F527" s="20"/>
      <c r="G527" s="20"/>
      <c r="H527" s="20"/>
      <c r="I527" s="20"/>
      <c r="J527" s="20"/>
      <c r="K527" s="20"/>
      <c r="L527" s="20"/>
      <c r="M527" s="20"/>
      <c r="N527" s="20"/>
      <c r="O527" s="20"/>
      <c r="P527" s="20"/>
      <c r="Q527" s="20"/>
      <c r="R527" s="20"/>
      <c r="S527" s="20"/>
    </row>
    <row r="528">
      <c r="A528" s="20"/>
      <c r="B528" s="20"/>
      <c r="C528" s="20"/>
      <c r="D528" s="20"/>
      <c r="E528" s="20"/>
      <c r="F528" s="20"/>
      <c r="G528" s="20"/>
      <c r="H528" s="20"/>
      <c r="I528" s="20"/>
      <c r="J528" s="20"/>
      <c r="K528" s="20"/>
      <c r="L528" s="20"/>
      <c r="M528" s="20"/>
      <c r="N528" s="20"/>
      <c r="O528" s="20"/>
      <c r="P528" s="20"/>
      <c r="Q528" s="20"/>
      <c r="R528" s="20"/>
      <c r="S528" s="20"/>
    </row>
    <row r="529">
      <c r="A529" s="20"/>
      <c r="B529" s="20"/>
      <c r="C529" s="20"/>
      <c r="D529" s="20"/>
      <c r="E529" s="20"/>
      <c r="F529" s="20"/>
      <c r="G529" s="20"/>
      <c r="H529" s="20"/>
      <c r="I529" s="20"/>
      <c r="J529" s="20"/>
      <c r="K529" s="20"/>
      <c r="L529" s="20"/>
      <c r="M529" s="20"/>
      <c r="N529" s="20"/>
      <c r="O529" s="20"/>
      <c r="P529" s="20"/>
      <c r="Q529" s="20"/>
      <c r="R529" s="20"/>
      <c r="S529" s="20"/>
    </row>
    <row r="530">
      <c r="A530" s="20"/>
      <c r="B530" s="20"/>
      <c r="C530" s="20"/>
      <c r="D530" s="20"/>
      <c r="E530" s="20"/>
      <c r="F530" s="20"/>
      <c r="G530" s="20"/>
      <c r="H530" s="20"/>
      <c r="I530" s="20"/>
      <c r="J530" s="20"/>
      <c r="K530" s="20"/>
      <c r="L530" s="20"/>
      <c r="M530" s="20"/>
      <c r="N530" s="20"/>
      <c r="O530" s="20"/>
      <c r="P530" s="20"/>
      <c r="Q530" s="20"/>
      <c r="R530" s="20"/>
      <c r="S530" s="20"/>
    </row>
    <row r="531">
      <c r="A531" s="20"/>
      <c r="B531" s="20"/>
      <c r="C531" s="20"/>
      <c r="D531" s="20"/>
      <c r="E531" s="20"/>
      <c r="F531" s="20"/>
      <c r="G531" s="20"/>
      <c r="H531" s="20"/>
      <c r="I531" s="20"/>
      <c r="J531" s="20"/>
      <c r="K531" s="20"/>
      <c r="L531" s="20"/>
      <c r="M531" s="20"/>
      <c r="N531" s="20"/>
      <c r="O531" s="20"/>
      <c r="P531" s="20"/>
      <c r="Q531" s="20"/>
      <c r="R531" s="20"/>
      <c r="S531" s="20"/>
    </row>
    <row r="532">
      <c r="A532" s="20"/>
      <c r="B532" s="20"/>
      <c r="C532" s="20"/>
      <c r="D532" s="20"/>
      <c r="E532" s="20"/>
      <c r="F532" s="20"/>
      <c r="G532" s="20"/>
      <c r="H532" s="20"/>
      <c r="I532" s="20"/>
      <c r="J532" s="20"/>
      <c r="K532" s="20"/>
      <c r="L532" s="20"/>
      <c r="M532" s="20"/>
      <c r="N532" s="20"/>
      <c r="O532" s="20"/>
      <c r="P532" s="20"/>
      <c r="Q532" s="20"/>
      <c r="R532" s="20"/>
      <c r="S532" s="20"/>
    </row>
    <row r="533">
      <c r="A533" s="20"/>
      <c r="B533" s="20"/>
      <c r="C533" s="20"/>
      <c r="D533" s="20"/>
      <c r="E533" s="20"/>
      <c r="F533" s="20"/>
      <c r="G533" s="20"/>
      <c r="H533" s="20"/>
      <c r="I533" s="20"/>
      <c r="J533" s="20"/>
      <c r="K533" s="20"/>
      <c r="L533" s="20"/>
      <c r="M533" s="20"/>
      <c r="N533" s="20"/>
      <c r="O533" s="20"/>
      <c r="P533" s="20"/>
      <c r="Q533" s="20"/>
      <c r="R533" s="20"/>
      <c r="S533" s="20"/>
    </row>
    <row r="534">
      <c r="A534" s="20"/>
      <c r="B534" s="20"/>
      <c r="C534" s="20"/>
      <c r="D534" s="20"/>
      <c r="E534" s="20"/>
      <c r="F534" s="20"/>
      <c r="G534" s="20"/>
      <c r="H534" s="20"/>
      <c r="I534" s="20"/>
      <c r="J534" s="20"/>
      <c r="K534" s="20"/>
      <c r="L534" s="20"/>
      <c r="M534" s="20"/>
      <c r="N534" s="20"/>
      <c r="O534" s="20"/>
      <c r="P534" s="20"/>
      <c r="Q534" s="20"/>
      <c r="R534" s="20"/>
      <c r="S534" s="20"/>
    </row>
    <row r="535">
      <c r="A535" s="20"/>
      <c r="B535" s="20"/>
      <c r="C535" s="20"/>
      <c r="D535" s="20"/>
      <c r="E535" s="20"/>
      <c r="F535" s="20"/>
      <c r="G535" s="20"/>
      <c r="H535" s="20"/>
      <c r="I535" s="20"/>
      <c r="J535" s="20"/>
      <c r="K535" s="20"/>
      <c r="L535" s="20"/>
      <c r="M535" s="20"/>
      <c r="N535" s="20"/>
      <c r="O535" s="20"/>
      <c r="P535" s="20"/>
      <c r="Q535" s="20"/>
      <c r="R535" s="20"/>
      <c r="S535" s="20"/>
    </row>
    <row r="536">
      <c r="A536" s="20"/>
      <c r="B536" s="20"/>
      <c r="C536" s="20"/>
      <c r="D536" s="20"/>
      <c r="E536" s="20"/>
      <c r="F536" s="20"/>
      <c r="G536" s="20"/>
      <c r="H536" s="20"/>
      <c r="I536" s="20"/>
      <c r="J536" s="20"/>
      <c r="K536" s="20"/>
      <c r="L536" s="20"/>
      <c r="M536" s="20"/>
      <c r="N536" s="20"/>
      <c r="O536" s="20"/>
      <c r="P536" s="20"/>
      <c r="Q536" s="20"/>
      <c r="R536" s="20"/>
      <c r="S536" s="20"/>
    </row>
    <row r="537">
      <c r="A537" s="20"/>
      <c r="B537" s="20"/>
      <c r="C537" s="20"/>
      <c r="D537" s="20"/>
      <c r="E537" s="20"/>
      <c r="F537" s="20"/>
      <c r="G537" s="20"/>
      <c r="H537" s="20"/>
      <c r="I537" s="20"/>
      <c r="J537" s="20"/>
      <c r="K537" s="20"/>
      <c r="L537" s="20"/>
      <c r="M537" s="20"/>
      <c r="N537" s="20"/>
      <c r="O537" s="20"/>
      <c r="P537" s="20"/>
      <c r="Q537" s="20"/>
      <c r="R537" s="20"/>
      <c r="S537" s="20"/>
    </row>
    <row r="538">
      <c r="A538" s="20"/>
      <c r="B538" s="20"/>
      <c r="C538" s="20"/>
      <c r="D538" s="20"/>
      <c r="E538" s="20"/>
      <c r="F538" s="20"/>
      <c r="G538" s="20"/>
      <c r="H538" s="20"/>
      <c r="I538" s="20"/>
      <c r="J538" s="20"/>
      <c r="K538" s="20"/>
      <c r="L538" s="20"/>
      <c r="M538" s="20"/>
      <c r="N538" s="20"/>
      <c r="O538" s="20"/>
      <c r="P538" s="20"/>
      <c r="Q538" s="20"/>
      <c r="R538" s="20"/>
      <c r="S538" s="20"/>
    </row>
    <row r="539">
      <c r="A539" s="20"/>
      <c r="B539" s="20"/>
      <c r="C539" s="20"/>
      <c r="D539" s="20"/>
      <c r="E539" s="20"/>
      <c r="F539" s="20"/>
      <c r="G539" s="20"/>
      <c r="H539" s="20"/>
      <c r="I539" s="20"/>
      <c r="J539" s="20"/>
      <c r="K539" s="20"/>
      <c r="L539" s="20"/>
      <c r="M539" s="20"/>
      <c r="N539" s="20"/>
      <c r="O539" s="20"/>
      <c r="P539" s="20"/>
      <c r="Q539" s="20"/>
      <c r="R539" s="20"/>
      <c r="S539" s="20"/>
    </row>
    <row r="540">
      <c r="A540" s="20"/>
      <c r="B540" s="20"/>
      <c r="C540" s="20"/>
      <c r="D540" s="20"/>
      <c r="E540" s="20"/>
      <c r="F540" s="20"/>
      <c r="G540" s="20"/>
      <c r="H540" s="20"/>
      <c r="I540" s="20"/>
      <c r="J540" s="20"/>
      <c r="K540" s="20"/>
      <c r="L540" s="20"/>
      <c r="M540" s="20"/>
      <c r="N540" s="20"/>
      <c r="O540" s="20"/>
      <c r="P540" s="20"/>
      <c r="Q540" s="20"/>
      <c r="R540" s="20"/>
      <c r="S540" s="20"/>
    </row>
    <row r="541">
      <c r="A541" s="20"/>
      <c r="B541" s="20"/>
      <c r="C541" s="20"/>
      <c r="D541" s="20"/>
      <c r="E541" s="20"/>
      <c r="F541" s="20"/>
      <c r="G541" s="20"/>
      <c r="H541" s="20"/>
      <c r="I541" s="20"/>
      <c r="J541" s="20"/>
      <c r="K541" s="20"/>
      <c r="L541" s="20"/>
      <c r="M541" s="20"/>
      <c r="N541" s="20"/>
      <c r="O541" s="20"/>
      <c r="P541" s="20"/>
      <c r="Q541" s="20"/>
      <c r="R541" s="20"/>
      <c r="S541" s="20"/>
    </row>
    <row r="542">
      <c r="A542" s="20"/>
      <c r="B542" s="20"/>
      <c r="C542" s="20"/>
      <c r="D542" s="20"/>
      <c r="E542" s="20"/>
      <c r="F542" s="20"/>
      <c r="G542" s="20"/>
      <c r="H542" s="20"/>
      <c r="I542" s="20"/>
      <c r="J542" s="20"/>
      <c r="K542" s="20"/>
      <c r="L542" s="20"/>
      <c r="M542" s="20"/>
      <c r="N542" s="20"/>
      <c r="O542" s="20"/>
      <c r="P542" s="20"/>
      <c r="Q542" s="20"/>
      <c r="R542" s="20"/>
      <c r="S542" s="20"/>
    </row>
    <row r="543">
      <c r="A543" s="20"/>
      <c r="B543" s="20"/>
      <c r="C543" s="20"/>
      <c r="D543" s="20"/>
      <c r="E543" s="20"/>
      <c r="F543" s="20"/>
      <c r="G543" s="20"/>
      <c r="H543" s="20"/>
      <c r="I543" s="20"/>
      <c r="J543" s="20"/>
      <c r="K543" s="20"/>
      <c r="L543" s="20"/>
      <c r="M543" s="20"/>
      <c r="N543" s="20"/>
      <c r="O543" s="20"/>
      <c r="P543" s="20"/>
      <c r="Q543" s="20"/>
      <c r="R543" s="20"/>
      <c r="S543" s="20"/>
    </row>
    <row r="544">
      <c r="A544" s="20"/>
      <c r="B544" s="20"/>
      <c r="C544" s="20"/>
      <c r="D544" s="20"/>
      <c r="E544" s="20"/>
      <c r="F544" s="20"/>
      <c r="G544" s="20"/>
      <c r="H544" s="20"/>
      <c r="I544" s="20"/>
      <c r="J544" s="20"/>
      <c r="K544" s="20"/>
      <c r="L544" s="20"/>
      <c r="M544" s="20"/>
      <c r="N544" s="20"/>
      <c r="O544" s="20"/>
      <c r="P544" s="20"/>
      <c r="Q544" s="20"/>
      <c r="R544" s="20"/>
      <c r="S544" s="20"/>
    </row>
    <row r="545">
      <c r="A545" s="20"/>
      <c r="B545" s="20"/>
      <c r="C545" s="20"/>
      <c r="D545" s="20"/>
      <c r="E545" s="20"/>
      <c r="F545" s="20"/>
      <c r="G545" s="20"/>
      <c r="H545" s="20"/>
      <c r="I545" s="20"/>
      <c r="J545" s="20"/>
      <c r="K545" s="20"/>
      <c r="L545" s="20"/>
      <c r="M545" s="20"/>
      <c r="N545" s="20"/>
      <c r="O545" s="20"/>
      <c r="P545" s="20"/>
      <c r="Q545" s="20"/>
      <c r="R545" s="20"/>
      <c r="S545" s="20"/>
    </row>
    <row r="546">
      <c r="A546" s="20"/>
      <c r="B546" s="20"/>
      <c r="C546" s="20"/>
      <c r="D546" s="20"/>
      <c r="E546" s="20"/>
      <c r="F546" s="20"/>
      <c r="G546" s="20"/>
      <c r="H546" s="20"/>
      <c r="I546" s="20"/>
      <c r="J546" s="20"/>
      <c r="K546" s="20"/>
      <c r="L546" s="20"/>
      <c r="M546" s="20"/>
      <c r="N546" s="20"/>
      <c r="O546" s="20"/>
      <c r="P546" s="20"/>
      <c r="Q546" s="20"/>
      <c r="R546" s="20"/>
      <c r="S546" s="20"/>
    </row>
    <row r="547">
      <c r="A547" s="20"/>
      <c r="B547" s="20"/>
      <c r="C547" s="20"/>
      <c r="D547" s="20"/>
      <c r="E547" s="20"/>
      <c r="F547" s="20"/>
      <c r="G547" s="20"/>
      <c r="H547" s="20"/>
      <c r="I547" s="20"/>
      <c r="J547" s="20"/>
      <c r="K547" s="20"/>
      <c r="L547" s="20"/>
      <c r="M547" s="20"/>
      <c r="N547" s="20"/>
      <c r="O547" s="20"/>
      <c r="P547" s="20"/>
      <c r="Q547" s="20"/>
      <c r="R547" s="20"/>
      <c r="S547" s="20"/>
    </row>
    <row r="548">
      <c r="A548" s="20"/>
      <c r="B548" s="20"/>
      <c r="C548" s="20"/>
      <c r="D548" s="20"/>
      <c r="E548" s="20"/>
      <c r="F548" s="20"/>
      <c r="G548" s="20"/>
      <c r="H548" s="20"/>
      <c r="I548" s="20"/>
      <c r="J548" s="20"/>
      <c r="K548" s="20"/>
      <c r="L548" s="20"/>
      <c r="M548" s="20"/>
      <c r="N548" s="20"/>
      <c r="O548" s="20"/>
      <c r="P548" s="20"/>
      <c r="Q548" s="20"/>
      <c r="R548" s="20"/>
      <c r="S548" s="20"/>
    </row>
    <row r="549">
      <c r="A549" s="20"/>
      <c r="B549" s="20"/>
      <c r="C549" s="20"/>
      <c r="D549" s="20"/>
      <c r="E549" s="20"/>
      <c r="F549" s="20"/>
      <c r="G549" s="20"/>
      <c r="H549" s="20"/>
      <c r="I549" s="20"/>
      <c r="J549" s="20"/>
      <c r="K549" s="20"/>
      <c r="L549" s="20"/>
      <c r="M549" s="20"/>
      <c r="N549" s="20"/>
      <c r="O549" s="20"/>
      <c r="P549" s="20"/>
      <c r="Q549" s="20"/>
      <c r="R549" s="20"/>
      <c r="S549" s="20"/>
    </row>
    <row r="550">
      <c r="A550" s="20"/>
      <c r="B550" s="20"/>
      <c r="C550" s="20"/>
      <c r="D550" s="20"/>
      <c r="E550" s="20"/>
      <c r="F550" s="20"/>
      <c r="G550" s="20"/>
      <c r="H550" s="20"/>
      <c r="I550" s="20"/>
      <c r="J550" s="20"/>
      <c r="K550" s="20"/>
      <c r="L550" s="20"/>
      <c r="M550" s="20"/>
      <c r="N550" s="20"/>
      <c r="O550" s="20"/>
      <c r="P550" s="20"/>
      <c r="Q550" s="20"/>
      <c r="R550" s="20"/>
      <c r="S550" s="20"/>
    </row>
    <row r="551">
      <c r="A551" s="20"/>
      <c r="B551" s="20"/>
      <c r="C551" s="20"/>
      <c r="D551" s="20"/>
      <c r="E551" s="20"/>
      <c r="F551" s="20"/>
      <c r="G551" s="20"/>
      <c r="H551" s="20"/>
      <c r="I551" s="20"/>
      <c r="J551" s="20"/>
      <c r="K551" s="20"/>
      <c r="L551" s="20"/>
      <c r="M551" s="20"/>
      <c r="N551" s="20"/>
      <c r="O551" s="20"/>
      <c r="P551" s="20"/>
      <c r="Q551" s="20"/>
      <c r="R551" s="20"/>
      <c r="S551" s="20"/>
    </row>
    <row r="552">
      <c r="A552" s="20"/>
      <c r="B552" s="20"/>
      <c r="C552" s="20"/>
      <c r="D552" s="20"/>
      <c r="E552" s="20"/>
      <c r="F552" s="20"/>
      <c r="G552" s="20"/>
      <c r="H552" s="20"/>
      <c r="I552" s="20"/>
      <c r="J552" s="20"/>
      <c r="K552" s="20"/>
      <c r="L552" s="20"/>
      <c r="M552" s="20"/>
      <c r="N552" s="20"/>
      <c r="O552" s="20"/>
      <c r="P552" s="20"/>
      <c r="Q552" s="20"/>
      <c r="R552" s="20"/>
      <c r="S552" s="20"/>
    </row>
    <row r="553">
      <c r="A553" s="20"/>
      <c r="B553" s="20"/>
      <c r="C553" s="20"/>
      <c r="D553" s="20"/>
      <c r="E553" s="20"/>
      <c r="F553" s="20"/>
      <c r="G553" s="20"/>
      <c r="H553" s="20"/>
      <c r="I553" s="20"/>
      <c r="J553" s="20"/>
      <c r="K553" s="20"/>
      <c r="L553" s="20"/>
      <c r="M553" s="20"/>
      <c r="N553" s="20"/>
      <c r="O553" s="20"/>
      <c r="P553" s="20"/>
      <c r="Q553" s="20"/>
      <c r="R553" s="20"/>
      <c r="S553" s="20"/>
    </row>
    <row r="554">
      <c r="A554" s="20"/>
      <c r="B554" s="20"/>
      <c r="C554" s="20"/>
      <c r="D554" s="20"/>
      <c r="E554" s="20"/>
      <c r="F554" s="20"/>
      <c r="G554" s="20"/>
      <c r="H554" s="20"/>
      <c r="I554" s="20"/>
      <c r="J554" s="20"/>
      <c r="K554" s="20"/>
      <c r="L554" s="20"/>
      <c r="M554" s="20"/>
      <c r="N554" s="20"/>
      <c r="O554" s="20"/>
      <c r="P554" s="20"/>
      <c r="Q554" s="20"/>
      <c r="R554" s="20"/>
      <c r="S554" s="20"/>
    </row>
    <row r="555">
      <c r="A555" s="20"/>
      <c r="B555" s="20"/>
      <c r="C555" s="20"/>
      <c r="D555" s="20"/>
      <c r="E555" s="20"/>
      <c r="F555" s="20"/>
      <c r="G555" s="20"/>
      <c r="H555" s="20"/>
      <c r="I555" s="20"/>
      <c r="J555" s="20"/>
      <c r="K555" s="20"/>
      <c r="L555" s="20"/>
      <c r="M555" s="20"/>
      <c r="N555" s="20"/>
      <c r="O555" s="20"/>
      <c r="P555" s="20"/>
      <c r="Q555" s="20"/>
      <c r="R555" s="20"/>
      <c r="S555" s="20"/>
    </row>
    <row r="556">
      <c r="A556" s="20"/>
      <c r="B556" s="20"/>
      <c r="C556" s="20"/>
      <c r="D556" s="20"/>
      <c r="E556" s="20"/>
      <c r="F556" s="20"/>
      <c r="G556" s="20"/>
      <c r="H556" s="20"/>
      <c r="I556" s="20"/>
      <c r="J556" s="20"/>
      <c r="K556" s="20"/>
      <c r="L556" s="20"/>
      <c r="M556" s="20"/>
      <c r="N556" s="20"/>
      <c r="O556" s="20"/>
      <c r="P556" s="20"/>
      <c r="Q556" s="20"/>
      <c r="R556" s="20"/>
      <c r="S556" s="20"/>
    </row>
    <row r="557">
      <c r="A557" s="20"/>
      <c r="B557" s="20"/>
      <c r="C557" s="20"/>
      <c r="D557" s="20"/>
      <c r="E557" s="20"/>
      <c r="F557" s="20"/>
      <c r="G557" s="20"/>
      <c r="H557" s="20"/>
      <c r="I557" s="20"/>
      <c r="J557" s="20"/>
      <c r="K557" s="20"/>
      <c r="L557" s="20"/>
      <c r="M557" s="20"/>
      <c r="N557" s="20"/>
      <c r="O557" s="20"/>
      <c r="P557" s="20"/>
      <c r="Q557" s="20"/>
      <c r="R557" s="20"/>
      <c r="S557" s="20"/>
    </row>
    <row r="558">
      <c r="A558" s="20"/>
      <c r="B558" s="20"/>
      <c r="C558" s="20"/>
      <c r="D558" s="20"/>
      <c r="E558" s="20"/>
      <c r="F558" s="20"/>
      <c r="G558" s="20"/>
      <c r="H558" s="20"/>
      <c r="I558" s="20"/>
      <c r="J558" s="20"/>
      <c r="K558" s="20"/>
      <c r="L558" s="20"/>
      <c r="M558" s="20"/>
      <c r="N558" s="20"/>
      <c r="O558" s="20"/>
      <c r="P558" s="20"/>
      <c r="Q558" s="20"/>
      <c r="R558" s="20"/>
      <c r="S558" s="20"/>
    </row>
    <row r="559">
      <c r="A559" s="20"/>
      <c r="B559" s="20"/>
      <c r="C559" s="20"/>
      <c r="D559" s="20"/>
      <c r="E559" s="20"/>
      <c r="F559" s="20"/>
      <c r="G559" s="20"/>
      <c r="H559" s="20"/>
      <c r="I559" s="20"/>
      <c r="J559" s="20"/>
      <c r="K559" s="20"/>
      <c r="L559" s="20"/>
      <c r="M559" s="20"/>
      <c r="N559" s="20"/>
      <c r="O559" s="20"/>
      <c r="P559" s="20"/>
      <c r="Q559" s="20"/>
      <c r="R559" s="20"/>
      <c r="S559" s="20"/>
    </row>
    <row r="560">
      <c r="A560" s="20"/>
      <c r="B560" s="20"/>
      <c r="C560" s="20"/>
      <c r="D560" s="20"/>
      <c r="E560" s="20"/>
      <c r="F560" s="20"/>
      <c r="G560" s="20"/>
      <c r="H560" s="20"/>
      <c r="I560" s="20"/>
      <c r="J560" s="20"/>
      <c r="K560" s="20"/>
      <c r="L560" s="20"/>
      <c r="M560" s="20"/>
      <c r="N560" s="20"/>
      <c r="O560" s="20"/>
      <c r="P560" s="20"/>
      <c r="Q560" s="20"/>
      <c r="R560" s="20"/>
      <c r="S560" s="20"/>
    </row>
    <row r="561">
      <c r="A561" s="20"/>
      <c r="B561" s="20"/>
      <c r="C561" s="20"/>
      <c r="D561" s="20"/>
      <c r="E561" s="20"/>
      <c r="F561" s="20"/>
      <c r="G561" s="20"/>
      <c r="H561" s="20"/>
      <c r="I561" s="20"/>
      <c r="J561" s="20"/>
      <c r="K561" s="20"/>
      <c r="L561" s="20"/>
      <c r="M561" s="20"/>
      <c r="N561" s="20"/>
      <c r="O561" s="20"/>
      <c r="P561" s="20"/>
      <c r="Q561" s="20"/>
      <c r="R561" s="20"/>
      <c r="S561" s="20"/>
    </row>
    <row r="562">
      <c r="A562" s="20"/>
      <c r="B562" s="20"/>
      <c r="C562" s="20"/>
      <c r="D562" s="20"/>
      <c r="E562" s="20"/>
      <c r="F562" s="20"/>
      <c r="G562" s="20"/>
      <c r="H562" s="20"/>
      <c r="I562" s="20"/>
      <c r="J562" s="20"/>
      <c r="K562" s="20"/>
      <c r="L562" s="20"/>
      <c r="M562" s="20"/>
      <c r="N562" s="20"/>
      <c r="O562" s="20"/>
      <c r="P562" s="20"/>
      <c r="Q562" s="20"/>
      <c r="R562" s="20"/>
      <c r="S562" s="20"/>
    </row>
    <row r="563">
      <c r="A563" s="20"/>
      <c r="B563" s="20"/>
      <c r="C563" s="20"/>
      <c r="D563" s="20"/>
      <c r="E563" s="20"/>
      <c r="F563" s="20"/>
      <c r="G563" s="20"/>
      <c r="H563" s="20"/>
      <c r="I563" s="20"/>
      <c r="J563" s="20"/>
      <c r="K563" s="20"/>
      <c r="L563" s="20"/>
      <c r="M563" s="20"/>
      <c r="N563" s="20"/>
      <c r="O563" s="20"/>
      <c r="P563" s="20"/>
      <c r="Q563" s="20"/>
      <c r="R563" s="20"/>
      <c r="S563" s="20"/>
    </row>
    <row r="564">
      <c r="A564" s="20"/>
      <c r="B564" s="20"/>
      <c r="C564" s="20"/>
      <c r="D564" s="20"/>
      <c r="E564" s="20"/>
      <c r="F564" s="20"/>
      <c r="G564" s="20"/>
      <c r="H564" s="20"/>
      <c r="I564" s="20"/>
      <c r="J564" s="20"/>
      <c r="K564" s="20"/>
      <c r="L564" s="20"/>
      <c r="M564" s="20"/>
      <c r="N564" s="20"/>
      <c r="O564" s="20"/>
      <c r="P564" s="20"/>
      <c r="Q564" s="20"/>
      <c r="R564" s="20"/>
      <c r="S564" s="20"/>
    </row>
    <row r="565">
      <c r="A565" s="20"/>
      <c r="B565" s="20"/>
      <c r="C565" s="20"/>
      <c r="D565" s="20"/>
      <c r="E565" s="20"/>
      <c r="F565" s="20"/>
      <c r="G565" s="20"/>
      <c r="H565" s="20"/>
      <c r="I565" s="20"/>
      <c r="J565" s="20"/>
      <c r="K565" s="20"/>
      <c r="L565" s="20"/>
      <c r="M565" s="20"/>
      <c r="N565" s="20"/>
      <c r="O565" s="20"/>
      <c r="P565" s="20"/>
      <c r="Q565" s="20"/>
      <c r="R565" s="20"/>
      <c r="S565" s="20"/>
    </row>
    <row r="566">
      <c r="A566" s="20"/>
      <c r="B566" s="20"/>
      <c r="C566" s="20"/>
      <c r="D566" s="20"/>
      <c r="E566" s="20"/>
      <c r="F566" s="20"/>
      <c r="G566" s="20"/>
      <c r="H566" s="20"/>
      <c r="I566" s="20"/>
      <c r="J566" s="20"/>
      <c r="K566" s="20"/>
      <c r="L566" s="20"/>
      <c r="M566" s="20"/>
      <c r="N566" s="20"/>
      <c r="O566" s="20"/>
      <c r="P566" s="20"/>
      <c r="Q566" s="20"/>
      <c r="R566" s="20"/>
      <c r="S566" s="20"/>
    </row>
    <row r="567">
      <c r="A567" s="20"/>
      <c r="B567" s="20"/>
      <c r="C567" s="20"/>
      <c r="D567" s="20"/>
      <c r="E567" s="20"/>
      <c r="F567" s="20"/>
      <c r="G567" s="20"/>
      <c r="H567" s="20"/>
      <c r="I567" s="20"/>
      <c r="J567" s="20"/>
      <c r="K567" s="20"/>
      <c r="L567" s="20"/>
      <c r="M567" s="20"/>
      <c r="N567" s="20"/>
      <c r="O567" s="20"/>
      <c r="P567" s="20"/>
      <c r="Q567" s="20"/>
      <c r="R567" s="20"/>
      <c r="S567" s="20"/>
    </row>
    <row r="568">
      <c r="A568" s="20"/>
      <c r="B568" s="20"/>
      <c r="C568" s="20"/>
      <c r="D568" s="20"/>
      <c r="E568" s="20"/>
      <c r="F568" s="20"/>
      <c r="G568" s="20"/>
      <c r="H568" s="20"/>
      <c r="I568" s="20"/>
      <c r="J568" s="20"/>
      <c r="K568" s="20"/>
      <c r="L568" s="20"/>
      <c r="M568" s="20"/>
      <c r="N568" s="20"/>
      <c r="O568" s="20"/>
      <c r="P568" s="20"/>
      <c r="Q568" s="20"/>
      <c r="R568" s="20"/>
      <c r="S568" s="20"/>
    </row>
    <row r="569">
      <c r="A569" s="20"/>
      <c r="B569" s="20"/>
      <c r="C569" s="20"/>
      <c r="D569" s="20"/>
      <c r="E569" s="20"/>
      <c r="F569" s="20"/>
      <c r="G569" s="20"/>
      <c r="H569" s="20"/>
      <c r="I569" s="20"/>
      <c r="J569" s="20"/>
      <c r="K569" s="20"/>
      <c r="L569" s="20"/>
      <c r="M569" s="20"/>
      <c r="N569" s="20"/>
      <c r="O569" s="20"/>
      <c r="P569" s="20"/>
      <c r="Q569" s="20"/>
      <c r="R569" s="20"/>
      <c r="S569" s="20"/>
    </row>
    <row r="570">
      <c r="A570" s="20"/>
      <c r="B570" s="20"/>
      <c r="C570" s="20"/>
      <c r="D570" s="20"/>
      <c r="E570" s="20"/>
      <c r="F570" s="20"/>
      <c r="G570" s="20"/>
      <c r="H570" s="20"/>
      <c r="I570" s="20"/>
      <c r="J570" s="20"/>
      <c r="K570" s="20"/>
      <c r="L570" s="20"/>
      <c r="M570" s="20"/>
      <c r="N570" s="20"/>
      <c r="O570" s="20"/>
      <c r="P570" s="20"/>
      <c r="Q570" s="20"/>
      <c r="R570" s="20"/>
      <c r="S570" s="20"/>
    </row>
    <row r="571">
      <c r="A571" s="20"/>
      <c r="B571" s="20"/>
      <c r="C571" s="20"/>
      <c r="D571" s="20"/>
      <c r="E571" s="20"/>
      <c r="F571" s="20"/>
      <c r="G571" s="20"/>
      <c r="H571" s="20"/>
      <c r="I571" s="20"/>
      <c r="J571" s="20"/>
      <c r="K571" s="20"/>
      <c r="L571" s="20"/>
      <c r="M571" s="20"/>
      <c r="N571" s="20"/>
      <c r="O571" s="20"/>
      <c r="P571" s="20"/>
      <c r="Q571" s="20"/>
      <c r="R571" s="20"/>
      <c r="S571" s="20"/>
    </row>
    <row r="572">
      <c r="A572" s="20"/>
      <c r="B572" s="20"/>
      <c r="C572" s="20"/>
      <c r="D572" s="20"/>
      <c r="E572" s="20"/>
      <c r="F572" s="20"/>
      <c r="G572" s="20"/>
      <c r="H572" s="20"/>
      <c r="I572" s="20"/>
      <c r="J572" s="20"/>
      <c r="K572" s="20"/>
      <c r="L572" s="20"/>
      <c r="M572" s="20"/>
      <c r="N572" s="20"/>
      <c r="O572" s="20"/>
      <c r="P572" s="20"/>
      <c r="Q572" s="20"/>
      <c r="R572" s="20"/>
      <c r="S572" s="20"/>
    </row>
    <row r="573">
      <c r="A573" s="20"/>
      <c r="B573" s="20"/>
      <c r="C573" s="20"/>
      <c r="D573" s="20"/>
      <c r="E573" s="20"/>
      <c r="F573" s="20"/>
      <c r="G573" s="20"/>
      <c r="H573" s="20"/>
      <c r="I573" s="20"/>
      <c r="J573" s="20"/>
      <c r="K573" s="20"/>
      <c r="L573" s="20"/>
      <c r="M573" s="20"/>
      <c r="N573" s="20"/>
      <c r="O573" s="20"/>
      <c r="P573" s="20"/>
      <c r="Q573" s="20"/>
      <c r="R573" s="20"/>
      <c r="S573" s="20"/>
    </row>
    <row r="574">
      <c r="A574" s="20"/>
      <c r="B574" s="20"/>
      <c r="C574" s="20"/>
      <c r="D574" s="20"/>
      <c r="E574" s="20"/>
      <c r="F574" s="20"/>
      <c r="G574" s="20"/>
      <c r="H574" s="20"/>
      <c r="I574" s="20"/>
      <c r="J574" s="20"/>
      <c r="K574" s="20"/>
      <c r="L574" s="20"/>
      <c r="M574" s="20"/>
      <c r="N574" s="20"/>
      <c r="O574" s="20"/>
      <c r="P574" s="20"/>
      <c r="Q574" s="20"/>
      <c r="R574" s="20"/>
      <c r="S574" s="20"/>
    </row>
    <row r="575">
      <c r="A575" s="20"/>
      <c r="B575" s="20"/>
      <c r="C575" s="20"/>
      <c r="D575" s="20"/>
      <c r="E575" s="20"/>
      <c r="F575" s="20"/>
      <c r="G575" s="20"/>
      <c r="H575" s="20"/>
      <c r="I575" s="20"/>
      <c r="J575" s="20"/>
      <c r="K575" s="20"/>
      <c r="L575" s="20"/>
      <c r="M575" s="20"/>
      <c r="N575" s="20"/>
      <c r="O575" s="20"/>
      <c r="P575" s="20"/>
      <c r="Q575" s="20"/>
      <c r="R575" s="20"/>
      <c r="S575" s="20"/>
    </row>
    <row r="576">
      <c r="A576" s="20"/>
      <c r="B576" s="20"/>
      <c r="C576" s="20"/>
      <c r="D576" s="20"/>
      <c r="E576" s="20"/>
      <c r="F576" s="20"/>
      <c r="G576" s="20"/>
      <c r="H576" s="20"/>
      <c r="I576" s="20"/>
      <c r="J576" s="20"/>
      <c r="K576" s="20"/>
      <c r="L576" s="20"/>
      <c r="M576" s="20"/>
      <c r="N576" s="20"/>
      <c r="O576" s="20"/>
      <c r="P576" s="20"/>
      <c r="Q576" s="20"/>
      <c r="R576" s="20"/>
      <c r="S576" s="20"/>
    </row>
    <row r="577">
      <c r="A577" s="20"/>
      <c r="B577" s="20"/>
      <c r="C577" s="20"/>
      <c r="D577" s="20"/>
      <c r="E577" s="20"/>
      <c r="F577" s="20"/>
      <c r="G577" s="20"/>
      <c r="H577" s="20"/>
      <c r="I577" s="20"/>
      <c r="J577" s="20"/>
      <c r="K577" s="20"/>
      <c r="L577" s="20"/>
      <c r="M577" s="20"/>
      <c r="N577" s="20"/>
      <c r="O577" s="20"/>
      <c r="P577" s="20"/>
      <c r="Q577" s="20"/>
      <c r="R577" s="20"/>
      <c r="S577" s="20"/>
    </row>
    <row r="578">
      <c r="A578" s="20"/>
      <c r="B578" s="20"/>
      <c r="C578" s="20"/>
      <c r="D578" s="20"/>
      <c r="E578" s="20"/>
      <c r="F578" s="20"/>
      <c r="G578" s="20"/>
      <c r="H578" s="20"/>
      <c r="I578" s="20"/>
      <c r="J578" s="20"/>
      <c r="K578" s="20"/>
      <c r="L578" s="20"/>
      <c r="M578" s="20"/>
      <c r="N578" s="20"/>
      <c r="O578" s="20"/>
      <c r="P578" s="20"/>
      <c r="Q578" s="20"/>
      <c r="R578" s="20"/>
      <c r="S578" s="20"/>
    </row>
    <row r="579">
      <c r="A579" s="20"/>
      <c r="B579" s="20"/>
      <c r="C579" s="20"/>
      <c r="D579" s="20"/>
      <c r="E579" s="20"/>
      <c r="F579" s="20"/>
      <c r="G579" s="20"/>
      <c r="H579" s="20"/>
      <c r="I579" s="20"/>
      <c r="J579" s="20"/>
      <c r="K579" s="20"/>
      <c r="L579" s="20"/>
      <c r="M579" s="20"/>
      <c r="N579" s="20"/>
      <c r="O579" s="20"/>
      <c r="P579" s="20"/>
      <c r="Q579" s="20"/>
      <c r="R579" s="20"/>
      <c r="S579" s="20"/>
    </row>
    <row r="580">
      <c r="A580" s="20"/>
      <c r="B580" s="20"/>
      <c r="C580" s="20"/>
      <c r="D580" s="20"/>
      <c r="E580" s="20"/>
      <c r="F580" s="20"/>
      <c r="G580" s="20"/>
      <c r="H580" s="20"/>
      <c r="I580" s="20"/>
      <c r="J580" s="20"/>
      <c r="K580" s="20"/>
      <c r="L580" s="20"/>
      <c r="M580" s="20"/>
      <c r="N580" s="20"/>
      <c r="O580" s="20"/>
      <c r="P580" s="20"/>
      <c r="Q580" s="20"/>
      <c r="R580" s="20"/>
      <c r="S580" s="20"/>
    </row>
    <row r="581">
      <c r="A581" s="20"/>
      <c r="B581" s="20"/>
      <c r="C581" s="20"/>
      <c r="D581" s="20"/>
      <c r="E581" s="20"/>
      <c r="F581" s="20"/>
      <c r="G581" s="20"/>
      <c r="H581" s="20"/>
      <c r="I581" s="20"/>
      <c r="J581" s="20"/>
      <c r="K581" s="20"/>
      <c r="L581" s="20"/>
      <c r="M581" s="20"/>
      <c r="N581" s="20"/>
      <c r="O581" s="20"/>
      <c r="P581" s="20"/>
      <c r="Q581" s="20"/>
      <c r="R581" s="20"/>
      <c r="S581" s="20"/>
    </row>
    <row r="582">
      <c r="A582" s="20"/>
      <c r="B582" s="20"/>
      <c r="C582" s="20"/>
      <c r="D582" s="20"/>
      <c r="E582" s="20"/>
      <c r="F582" s="20"/>
      <c r="G582" s="20"/>
      <c r="H582" s="20"/>
      <c r="I582" s="20"/>
      <c r="J582" s="20"/>
      <c r="K582" s="20"/>
      <c r="L582" s="20"/>
      <c r="M582" s="20"/>
      <c r="N582" s="20"/>
      <c r="O582" s="20"/>
      <c r="P582" s="20"/>
      <c r="Q582" s="20"/>
      <c r="R582" s="20"/>
      <c r="S582" s="20"/>
    </row>
    <row r="583">
      <c r="A583" s="20"/>
      <c r="B583" s="20"/>
      <c r="C583" s="20"/>
      <c r="D583" s="20"/>
      <c r="E583" s="20"/>
      <c r="F583" s="20"/>
      <c r="G583" s="20"/>
      <c r="H583" s="20"/>
      <c r="I583" s="20"/>
      <c r="J583" s="20"/>
      <c r="K583" s="20"/>
      <c r="L583" s="20"/>
      <c r="M583" s="20"/>
      <c r="N583" s="20"/>
      <c r="O583" s="20"/>
      <c r="P583" s="20"/>
      <c r="Q583" s="20"/>
      <c r="R583" s="20"/>
      <c r="S583" s="20"/>
    </row>
    <row r="584">
      <c r="A584" s="20"/>
      <c r="B584" s="20"/>
      <c r="C584" s="20"/>
      <c r="D584" s="20"/>
      <c r="E584" s="20"/>
      <c r="F584" s="20"/>
      <c r="G584" s="20"/>
      <c r="H584" s="20"/>
      <c r="I584" s="20"/>
      <c r="J584" s="20"/>
      <c r="K584" s="20"/>
      <c r="L584" s="20"/>
      <c r="M584" s="20"/>
      <c r="N584" s="20"/>
      <c r="O584" s="20"/>
      <c r="P584" s="20"/>
      <c r="Q584" s="20"/>
      <c r="R584" s="20"/>
      <c r="S584" s="20"/>
    </row>
    <row r="585">
      <c r="A585" s="20"/>
      <c r="B585" s="20"/>
      <c r="C585" s="20"/>
      <c r="D585" s="20"/>
      <c r="E585" s="20"/>
      <c r="F585" s="20"/>
      <c r="G585" s="20"/>
      <c r="H585" s="20"/>
      <c r="I585" s="20"/>
      <c r="J585" s="20"/>
      <c r="K585" s="20"/>
      <c r="L585" s="20"/>
      <c r="M585" s="20"/>
      <c r="N585" s="20"/>
      <c r="O585" s="20"/>
      <c r="P585" s="20"/>
      <c r="Q585" s="20"/>
      <c r="R585" s="20"/>
      <c r="S585" s="20"/>
    </row>
    <row r="586">
      <c r="A586" s="20"/>
      <c r="B586" s="20"/>
      <c r="C586" s="20"/>
      <c r="D586" s="20"/>
      <c r="E586" s="20"/>
      <c r="F586" s="20"/>
      <c r="G586" s="20"/>
      <c r="H586" s="20"/>
      <c r="I586" s="20"/>
      <c r="J586" s="20"/>
      <c r="K586" s="20"/>
      <c r="L586" s="20"/>
      <c r="M586" s="20"/>
      <c r="N586" s="20"/>
      <c r="O586" s="20"/>
      <c r="P586" s="20"/>
      <c r="Q586" s="20"/>
      <c r="R586" s="20"/>
      <c r="S586" s="20"/>
    </row>
    <row r="587">
      <c r="A587" s="20"/>
      <c r="B587" s="20"/>
      <c r="C587" s="20"/>
      <c r="D587" s="20"/>
      <c r="E587" s="20"/>
      <c r="F587" s="20"/>
      <c r="G587" s="20"/>
      <c r="H587" s="20"/>
      <c r="I587" s="20"/>
      <c r="J587" s="20"/>
      <c r="K587" s="20"/>
      <c r="L587" s="20"/>
      <c r="M587" s="20"/>
      <c r="N587" s="20"/>
      <c r="O587" s="20"/>
      <c r="P587" s="20"/>
      <c r="Q587" s="20"/>
      <c r="R587" s="20"/>
      <c r="S587" s="20"/>
    </row>
    <row r="588">
      <c r="A588" s="20"/>
      <c r="B588" s="20"/>
      <c r="C588" s="20"/>
      <c r="D588" s="20"/>
      <c r="E588" s="20"/>
      <c r="F588" s="20"/>
      <c r="G588" s="20"/>
      <c r="H588" s="20"/>
      <c r="I588" s="20"/>
      <c r="J588" s="20"/>
      <c r="K588" s="20"/>
      <c r="L588" s="20"/>
      <c r="M588" s="20"/>
      <c r="N588" s="20"/>
      <c r="O588" s="20"/>
      <c r="P588" s="20"/>
      <c r="Q588" s="20"/>
      <c r="R588" s="20"/>
      <c r="S588" s="20"/>
    </row>
    <row r="589">
      <c r="A589" s="20"/>
      <c r="B589" s="20"/>
      <c r="C589" s="20"/>
      <c r="D589" s="20"/>
      <c r="E589" s="20"/>
      <c r="F589" s="20"/>
      <c r="G589" s="20"/>
      <c r="H589" s="20"/>
      <c r="I589" s="20"/>
      <c r="J589" s="20"/>
      <c r="K589" s="20"/>
      <c r="L589" s="20"/>
      <c r="M589" s="20"/>
      <c r="N589" s="20"/>
      <c r="O589" s="20"/>
      <c r="P589" s="20"/>
      <c r="Q589" s="20"/>
      <c r="R589" s="20"/>
      <c r="S589" s="20"/>
    </row>
    <row r="590">
      <c r="A590" s="20"/>
      <c r="B590" s="20"/>
      <c r="C590" s="20"/>
      <c r="D590" s="20"/>
      <c r="E590" s="20"/>
      <c r="F590" s="20"/>
      <c r="G590" s="20"/>
      <c r="H590" s="20"/>
      <c r="I590" s="20"/>
      <c r="J590" s="20"/>
      <c r="K590" s="20"/>
      <c r="L590" s="20"/>
      <c r="M590" s="20"/>
      <c r="N590" s="20"/>
      <c r="O590" s="20"/>
      <c r="P590" s="20"/>
      <c r="Q590" s="20"/>
      <c r="R590" s="20"/>
      <c r="S590" s="20"/>
    </row>
    <row r="591">
      <c r="A591" s="20"/>
      <c r="B591" s="20"/>
      <c r="C591" s="20"/>
      <c r="D591" s="20"/>
      <c r="E591" s="20"/>
      <c r="F591" s="20"/>
      <c r="G591" s="20"/>
      <c r="H591" s="20"/>
      <c r="I591" s="20"/>
      <c r="J591" s="20"/>
      <c r="K591" s="20"/>
      <c r="L591" s="20"/>
      <c r="M591" s="20"/>
      <c r="N591" s="20"/>
      <c r="O591" s="20"/>
      <c r="P591" s="20"/>
      <c r="Q591" s="20"/>
      <c r="R591" s="20"/>
      <c r="S591" s="20"/>
    </row>
    <row r="592">
      <c r="A592" s="20"/>
      <c r="B592" s="20"/>
      <c r="C592" s="20"/>
      <c r="D592" s="20"/>
      <c r="E592" s="20"/>
      <c r="F592" s="20"/>
      <c r="G592" s="20"/>
      <c r="H592" s="20"/>
      <c r="I592" s="20"/>
      <c r="J592" s="20"/>
      <c r="K592" s="20"/>
      <c r="L592" s="20"/>
      <c r="M592" s="20"/>
      <c r="N592" s="20"/>
      <c r="O592" s="20"/>
      <c r="P592" s="20"/>
      <c r="Q592" s="20"/>
      <c r="R592" s="20"/>
      <c r="S592" s="20"/>
    </row>
    <row r="593">
      <c r="A593" s="20"/>
      <c r="B593" s="20"/>
      <c r="C593" s="20"/>
      <c r="D593" s="20"/>
      <c r="E593" s="20"/>
      <c r="F593" s="20"/>
      <c r="G593" s="20"/>
      <c r="H593" s="20"/>
      <c r="I593" s="20"/>
      <c r="J593" s="20"/>
      <c r="K593" s="20"/>
      <c r="L593" s="20"/>
      <c r="M593" s="20"/>
      <c r="N593" s="20"/>
      <c r="O593" s="20"/>
      <c r="P593" s="20"/>
      <c r="Q593" s="20"/>
      <c r="R593" s="20"/>
      <c r="S593" s="20"/>
    </row>
    <row r="594">
      <c r="A594" s="20"/>
      <c r="B594" s="20"/>
      <c r="C594" s="20"/>
      <c r="D594" s="20"/>
      <c r="E594" s="20"/>
      <c r="F594" s="20"/>
      <c r="G594" s="20"/>
      <c r="H594" s="20"/>
      <c r="I594" s="20"/>
      <c r="J594" s="20"/>
      <c r="K594" s="20"/>
      <c r="L594" s="20"/>
      <c r="M594" s="20"/>
      <c r="N594" s="20"/>
      <c r="O594" s="20"/>
      <c r="P594" s="20"/>
      <c r="Q594" s="20"/>
      <c r="R594" s="20"/>
      <c r="S594" s="20"/>
    </row>
    <row r="595">
      <c r="A595" s="20"/>
      <c r="B595" s="20"/>
      <c r="C595" s="20"/>
      <c r="D595" s="20"/>
      <c r="E595" s="20"/>
      <c r="F595" s="20"/>
      <c r="G595" s="20"/>
      <c r="H595" s="20"/>
      <c r="I595" s="20"/>
      <c r="J595" s="20"/>
      <c r="K595" s="20"/>
      <c r="L595" s="20"/>
      <c r="M595" s="20"/>
      <c r="N595" s="20"/>
      <c r="O595" s="20"/>
      <c r="P595" s="20"/>
      <c r="Q595" s="20"/>
      <c r="R595" s="20"/>
      <c r="S595" s="20"/>
    </row>
    <row r="596">
      <c r="A596" s="20"/>
      <c r="B596" s="20"/>
      <c r="C596" s="20"/>
      <c r="D596" s="20"/>
      <c r="E596" s="20"/>
      <c r="F596" s="20"/>
      <c r="G596" s="20"/>
      <c r="H596" s="20"/>
      <c r="I596" s="20"/>
      <c r="J596" s="20"/>
      <c r="K596" s="20"/>
      <c r="L596" s="20"/>
      <c r="M596" s="20"/>
      <c r="N596" s="20"/>
      <c r="O596" s="20"/>
      <c r="P596" s="20"/>
      <c r="Q596" s="20"/>
      <c r="R596" s="20"/>
      <c r="S596" s="20"/>
    </row>
    <row r="597">
      <c r="A597" s="20"/>
      <c r="B597" s="20"/>
      <c r="C597" s="20"/>
      <c r="D597" s="20"/>
      <c r="E597" s="20"/>
      <c r="F597" s="20"/>
      <c r="G597" s="20"/>
      <c r="H597" s="20"/>
      <c r="I597" s="20"/>
      <c r="J597" s="20"/>
      <c r="K597" s="20"/>
      <c r="L597" s="20"/>
      <c r="M597" s="20"/>
      <c r="N597" s="20"/>
      <c r="O597" s="20"/>
      <c r="P597" s="20"/>
      <c r="Q597" s="20"/>
      <c r="R597" s="20"/>
      <c r="S597" s="20"/>
    </row>
    <row r="598">
      <c r="A598" s="20"/>
      <c r="B598" s="20"/>
      <c r="C598" s="20"/>
      <c r="D598" s="20"/>
      <c r="E598" s="20"/>
      <c r="F598" s="20"/>
      <c r="G598" s="20"/>
      <c r="H598" s="20"/>
      <c r="I598" s="20"/>
      <c r="J598" s="20"/>
      <c r="K598" s="20"/>
      <c r="L598" s="20"/>
      <c r="M598" s="20"/>
      <c r="N598" s="20"/>
      <c r="O598" s="20"/>
      <c r="P598" s="20"/>
      <c r="Q598" s="20"/>
      <c r="R598" s="20"/>
      <c r="S598" s="20"/>
    </row>
    <row r="599">
      <c r="A599" s="20"/>
      <c r="B599" s="20"/>
      <c r="C599" s="20"/>
      <c r="D599" s="20"/>
      <c r="E599" s="20"/>
      <c r="F599" s="20"/>
      <c r="G599" s="20"/>
      <c r="H599" s="20"/>
      <c r="I599" s="20"/>
      <c r="J599" s="20"/>
      <c r="K599" s="20"/>
      <c r="L599" s="20"/>
      <c r="M599" s="20"/>
      <c r="N599" s="20"/>
      <c r="O599" s="20"/>
      <c r="P599" s="20"/>
      <c r="Q599" s="20"/>
      <c r="R599" s="20"/>
      <c r="S599" s="20"/>
    </row>
    <row r="600">
      <c r="A600" s="20"/>
      <c r="B600" s="20"/>
      <c r="C600" s="20"/>
      <c r="D600" s="20"/>
      <c r="E600" s="20"/>
      <c r="F600" s="20"/>
      <c r="G600" s="20"/>
      <c r="H600" s="20"/>
      <c r="I600" s="20"/>
      <c r="J600" s="20"/>
      <c r="K600" s="20"/>
      <c r="L600" s="20"/>
      <c r="M600" s="20"/>
      <c r="N600" s="20"/>
      <c r="O600" s="20"/>
      <c r="P600" s="20"/>
      <c r="Q600" s="20"/>
      <c r="R600" s="20"/>
      <c r="S600" s="20"/>
    </row>
    <row r="601">
      <c r="A601" s="20"/>
      <c r="B601" s="20"/>
      <c r="C601" s="20"/>
      <c r="D601" s="20"/>
      <c r="E601" s="20"/>
      <c r="F601" s="20"/>
      <c r="G601" s="20"/>
      <c r="H601" s="20"/>
      <c r="I601" s="20"/>
      <c r="J601" s="20"/>
      <c r="K601" s="20"/>
      <c r="L601" s="20"/>
      <c r="M601" s="20"/>
      <c r="N601" s="20"/>
      <c r="O601" s="20"/>
      <c r="P601" s="20"/>
      <c r="Q601" s="20"/>
      <c r="R601" s="20"/>
      <c r="S601" s="20"/>
    </row>
    <row r="602">
      <c r="A602" s="20"/>
      <c r="B602" s="20"/>
      <c r="C602" s="20"/>
      <c r="D602" s="20"/>
      <c r="E602" s="20"/>
      <c r="F602" s="20"/>
      <c r="G602" s="20"/>
      <c r="H602" s="20"/>
      <c r="I602" s="20"/>
      <c r="J602" s="20"/>
      <c r="K602" s="20"/>
      <c r="L602" s="20"/>
      <c r="M602" s="20"/>
      <c r="N602" s="20"/>
      <c r="O602" s="20"/>
      <c r="P602" s="20"/>
      <c r="Q602" s="20"/>
      <c r="R602" s="20"/>
      <c r="S602" s="20"/>
    </row>
    <row r="603">
      <c r="A603" s="20"/>
      <c r="B603" s="20"/>
      <c r="C603" s="20"/>
      <c r="D603" s="20"/>
      <c r="E603" s="20"/>
      <c r="F603" s="20"/>
      <c r="G603" s="20"/>
      <c r="H603" s="20"/>
      <c r="I603" s="20"/>
      <c r="J603" s="20"/>
      <c r="K603" s="20"/>
      <c r="L603" s="20"/>
      <c r="M603" s="20"/>
      <c r="N603" s="20"/>
      <c r="O603" s="20"/>
      <c r="P603" s="20"/>
      <c r="Q603" s="20"/>
      <c r="R603" s="20"/>
      <c r="S603" s="20"/>
    </row>
    <row r="604">
      <c r="A604" s="20"/>
      <c r="B604" s="20"/>
      <c r="C604" s="20"/>
      <c r="D604" s="20"/>
      <c r="E604" s="20"/>
      <c r="F604" s="20"/>
      <c r="G604" s="20"/>
      <c r="H604" s="20"/>
      <c r="I604" s="20"/>
      <c r="J604" s="20"/>
      <c r="K604" s="20"/>
      <c r="L604" s="20"/>
      <c r="M604" s="20"/>
      <c r="N604" s="20"/>
      <c r="O604" s="20"/>
      <c r="P604" s="20"/>
      <c r="Q604" s="20"/>
      <c r="R604" s="20"/>
      <c r="S604" s="20"/>
    </row>
    <row r="605">
      <c r="A605" s="20"/>
      <c r="B605" s="20"/>
      <c r="C605" s="20"/>
      <c r="D605" s="20"/>
      <c r="E605" s="20"/>
      <c r="F605" s="20"/>
      <c r="G605" s="20"/>
      <c r="H605" s="20"/>
      <c r="I605" s="20"/>
      <c r="J605" s="20"/>
      <c r="K605" s="20"/>
      <c r="L605" s="20"/>
      <c r="M605" s="20"/>
      <c r="N605" s="20"/>
      <c r="O605" s="20"/>
      <c r="P605" s="20"/>
      <c r="Q605" s="20"/>
      <c r="R605" s="20"/>
      <c r="S605" s="20"/>
    </row>
    <row r="606">
      <c r="A606" s="20"/>
      <c r="B606" s="20"/>
      <c r="C606" s="20"/>
      <c r="D606" s="20"/>
      <c r="E606" s="20"/>
      <c r="F606" s="20"/>
      <c r="G606" s="20"/>
      <c r="H606" s="20"/>
      <c r="I606" s="20"/>
      <c r="J606" s="20"/>
      <c r="K606" s="20"/>
      <c r="L606" s="20"/>
      <c r="M606" s="20"/>
      <c r="N606" s="20"/>
      <c r="O606" s="20"/>
      <c r="P606" s="20"/>
      <c r="Q606" s="20"/>
      <c r="R606" s="20"/>
      <c r="S606" s="20"/>
    </row>
    <row r="607">
      <c r="A607" s="20"/>
      <c r="B607" s="20"/>
      <c r="C607" s="20"/>
      <c r="D607" s="20"/>
      <c r="E607" s="20"/>
      <c r="F607" s="20"/>
      <c r="G607" s="20"/>
      <c r="H607" s="20"/>
      <c r="I607" s="20"/>
      <c r="J607" s="20"/>
      <c r="K607" s="20"/>
      <c r="L607" s="20"/>
      <c r="M607" s="20"/>
      <c r="N607" s="20"/>
      <c r="O607" s="20"/>
      <c r="P607" s="20"/>
      <c r="Q607" s="20"/>
      <c r="R607" s="20"/>
      <c r="S607" s="20"/>
    </row>
    <row r="608">
      <c r="A608" s="20"/>
      <c r="B608" s="20"/>
      <c r="C608" s="20"/>
      <c r="D608" s="20"/>
      <c r="E608" s="20"/>
      <c r="F608" s="20"/>
      <c r="G608" s="20"/>
      <c r="H608" s="20"/>
      <c r="I608" s="20"/>
      <c r="J608" s="20"/>
      <c r="K608" s="20"/>
      <c r="L608" s="20"/>
      <c r="M608" s="20"/>
      <c r="N608" s="20"/>
      <c r="O608" s="20"/>
      <c r="P608" s="20"/>
      <c r="Q608" s="20"/>
      <c r="R608" s="20"/>
      <c r="S608" s="20"/>
    </row>
    <row r="609">
      <c r="A609" s="20"/>
      <c r="B609" s="20"/>
      <c r="C609" s="20"/>
      <c r="D609" s="20"/>
      <c r="E609" s="20"/>
      <c r="F609" s="20"/>
      <c r="G609" s="20"/>
      <c r="H609" s="20"/>
      <c r="I609" s="20"/>
      <c r="J609" s="20"/>
      <c r="K609" s="20"/>
      <c r="L609" s="20"/>
      <c r="M609" s="20"/>
      <c r="N609" s="20"/>
      <c r="O609" s="20"/>
      <c r="P609" s="20"/>
      <c r="Q609" s="20"/>
      <c r="R609" s="20"/>
      <c r="S609" s="20"/>
    </row>
    <row r="610">
      <c r="A610" s="20"/>
      <c r="B610" s="20"/>
      <c r="C610" s="20"/>
      <c r="D610" s="20"/>
      <c r="E610" s="20"/>
      <c r="F610" s="20"/>
      <c r="G610" s="20"/>
      <c r="H610" s="20"/>
      <c r="I610" s="20"/>
      <c r="J610" s="20"/>
      <c r="K610" s="20"/>
      <c r="L610" s="20"/>
      <c r="M610" s="20"/>
      <c r="N610" s="20"/>
      <c r="O610" s="20"/>
      <c r="P610" s="20"/>
      <c r="Q610" s="20"/>
      <c r="R610" s="20"/>
      <c r="S610" s="20"/>
    </row>
    <row r="611">
      <c r="A611" s="20"/>
      <c r="B611" s="20"/>
      <c r="C611" s="20"/>
      <c r="D611" s="20"/>
      <c r="E611" s="20"/>
      <c r="F611" s="20"/>
      <c r="G611" s="20"/>
      <c r="H611" s="20"/>
      <c r="I611" s="20"/>
      <c r="J611" s="20"/>
      <c r="K611" s="20"/>
      <c r="L611" s="20"/>
      <c r="M611" s="20"/>
      <c r="N611" s="20"/>
      <c r="O611" s="20"/>
      <c r="P611" s="20"/>
      <c r="Q611" s="20"/>
      <c r="R611" s="20"/>
      <c r="S611" s="20"/>
    </row>
    <row r="612">
      <c r="A612" s="20"/>
      <c r="B612" s="20"/>
      <c r="C612" s="20"/>
      <c r="D612" s="20"/>
      <c r="E612" s="20"/>
      <c r="F612" s="20"/>
      <c r="G612" s="20"/>
      <c r="H612" s="20"/>
      <c r="I612" s="20"/>
      <c r="J612" s="20"/>
      <c r="K612" s="20"/>
      <c r="L612" s="20"/>
      <c r="M612" s="20"/>
      <c r="N612" s="20"/>
      <c r="O612" s="20"/>
      <c r="P612" s="20"/>
      <c r="Q612" s="20"/>
      <c r="R612" s="20"/>
      <c r="S612" s="20"/>
    </row>
    <row r="613">
      <c r="A613" s="20"/>
      <c r="B613" s="20"/>
      <c r="C613" s="20"/>
      <c r="D613" s="20"/>
      <c r="E613" s="20"/>
      <c r="F613" s="20"/>
      <c r="G613" s="20"/>
      <c r="H613" s="20"/>
      <c r="I613" s="20"/>
      <c r="J613" s="20"/>
      <c r="K613" s="20"/>
      <c r="L613" s="20"/>
      <c r="M613" s="20"/>
      <c r="N613" s="20"/>
      <c r="O613" s="20"/>
      <c r="P613" s="20"/>
      <c r="Q613" s="20"/>
      <c r="R613" s="20"/>
      <c r="S613" s="20"/>
    </row>
    <row r="614">
      <c r="A614" s="20"/>
      <c r="B614" s="20"/>
      <c r="C614" s="20"/>
      <c r="D614" s="20"/>
      <c r="E614" s="20"/>
      <c r="F614" s="20"/>
      <c r="G614" s="20"/>
      <c r="H614" s="20"/>
      <c r="I614" s="20"/>
      <c r="J614" s="20"/>
      <c r="K614" s="20"/>
      <c r="L614" s="20"/>
      <c r="M614" s="20"/>
      <c r="N614" s="20"/>
      <c r="O614" s="20"/>
      <c r="P614" s="20"/>
      <c r="Q614" s="20"/>
      <c r="R614" s="20"/>
      <c r="S614" s="20"/>
    </row>
    <row r="615">
      <c r="A615" s="20"/>
      <c r="B615" s="20"/>
      <c r="C615" s="20"/>
      <c r="D615" s="20"/>
      <c r="E615" s="20"/>
      <c r="F615" s="20"/>
      <c r="G615" s="20"/>
      <c r="H615" s="20"/>
      <c r="I615" s="20"/>
      <c r="J615" s="20"/>
      <c r="K615" s="20"/>
      <c r="L615" s="20"/>
      <c r="M615" s="20"/>
      <c r="N615" s="20"/>
      <c r="O615" s="20"/>
      <c r="P615" s="20"/>
      <c r="Q615" s="20"/>
      <c r="R615" s="20"/>
      <c r="S615" s="20"/>
    </row>
    <row r="616">
      <c r="A616" s="20"/>
      <c r="B616" s="20"/>
      <c r="C616" s="20"/>
      <c r="D616" s="20"/>
      <c r="E616" s="20"/>
      <c r="F616" s="20"/>
      <c r="G616" s="20"/>
      <c r="H616" s="20"/>
      <c r="I616" s="20"/>
      <c r="J616" s="20"/>
      <c r="K616" s="20"/>
      <c r="L616" s="20"/>
      <c r="M616" s="20"/>
      <c r="N616" s="20"/>
      <c r="O616" s="20"/>
      <c r="P616" s="20"/>
      <c r="Q616" s="20"/>
      <c r="R616" s="20"/>
      <c r="S616" s="20"/>
    </row>
    <row r="617">
      <c r="A617" s="20"/>
      <c r="B617" s="20"/>
      <c r="C617" s="20"/>
      <c r="D617" s="20"/>
      <c r="E617" s="20"/>
      <c r="F617" s="20"/>
      <c r="G617" s="20"/>
      <c r="H617" s="20"/>
      <c r="I617" s="20"/>
      <c r="J617" s="20"/>
      <c r="K617" s="20"/>
      <c r="L617" s="20"/>
      <c r="M617" s="20"/>
      <c r="N617" s="20"/>
      <c r="O617" s="20"/>
      <c r="P617" s="20"/>
      <c r="Q617" s="20"/>
      <c r="R617" s="20"/>
      <c r="S617" s="20"/>
    </row>
    <row r="618">
      <c r="A618" s="20"/>
      <c r="B618" s="20"/>
      <c r="C618" s="20"/>
      <c r="D618" s="20"/>
      <c r="E618" s="20"/>
      <c r="F618" s="20"/>
      <c r="G618" s="20"/>
      <c r="H618" s="20"/>
      <c r="I618" s="20"/>
      <c r="J618" s="20"/>
      <c r="K618" s="20"/>
      <c r="L618" s="20"/>
      <c r="M618" s="20"/>
      <c r="N618" s="20"/>
      <c r="O618" s="20"/>
      <c r="P618" s="20"/>
      <c r="Q618" s="20"/>
      <c r="R618" s="20"/>
      <c r="S618" s="20"/>
    </row>
    <row r="619">
      <c r="A619" s="20"/>
      <c r="B619" s="20"/>
      <c r="C619" s="20"/>
      <c r="D619" s="20"/>
      <c r="E619" s="20"/>
      <c r="F619" s="20"/>
      <c r="G619" s="20"/>
      <c r="H619" s="20"/>
      <c r="I619" s="20"/>
      <c r="J619" s="20"/>
      <c r="K619" s="20"/>
      <c r="L619" s="20"/>
      <c r="M619" s="20"/>
      <c r="N619" s="20"/>
      <c r="O619" s="20"/>
      <c r="P619" s="20"/>
      <c r="Q619" s="20"/>
      <c r="R619" s="20"/>
      <c r="S619" s="20"/>
    </row>
    <row r="620">
      <c r="A620" s="20"/>
      <c r="B620" s="20"/>
      <c r="C620" s="20"/>
      <c r="D620" s="20"/>
      <c r="E620" s="20"/>
      <c r="F620" s="20"/>
      <c r="G620" s="20"/>
      <c r="H620" s="20"/>
      <c r="I620" s="20"/>
      <c r="J620" s="20"/>
      <c r="K620" s="20"/>
      <c r="L620" s="20"/>
      <c r="M620" s="20"/>
      <c r="N620" s="20"/>
      <c r="O620" s="20"/>
      <c r="P620" s="20"/>
      <c r="Q620" s="20"/>
      <c r="R620" s="20"/>
      <c r="S620" s="20"/>
    </row>
    <row r="621">
      <c r="A621" s="20"/>
      <c r="B621" s="20"/>
      <c r="C621" s="20"/>
      <c r="D621" s="20"/>
      <c r="E621" s="20"/>
      <c r="F621" s="20"/>
      <c r="G621" s="20"/>
      <c r="H621" s="20"/>
      <c r="I621" s="20"/>
      <c r="J621" s="20"/>
      <c r="K621" s="20"/>
      <c r="L621" s="20"/>
      <c r="M621" s="20"/>
      <c r="N621" s="20"/>
      <c r="O621" s="20"/>
      <c r="P621" s="20"/>
      <c r="Q621" s="20"/>
      <c r="R621" s="20"/>
      <c r="S621" s="20"/>
    </row>
    <row r="622">
      <c r="A622" s="20"/>
      <c r="B622" s="20"/>
      <c r="C622" s="20"/>
      <c r="D622" s="20"/>
      <c r="E622" s="20"/>
      <c r="F622" s="20"/>
      <c r="G622" s="20"/>
      <c r="H622" s="20"/>
      <c r="I622" s="20"/>
      <c r="J622" s="20"/>
      <c r="K622" s="20"/>
      <c r="L622" s="20"/>
      <c r="M622" s="20"/>
      <c r="N622" s="20"/>
      <c r="O622" s="20"/>
      <c r="P622" s="20"/>
      <c r="Q622" s="20"/>
      <c r="R622" s="20"/>
      <c r="S622" s="20"/>
    </row>
    <row r="623">
      <c r="A623" s="20"/>
      <c r="B623" s="20"/>
      <c r="C623" s="20"/>
      <c r="D623" s="20"/>
      <c r="E623" s="20"/>
      <c r="F623" s="20"/>
      <c r="G623" s="20"/>
      <c r="H623" s="20"/>
      <c r="I623" s="20"/>
      <c r="J623" s="20"/>
      <c r="K623" s="20"/>
      <c r="L623" s="20"/>
      <c r="M623" s="20"/>
      <c r="N623" s="20"/>
      <c r="O623" s="20"/>
      <c r="P623" s="20"/>
      <c r="Q623" s="20"/>
      <c r="R623" s="20"/>
      <c r="S623" s="20"/>
    </row>
    <row r="624">
      <c r="A624" s="20"/>
      <c r="B624" s="20"/>
      <c r="C624" s="20"/>
      <c r="D624" s="20"/>
      <c r="E624" s="20"/>
      <c r="F624" s="20"/>
      <c r="G624" s="20"/>
      <c r="H624" s="20"/>
      <c r="I624" s="20"/>
      <c r="J624" s="20"/>
      <c r="K624" s="20"/>
      <c r="L624" s="20"/>
      <c r="M624" s="20"/>
      <c r="N624" s="20"/>
      <c r="O624" s="20"/>
      <c r="P624" s="20"/>
      <c r="Q624" s="20"/>
      <c r="R624" s="20"/>
      <c r="S624" s="20"/>
    </row>
    <row r="625">
      <c r="A625" s="20"/>
      <c r="B625" s="20"/>
      <c r="C625" s="20"/>
      <c r="D625" s="20"/>
      <c r="E625" s="20"/>
      <c r="F625" s="20"/>
      <c r="G625" s="20"/>
      <c r="H625" s="20"/>
      <c r="I625" s="20"/>
      <c r="J625" s="20"/>
      <c r="K625" s="20"/>
      <c r="L625" s="20"/>
      <c r="M625" s="20"/>
      <c r="N625" s="20"/>
      <c r="O625" s="20"/>
      <c r="P625" s="20"/>
      <c r="Q625" s="20"/>
      <c r="R625" s="20"/>
      <c r="S625" s="20"/>
    </row>
    <row r="626">
      <c r="A626" s="20"/>
      <c r="B626" s="20"/>
      <c r="C626" s="20"/>
      <c r="D626" s="20"/>
      <c r="E626" s="20"/>
      <c r="F626" s="20"/>
      <c r="G626" s="20"/>
      <c r="H626" s="20"/>
      <c r="I626" s="20"/>
      <c r="J626" s="20"/>
      <c r="K626" s="20"/>
      <c r="L626" s="20"/>
      <c r="M626" s="20"/>
      <c r="N626" s="20"/>
      <c r="O626" s="20"/>
      <c r="P626" s="20"/>
      <c r="Q626" s="20"/>
      <c r="R626" s="20"/>
      <c r="S626" s="20"/>
    </row>
    <row r="627">
      <c r="A627" s="20"/>
      <c r="B627" s="20"/>
      <c r="C627" s="20"/>
      <c r="D627" s="20"/>
      <c r="E627" s="20"/>
      <c r="F627" s="20"/>
      <c r="G627" s="20"/>
      <c r="H627" s="20"/>
      <c r="I627" s="20"/>
      <c r="J627" s="20"/>
      <c r="K627" s="20"/>
      <c r="L627" s="20"/>
      <c r="M627" s="20"/>
      <c r="N627" s="20"/>
      <c r="O627" s="20"/>
      <c r="P627" s="20"/>
      <c r="Q627" s="20"/>
      <c r="R627" s="20"/>
      <c r="S627" s="20"/>
    </row>
    <row r="628">
      <c r="A628" s="20"/>
      <c r="B628" s="20"/>
      <c r="C628" s="20"/>
      <c r="D628" s="20"/>
      <c r="E628" s="20"/>
      <c r="F628" s="20"/>
      <c r="G628" s="20"/>
      <c r="H628" s="20"/>
      <c r="I628" s="20"/>
      <c r="J628" s="20"/>
      <c r="K628" s="20"/>
      <c r="L628" s="20"/>
      <c r="M628" s="20"/>
      <c r="N628" s="20"/>
      <c r="O628" s="20"/>
      <c r="P628" s="20"/>
      <c r="Q628" s="20"/>
      <c r="R628" s="20"/>
      <c r="S628" s="20"/>
    </row>
    <row r="629">
      <c r="A629" s="20"/>
      <c r="B629" s="20"/>
      <c r="C629" s="20"/>
      <c r="D629" s="20"/>
      <c r="E629" s="20"/>
      <c r="F629" s="20"/>
      <c r="G629" s="20"/>
      <c r="H629" s="20"/>
      <c r="I629" s="20"/>
      <c r="J629" s="20"/>
      <c r="K629" s="20"/>
      <c r="L629" s="20"/>
      <c r="M629" s="20"/>
      <c r="N629" s="20"/>
      <c r="O629" s="20"/>
      <c r="P629" s="20"/>
      <c r="Q629" s="20"/>
      <c r="R629" s="20"/>
      <c r="S629" s="20"/>
    </row>
    <row r="630">
      <c r="A630" s="20"/>
      <c r="B630" s="20"/>
      <c r="C630" s="20"/>
      <c r="D630" s="20"/>
      <c r="E630" s="20"/>
      <c r="F630" s="20"/>
      <c r="G630" s="20"/>
      <c r="H630" s="20"/>
      <c r="I630" s="20"/>
      <c r="J630" s="20"/>
      <c r="K630" s="20"/>
      <c r="L630" s="20"/>
      <c r="M630" s="20"/>
      <c r="N630" s="20"/>
      <c r="O630" s="20"/>
      <c r="P630" s="20"/>
      <c r="Q630" s="20"/>
      <c r="R630" s="20"/>
      <c r="S630" s="20"/>
    </row>
    <row r="631">
      <c r="A631" s="20"/>
      <c r="B631" s="20"/>
      <c r="C631" s="20"/>
      <c r="D631" s="20"/>
      <c r="E631" s="20"/>
      <c r="F631" s="20"/>
      <c r="G631" s="20"/>
      <c r="H631" s="20"/>
      <c r="I631" s="20"/>
      <c r="J631" s="20"/>
      <c r="K631" s="20"/>
      <c r="L631" s="20"/>
      <c r="M631" s="20"/>
      <c r="N631" s="20"/>
      <c r="O631" s="20"/>
      <c r="P631" s="20"/>
      <c r="Q631" s="20"/>
      <c r="R631" s="20"/>
      <c r="S631" s="20"/>
    </row>
    <row r="632">
      <c r="A632" s="20"/>
      <c r="B632" s="20"/>
      <c r="C632" s="20"/>
      <c r="D632" s="20"/>
      <c r="E632" s="20"/>
      <c r="F632" s="20"/>
      <c r="G632" s="20"/>
      <c r="H632" s="20"/>
      <c r="I632" s="20"/>
      <c r="J632" s="20"/>
      <c r="K632" s="20"/>
      <c r="L632" s="20"/>
      <c r="M632" s="20"/>
      <c r="N632" s="20"/>
      <c r="O632" s="20"/>
      <c r="P632" s="20"/>
      <c r="Q632" s="20"/>
      <c r="R632" s="20"/>
      <c r="S632" s="20"/>
    </row>
    <row r="633">
      <c r="A633" s="20"/>
      <c r="B633" s="20"/>
      <c r="C633" s="20"/>
      <c r="D633" s="20"/>
      <c r="E633" s="20"/>
      <c r="F633" s="20"/>
      <c r="G633" s="20"/>
      <c r="H633" s="20"/>
      <c r="I633" s="20"/>
      <c r="J633" s="20"/>
      <c r="K633" s="20"/>
      <c r="L633" s="20"/>
      <c r="M633" s="20"/>
      <c r="N633" s="20"/>
      <c r="O633" s="20"/>
      <c r="P633" s="20"/>
      <c r="Q633" s="20"/>
      <c r="R633" s="20"/>
      <c r="S633" s="20"/>
    </row>
    <row r="634">
      <c r="A634" s="20"/>
      <c r="B634" s="20"/>
      <c r="C634" s="20"/>
      <c r="D634" s="20"/>
      <c r="E634" s="20"/>
      <c r="F634" s="20"/>
      <c r="G634" s="20"/>
      <c r="H634" s="20"/>
      <c r="I634" s="20"/>
      <c r="J634" s="20"/>
      <c r="K634" s="20"/>
      <c r="L634" s="20"/>
      <c r="M634" s="20"/>
      <c r="N634" s="20"/>
      <c r="O634" s="20"/>
      <c r="P634" s="20"/>
      <c r="Q634" s="20"/>
      <c r="R634" s="20"/>
      <c r="S634" s="20"/>
    </row>
    <row r="635">
      <c r="A635" s="20"/>
      <c r="B635" s="20"/>
      <c r="C635" s="20"/>
      <c r="D635" s="20"/>
      <c r="E635" s="20"/>
      <c r="F635" s="20"/>
      <c r="G635" s="20"/>
      <c r="H635" s="20"/>
      <c r="I635" s="20"/>
      <c r="J635" s="20"/>
      <c r="K635" s="20"/>
      <c r="L635" s="20"/>
      <c r="M635" s="20"/>
      <c r="N635" s="20"/>
      <c r="O635" s="20"/>
      <c r="P635" s="20"/>
      <c r="Q635" s="20"/>
      <c r="R635" s="20"/>
      <c r="S635" s="20"/>
    </row>
    <row r="636">
      <c r="A636" s="20"/>
      <c r="B636" s="20"/>
      <c r="C636" s="20"/>
      <c r="D636" s="20"/>
      <c r="E636" s="20"/>
      <c r="F636" s="20"/>
      <c r="G636" s="20"/>
      <c r="H636" s="20"/>
      <c r="I636" s="20"/>
      <c r="J636" s="20"/>
      <c r="K636" s="20"/>
      <c r="L636" s="20"/>
      <c r="M636" s="20"/>
      <c r="N636" s="20"/>
      <c r="O636" s="20"/>
      <c r="P636" s="20"/>
      <c r="Q636" s="20"/>
      <c r="R636" s="20"/>
      <c r="S636" s="20"/>
    </row>
    <row r="637">
      <c r="A637" s="20"/>
      <c r="B637" s="20"/>
      <c r="C637" s="20"/>
      <c r="D637" s="20"/>
      <c r="E637" s="20"/>
      <c r="F637" s="20"/>
      <c r="G637" s="20"/>
      <c r="H637" s="20"/>
      <c r="I637" s="20"/>
      <c r="J637" s="20"/>
      <c r="K637" s="20"/>
      <c r="L637" s="20"/>
      <c r="M637" s="20"/>
      <c r="N637" s="20"/>
      <c r="O637" s="20"/>
      <c r="P637" s="20"/>
      <c r="Q637" s="20"/>
      <c r="R637" s="20"/>
      <c r="S637" s="20"/>
    </row>
    <row r="638">
      <c r="A638" s="20"/>
      <c r="B638" s="20"/>
      <c r="C638" s="20"/>
      <c r="D638" s="20"/>
      <c r="E638" s="20"/>
      <c r="F638" s="20"/>
      <c r="G638" s="20"/>
      <c r="H638" s="20"/>
      <c r="I638" s="20"/>
      <c r="J638" s="20"/>
      <c r="K638" s="20"/>
      <c r="L638" s="20"/>
      <c r="M638" s="20"/>
      <c r="N638" s="20"/>
      <c r="O638" s="20"/>
      <c r="P638" s="20"/>
      <c r="Q638" s="20"/>
      <c r="R638" s="20"/>
      <c r="S638" s="20"/>
    </row>
    <row r="639">
      <c r="A639" s="20"/>
      <c r="B639" s="20"/>
      <c r="C639" s="20"/>
      <c r="D639" s="20"/>
      <c r="E639" s="20"/>
      <c r="F639" s="20"/>
      <c r="G639" s="20"/>
      <c r="H639" s="20"/>
      <c r="I639" s="20"/>
      <c r="J639" s="20"/>
      <c r="K639" s="20"/>
      <c r="L639" s="20"/>
      <c r="M639" s="20"/>
      <c r="N639" s="20"/>
      <c r="O639" s="20"/>
      <c r="P639" s="20"/>
      <c r="Q639" s="20"/>
      <c r="R639" s="20"/>
      <c r="S639" s="20"/>
    </row>
    <row r="640">
      <c r="A640" s="20"/>
      <c r="B640" s="20"/>
      <c r="C640" s="20"/>
      <c r="D640" s="20"/>
      <c r="E640" s="20"/>
      <c r="F640" s="20"/>
      <c r="G640" s="20"/>
      <c r="H640" s="20"/>
      <c r="I640" s="20"/>
      <c r="J640" s="20"/>
      <c r="K640" s="20"/>
      <c r="L640" s="20"/>
      <c r="M640" s="20"/>
      <c r="N640" s="20"/>
      <c r="O640" s="20"/>
      <c r="P640" s="20"/>
      <c r="Q640" s="20"/>
      <c r="R640" s="20"/>
      <c r="S640" s="20"/>
    </row>
    <row r="641">
      <c r="A641" s="20"/>
      <c r="B641" s="20"/>
      <c r="C641" s="20"/>
      <c r="D641" s="20"/>
      <c r="E641" s="20"/>
      <c r="F641" s="20"/>
      <c r="G641" s="20"/>
      <c r="H641" s="20"/>
      <c r="I641" s="20"/>
      <c r="J641" s="20"/>
      <c r="K641" s="20"/>
      <c r="L641" s="20"/>
      <c r="M641" s="20"/>
      <c r="N641" s="20"/>
      <c r="O641" s="20"/>
      <c r="P641" s="20"/>
      <c r="Q641" s="20"/>
      <c r="R641" s="20"/>
      <c r="S641" s="20"/>
    </row>
    <row r="642">
      <c r="A642" s="20"/>
      <c r="B642" s="20"/>
      <c r="C642" s="20"/>
      <c r="D642" s="20"/>
      <c r="E642" s="20"/>
      <c r="F642" s="20"/>
      <c r="G642" s="20"/>
      <c r="H642" s="20"/>
      <c r="I642" s="20"/>
      <c r="J642" s="20"/>
      <c r="K642" s="20"/>
      <c r="L642" s="20"/>
      <c r="M642" s="20"/>
      <c r="N642" s="20"/>
      <c r="O642" s="20"/>
      <c r="P642" s="20"/>
      <c r="Q642" s="20"/>
      <c r="R642" s="20"/>
      <c r="S642" s="20"/>
    </row>
    <row r="643">
      <c r="A643" s="20"/>
      <c r="B643" s="20"/>
      <c r="C643" s="20"/>
      <c r="D643" s="20"/>
      <c r="E643" s="20"/>
      <c r="F643" s="20"/>
      <c r="G643" s="20"/>
      <c r="H643" s="20"/>
      <c r="I643" s="20"/>
      <c r="J643" s="20"/>
      <c r="K643" s="20"/>
      <c r="L643" s="20"/>
      <c r="M643" s="20"/>
      <c r="N643" s="20"/>
      <c r="O643" s="20"/>
      <c r="P643" s="20"/>
      <c r="Q643" s="20"/>
      <c r="R643" s="20"/>
      <c r="S643" s="20"/>
    </row>
    <row r="644">
      <c r="A644" s="20"/>
      <c r="B644" s="20"/>
      <c r="C644" s="20"/>
      <c r="D644" s="20"/>
      <c r="E644" s="20"/>
      <c r="F644" s="20"/>
      <c r="G644" s="20"/>
      <c r="H644" s="20"/>
      <c r="I644" s="20"/>
      <c r="J644" s="20"/>
      <c r="K644" s="20"/>
      <c r="L644" s="20"/>
      <c r="M644" s="20"/>
      <c r="N644" s="20"/>
      <c r="O644" s="20"/>
      <c r="P644" s="20"/>
      <c r="Q644" s="20"/>
      <c r="R644" s="20"/>
      <c r="S644" s="20"/>
    </row>
    <row r="645">
      <c r="A645" s="20"/>
      <c r="B645" s="20"/>
      <c r="C645" s="20"/>
      <c r="D645" s="20"/>
      <c r="E645" s="20"/>
      <c r="F645" s="20"/>
      <c r="G645" s="20"/>
      <c r="H645" s="20"/>
      <c r="I645" s="20"/>
      <c r="J645" s="20"/>
      <c r="K645" s="20"/>
      <c r="L645" s="20"/>
      <c r="M645" s="20"/>
      <c r="N645" s="20"/>
      <c r="O645" s="20"/>
      <c r="P645" s="20"/>
      <c r="Q645" s="20"/>
      <c r="R645" s="20"/>
      <c r="S645" s="20"/>
    </row>
    <row r="646">
      <c r="A646" s="20"/>
      <c r="B646" s="20"/>
      <c r="C646" s="20"/>
      <c r="D646" s="20"/>
      <c r="E646" s="20"/>
      <c r="F646" s="20"/>
      <c r="G646" s="20"/>
      <c r="H646" s="20"/>
      <c r="I646" s="20"/>
      <c r="J646" s="20"/>
      <c r="K646" s="20"/>
      <c r="L646" s="20"/>
      <c r="M646" s="20"/>
      <c r="N646" s="20"/>
      <c r="O646" s="20"/>
      <c r="P646" s="20"/>
      <c r="Q646" s="20"/>
      <c r="R646" s="20"/>
      <c r="S646" s="20"/>
    </row>
    <row r="647">
      <c r="A647" s="20"/>
      <c r="B647" s="20"/>
      <c r="C647" s="20"/>
      <c r="D647" s="20"/>
      <c r="E647" s="20"/>
      <c r="F647" s="20"/>
      <c r="G647" s="20"/>
      <c r="H647" s="20"/>
      <c r="I647" s="20"/>
      <c r="J647" s="20"/>
      <c r="K647" s="20"/>
      <c r="L647" s="20"/>
      <c r="M647" s="20"/>
      <c r="N647" s="20"/>
      <c r="O647" s="20"/>
      <c r="P647" s="20"/>
      <c r="Q647" s="20"/>
      <c r="R647" s="20"/>
      <c r="S647" s="20"/>
    </row>
    <row r="648">
      <c r="A648" s="20"/>
      <c r="B648" s="20"/>
      <c r="C648" s="20"/>
      <c r="D648" s="20"/>
      <c r="E648" s="20"/>
      <c r="F648" s="20"/>
      <c r="G648" s="20"/>
      <c r="H648" s="20"/>
      <c r="I648" s="20"/>
      <c r="J648" s="20"/>
      <c r="K648" s="20"/>
      <c r="L648" s="20"/>
      <c r="M648" s="20"/>
      <c r="N648" s="20"/>
      <c r="O648" s="20"/>
      <c r="P648" s="20"/>
      <c r="Q648" s="20"/>
      <c r="R648" s="20"/>
      <c r="S648" s="20"/>
    </row>
    <row r="649">
      <c r="A649" s="20"/>
      <c r="B649" s="20"/>
      <c r="C649" s="20"/>
      <c r="D649" s="20"/>
      <c r="E649" s="20"/>
      <c r="F649" s="20"/>
      <c r="G649" s="20"/>
      <c r="H649" s="20"/>
      <c r="I649" s="20"/>
      <c r="J649" s="20"/>
      <c r="K649" s="20"/>
      <c r="L649" s="20"/>
      <c r="M649" s="20"/>
      <c r="N649" s="20"/>
      <c r="O649" s="20"/>
      <c r="P649" s="20"/>
      <c r="Q649" s="20"/>
      <c r="R649" s="20"/>
      <c r="S649" s="20"/>
    </row>
    <row r="650">
      <c r="A650" s="20"/>
      <c r="B650" s="20"/>
      <c r="C650" s="20"/>
      <c r="D650" s="20"/>
      <c r="E650" s="20"/>
      <c r="F650" s="20"/>
      <c r="G650" s="20"/>
      <c r="H650" s="20"/>
      <c r="I650" s="20"/>
      <c r="J650" s="20"/>
      <c r="K650" s="20"/>
      <c r="L650" s="20"/>
      <c r="M650" s="20"/>
      <c r="N650" s="20"/>
      <c r="O650" s="20"/>
      <c r="P650" s="20"/>
      <c r="Q650" s="20"/>
      <c r="R650" s="20"/>
      <c r="S650" s="20"/>
    </row>
    <row r="651">
      <c r="A651" s="20"/>
      <c r="B651" s="20"/>
      <c r="C651" s="20"/>
      <c r="D651" s="20"/>
      <c r="E651" s="20"/>
      <c r="F651" s="20"/>
      <c r="G651" s="20"/>
      <c r="H651" s="20"/>
      <c r="I651" s="20"/>
      <c r="J651" s="20"/>
      <c r="K651" s="20"/>
      <c r="L651" s="20"/>
      <c r="M651" s="20"/>
      <c r="N651" s="20"/>
      <c r="O651" s="20"/>
      <c r="P651" s="20"/>
      <c r="Q651" s="20"/>
      <c r="R651" s="20"/>
      <c r="S651" s="20"/>
    </row>
    <row r="652">
      <c r="A652" s="20"/>
      <c r="B652" s="20"/>
      <c r="C652" s="20"/>
      <c r="D652" s="20"/>
      <c r="E652" s="20"/>
      <c r="F652" s="20"/>
      <c r="G652" s="20"/>
      <c r="H652" s="20"/>
      <c r="I652" s="20"/>
      <c r="J652" s="20"/>
      <c r="K652" s="20"/>
      <c r="L652" s="20"/>
      <c r="M652" s="20"/>
      <c r="N652" s="20"/>
      <c r="O652" s="20"/>
      <c r="P652" s="20"/>
      <c r="Q652" s="20"/>
      <c r="R652" s="20"/>
      <c r="S652" s="20"/>
    </row>
    <row r="653">
      <c r="A653" s="20"/>
      <c r="B653" s="20"/>
      <c r="C653" s="20"/>
      <c r="D653" s="20"/>
      <c r="E653" s="20"/>
      <c r="F653" s="20"/>
      <c r="G653" s="20"/>
      <c r="H653" s="20"/>
      <c r="I653" s="20"/>
      <c r="J653" s="20"/>
      <c r="K653" s="20"/>
      <c r="L653" s="20"/>
      <c r="M653" s="20"/>
      <c r="N653" s="20"/>
      <c r="O653" s="20"/>
      <c r="P653" s="20"/>
      <c r="Q653" s="20"/>
      <c r="R653" s="20"/>
      <c r="S653" s="20"/>
    </row>
    <row r="654">
      <c r="A654" s="20"/>
      <c r="B654" s="20"/>
      <c r="C654" s="20"/>
      <c r="D654" s="20"/>
      <c r="E654" s="20"/>
      <c r="F654" s="20"/>
      <c r="G654" s="20"/>
      <c r="H654" s="20"/>
      <c r="I654" s="20"/>
      <c r="J654" s="20"/>
      <c r="K654" s="20"/>
      <c r="L654" s="20"/>
      <c r="M654" s="20"/>
      <c r="N654" s="20"/>
      <c r="O654" s="20"/>
      <c r="P654" s="20"/>
      <c r="Q654" s="20"/>
      <c r="R654" s="20"/>
      <c r="S654" s="20"/>
    </row>
    <row r="655">
      <c r="A655" s="20"/>
      <c r="B655" s="20"/>
      <c r="C655" s="20"/>
      <c r="D655" s="20"/>
      <c r="E655" s="20"/>
      <c r="F655" s="20"/>
      <c r="G655" s="20"/>
      <c r="H655" s="20"/>
      <c r="I655" s="20"/>
      <c r="J655" s="20"/>
      <c r="K655" s="20"/>
      <c r="L655" s="20"/>
      <c r="M655" s="20"/>
      <c r="N655" s="20"/>
      <c r="O655" s="20"/>
      <c r="P655" s="20"/>
      <c r="Q655" s="20"/>
      <c r="R655" s="20"/>
      <c r="S655" s="20"/>
    </row>
    <row r="656">
      <c r="A656" s="20"/>
      <c r="B656" s="20"/>
      <c r="C656" s="20"/>
      <c r="D656" s="20"/>
      <c r="E656" s="20"/>
      <c r="F656" s="20"/>
      <c r="G656" s="20"/>
      <c r="H656" s="20"/>
      <c r="I656" s="20"/>
      <c r="J656" s="20"/>
      <c r="K656" s="20"/>
      <c r="L656" s="20"/>
      <c r="M656" s="20"/>
      <c r="N656" s="20"/>
      <c r="O656" s="20"/>
      <c r="P656" s="20"/>
      <c r="Q656" s="20"/>
      <c r="R656" s="20"/>
      <c r="S656" s="20"/>
    </row>
    <row r="657">
      <c r="A657" s="20"/>
      <c r="B657" s="20"/>
      <c r="C657" s="20"/>
      <c r="D657" s="20"/>
      <c r="E657" s="20"/>
      <c r="F657" s="20"/>
      <c r="G657" s="20"/>
      <c r="H657" s="20"/>
      <c r="I657" s="20"/>
      <c r="J657" s="20"/>
      <c r="K657" s="20"/>
      <c r="L657" s="20"/>
      <c r="M657" s="20"/>
      <c r="N657" s="20"/>
      <c r="O657" s="20"/>
      <c r="P657" s="20"/>
      <c r="Q657" s="20"/>
      <c r="R657" s="20"/>
      <c r="S657" s="20"/>
    </row>
    <row r="658">
      <c r="A658" s="20"/>
      <c r="B658" s="20"/>
      <c r="C658" s="20"/>
      <c r="D658" s="20"/>
      <c r="E658" s="20"/>
      <c r="F658" s="20"/>
      <c r="G658" s="20"/>
      <c r="H658" s="20"/>
      <c r="I658" s="20"/>
      <c r="J658" s="20"/>
      <c r="K658" s="20"/>
      <c r="L658" s="20"/>
      <c r="M658" s="20"/>
      <c r="N658" s="20"/>
      <c r="O658" s="20"/>
      <c r="P658" s="20"/>
      <c r="Q658" s="20"/>
      <c r="R658" s="20"/>
      <c r="S658" s="20"/>
    </row>
    <row r="659">
      <c r="A659" s="20"/>
      <c r="B659" s="20"/>
      <c r="C659" s="20"/>
      <c r="D659" s="20"/>
      <c r="E659" s="20"/>
      <c r="F659" s="20"/>
      <c r="G659" s="20"/>
      <c r="H659" s="20"/>
      <c r="I659" s="20"/>
      <c r="J659" s="20"/>
      <c r="K659" s="20"/>
      <c r="L659" s="20"/>
      <c r="M659" s="20"/>
      <c r="N659" s="20"/>
      <c r="O659" s="20"/>
      <c r="P659" s="20"/>
      <c r="Q659" s="20"/>
      <c r="R659" s="20"/>
      <c r="S659" s="20"/>
    </row>
    <row r="660">
      <c r="A660" s="20"/>
      <c r="B660" s="20"/>
      <c r="C660" s="20"/>
      <c r="D660" s="20"/>
      <c r="E660" s="20"/>
      <c r="F660" s="20"/>
      <c r="G660" s="20"/>
      <c r="H660" s="20"/>
      <c r="I660" s="20"/>
      <c r="J660" s="20"/>
      <c r="K660" s="20"/>
      <c r="L660" s="20"/>
      <c r="M660" s="20"/>
      <c r="N660" s="20"/>
      <c r="O660" s="20"/>
      <c r="P660" s="20"/>
      <c r="Q660" s="20"/>
      <c r="R660" s="20"/>
      <c r="S660" s="20"/>
    </row>
    <row r="661">
      <c r="A661" s="20"/>
      <c r="B661" s="20"/>
      <c r="C661" s="20"/>
      <c r="D661" s="20"/>
      <c r="E661" s="20"/>
      <c r="F661" s="20"/>
      <c r="G661" s="20"/>
      <c r="H661" s="20"/>
      <c r="I661" s="20"/>
      <c r="J661" s="20"/>
      <c r="K661" s="20"/>
      <c r="L661" s="20"/>
      <c r="M661" s="20"/>
      <c r="N661" s="20"/>
      <c r="O661" s="20"/>
      <c r="P661" s="20"/>
      <c r="Q661" s="20"/>
      <c r="R661" s="20"/>
      <c r="S661" s="20"/>
    </row>
    <row r="662">
      <c r="A662" s="20"/>
      <c r="B662" s="20"/>
      <c r="C662" s="20"/>
      <c r="D662" s="20"/>
      <c r="E662" s="20"/>
      <c r="F662" s="20"/>
      <c r="G662" s="20"/>
      <c r="H662" s="20"/>
      <c r="I662" s="20"/>
      <c r="J662" s="20"/>
      <c r="K662" s="20"/>
      <c r="L662" s="20"/>
      <c r="M662" s="20"/>
      <c r="N662" s="20"/>
      <c r="O662" s="20"/>
      <c r="P662" s="20"/>
      <c r="Q662" s="20"/>
      <c r="R662" s="20"/>
      <c r="S662" s="20"/>
    </row>
    <row r="663">
      <c r="A663" s="20"/>
      <c r="B663" s="20"/>
      <c r="C663" s="20"/>
      <c r="D663" s="20"/>
      <c r="E663" s="20"/>
      <c r="F663" s="20"/>
      <c r="G663" s="20"/>
      <c r="H663" s="20"/>
      <c r="I663" s="20"/>
      <c r="J663" s="20"/>
      <c r="K663" s="20"/>
      <c r="L663" s="20"/>
      <c r="M663" s="20"/>
      <c r="N663" s="20"/>
      <c r="O663" s="20"/>
      <c r="P663" s="20"/>
      <c r="Q663" s="20"/>
      <c r="R663" s="20"/>
      <c r="S663" s="20"/>
    </row>
    <row r="664">
      <c r="A664" s="20"/>
      <c r="B664" s="20"/>
      <c r="C664" s="20"/>
      <c r="D664" s="20"/>
      <c r="E664" s="20"/>
      <c r="F664" s="20"/>
      <c r="G664" s="20"/>
      <c r="H664" s="20"/>
      <c r="I664" s="20"/>
      <c r="J664" s="20"/>
      <c r="K664" s="20"/>
      <c r="L664" s="20"/>
      <c r="M664" s="20"/>
      <c r="N664" s="20"/>
      <c r="O664" s="20"/>
      <c r="P664" s="20"/>
      <c r="Q664" s="20"/>
      <c r="R664" s="20"/>
      <c r="S664" s="20"/>
    </row>
    <row r="665">
      <c r="A665" s="20"/>
      <c r="B665" s="20"/>
      <c r="C665" s="20"/>
      <c r="D665" s="20"/>
      <c r="E665" s="20"/>
      <c r="F665" s="20"/>
      <c r="G665" s="20"/>
      <c r="H665" s="20"/>
      <c r="I665" s="20"/>
      <c r="J665" s="20"/>
      <c r="K665" s="20"/>
      <c r="L665" s="20"/>
      <c r="M665" s="20"/>
      <c r="N665" s="20"/>
      <c r="O665" s="20"/>
      <c r="P665" s="20"/>
      <c r="Q665" s="20"/>
      <c r="R665" s="20"/>
      <c r="S665" s="20"/>
    </row>
    <row r="666">
      <c r="A666" s="20"/>
      <c r="B666" s="20"/>
      <c r="C666" s="20"/>
      <c r="D666" s="20"/>
      <c r="E666" s="20"/>
      <c r="F666" s="20"/>
      <c r="G666" s="20"/>
      <c r="H666" s="20"/>
      <c r="I666" s="20"/>
      <c r="J666" s="20"/>
      <c r="K666" s="20"/>
      <c r="L666" s="20"/>
      <c r="M666" s="20"/>
      <c r="N666" s="20"/>
      <c r="O666" s="20"/>
      <c r="P666" s="20"/>
      <c r="Q666" s="20"/>
      <c r="R666" s="20"/>
      <c r="S666" s="20"/>
    </row>
    <row r="667">
      <c r="A667" s="20"/>
      <c r="B667" s="20"/>
      <c r="C667" s="20"/>
      <c r="D667" s="20"/>
      <c r="E667" s="20"/>
      <c r="F667" s="20"/>
      <c r="G667" s="20"/>
      <c r="H667" s="20"/>
      <c r="I667" s="20"/>
      <c r="J667" s="20"/>
      <c r="K667" s="20"/>
      <c r="L667" s="20"/>
      <c r="M667" s="20"/>
      <c r="N667" s="20"/>
      <c r="O667" s="20"/>
      <c r="P667" s="20"/>
      <c r="Q667" s="20"/>
      <c r="R667" s="20"/>
      <c r="S667" s="20"/>
    </row>
    <row r="668">
      <c r="A668" s="20"/>
      <c r="B668" s="20"/>
      <c r="C668" s="20"/>
      <c r="D668" s="20"/>
      <c r="E668" s="20"/>
      <c r="F668" s="20"/>
      <c r="G668" s="20"/>
      <c r="H668" s="20"/>
      <c r="I668" s="20"/>
      <c r="J668" s="20"/>
      <c r="K668" s="20"/>
      <c r="L668" s="20"/>
      <c r="M668" s="20"/>
      <c r="N668" s="20"/>
      <c r="O668" s="20"/>
      <c r="P668" s="20"/>
      <c r="Q668" s="20"/>
      <c r="R668" s="20"/>
      <c r="S668" s="20"/>
    </row>
    <row r="669">
      <c r="A669" s="20"/>
      <c r="B669" s="20"/>
      <c r="C669" s="20"/>
      <c r="D669" s="20"/>
      <c r="E669" s="20"/>
      <c r="F669" s="20"/>
      <c r="G669" s="20"/>
      <c r="H669" s="20"/>
      <c r="I669" s="20"/>
      <c r="J669" s="20"/>
      <c r="K669" s="20"/>
      <c r="L669" s="20"/>
      <c r="M669" s="20"/>
      <c r="N669" s="20"/>
      <c r="O669" s="20"/>
      <c r="P669" s="20"/>
      <c r="Q669" s="20"/>
      <c r="R669" s="20"/>
      <c r="S669" s="20"/>
    </row>
    <row r="670">
      <c r="A670" s="20"/>
      <c r="B670" s="20"/>
      <c r="C670" s="20"/>
      <c r="D670" s="20"/>
      <c r="E670" s="20"/>
      <c r="F670" s="20"/>
      <c r="G670" s="20"/>
      <c r="H670" s="20"/>
      <c r="I670" s="20"/>
      <c r="J670" s="20"/>
      <c r="K670" s="20"/>
      <c r="L670" s="20"/>
      <c r="M670" s="20"/>
      <c r="N670" s="20"/>
      <c r="O670" s="20"/>
      <c r="P670" s="20"/>
      <c r="Q670" s="20"/>
      <c r="R670" s="20"/>
      <c r="S670" s="20"/>
    </row>
    <row r="671">
      <c r="A671" s="20"/>
      <c r="B671" s="20"/>
      <c r="C671" s="20"/>
      <c r="D671" s="20"/>
      <c r="E671" s="20"/>
      <c r="F671" s="20"/>
      <c r="G671" s="20"/>
      <c r="H671" s="20"/>
      <c r="I671" s="20"/>
      <c r="J671" s="20"/>
      <c r="K671" s="20"/>
      <c r="L671" s="20"/>
      <c r="M671" s="20"/>
      <c r="N671" s="20"/>
      <c r="O671" s="20"/>
      <c r="P671" s="20"/>
      <c r="Q671" s="20"/>
      <c r="R671" s="20"/>
      <c r="S671" s="20"/>
    </row>
    <row r="672">
      <c r="A672" s="20"/>
      <c r="B672" s="20"/>
      <c r="C672" s="20"/>
      <c r="D672" s="20"/>
      <c r="E672" s="20"/>
      <c r="F672" s="20"/>
      <c r="G672" s="20"/>
      <c r="H672" s="20"/>
      <c r="I672" s="20"/>
      <c r="J672" s="20"/>
      <c r="K672" s="20"/>
      <c r="L672" s="20"/>
      <c r="M672" s="20"/>
      <c r="N672" s="20"/>
      <c r="O672" s="20"/>
      <c r="P672" s="20"/>
      <c r="Q672" s="20"/>
      <c r="R672" s="20"/>
      <c r="S672" s="20"/>
    </row>
    <row r="673">
      <c r="A673" s="20"/>
      <c r="B673" s="20"/>
      <c r="C673" s="20"/>
      <c r="D673" s="20"/>
      <c r="E673" s="20"/>
      <c r="F673" s="20"/>
      <c r="G673" s="20"/>
      <c r="H673" s="20"/>
      <c r="I673" s="20"/>
      <c r="J673" s="20"/>
      <c r="K673" s="20"/>
      <c r="L673" s="20"/>
      <c r="M673" s="20"/>
      <c r="N673" s="20"/>
      <c r="O673" s="20"/>
      <c r="P673" s="20"/>
      <c r="Q673" s="20"/>
      <c r="R673" s="20"/>
      <c r="S673" s="20"/>
    </row>
    <row r="674">
      <c r="A674" s="20"/>
      <c r="B674" s="20"/>
      <c r="C674" s="20"/>
      <c r="D674" s="20"/>
      <c r="E674" s="20"/>
      <c r="F674" s="20"/>
      <c r="G674" s="20"/>
      <c r="H674" s="20"/>
      <c r="I674" s="20"/>
      <c r="J674" s="20"/>
      <c r="K674" s="20"/>
      <c r="L674" s="20"/>
      <c r="M674" s="20"/>
      <c r="N674" s="20"/>
      <c r="O674" s="20"/>
      <c r="P674" s="20"/>
      <c r="Q674" s="20"/>
      <c r="R674" s="20"/>
      <c r="S674" s="20"/>
    </row>
    <row r="675">
      <c r="A675" s="20"/>
      <c r="B675" s="20"/>
      <c r="C675" s="20"/>
      <c r="D675" s="20"/>
      <c r="E675" s="20"/>
      <c r="F675" s="20"/>
      <c r="G675" s="20"/>
      <c r="H675" s="20"/>
      <c r="I675" s="20"/>
      <c r="J675" s="20"/>
      <c r="K675" s="20"/>
      <c r="L675" s="20"/>
      <c r="M675" s="20"/>
      <c r="N675" s="20"/>
      <c r="O675" s="20"/>
      <c r="P675" s="20"/>
      <c r="Q675" s="20"/>
      <c r="R675" s="20"/>
      <c r="S675" s="20"/>
    </row>
    <row r="676">
      <c r="A676" s="20"/>
      <c r="B676" s="20"/>
      <c r="C676" s="20"/>
      <c r="D676" s="20"/>
      <c r="E676" s="20"/>
      <c r="F676" s="20"/>
      <c r="G676" s="20"/>
      <c r="H676" s="20"/>
      <c r="I676" s="20"/>
      <c r="J676" s="20"/>
      <c r="K676" s="20"/>
      <c r="L676" s="20"/>
      <c r="M676" s="20"/>
      <c r="N676" s="20"/>
      <c r="O676" s="20"/>
      <c r="P676" s="20"/>
      <c r="Q676" s="20"/>
      <c r="R676" s="20"/>
      <c r="S676" s="20"/>
    </row>
    <row r="677">
      <c r="A677" s="20"/>
      <c r="B677" s="20"/>
      <c r="C677" s="20"/>
      <c r="D677" s="20"/>
      <c r="E677" s="20"/>
      <c r="F677" s="20"/>
      <c r="G677" s="20"/>
      <c r="H677" s="20"/>
      <c r="I677" s="20"/>
      <c r="J677" s="20"/>
      <c r="K677" s="20"/>
      <c r="L677" s="20"/>
      <c r="M677" s="20"/>
      <c r="N677" s="20"/>
      <c r="O677" s="20"/>
      <c r="P677" s="20"/>
      <c r="Q677" s="20"/>
      <c r="R677" s="20"/>
      <c r="S677" s="20"/>
    </row>
    <row r="678">
      <c r="A678" s="20"/>
      <c r="B678" s="20"/>
      <c r="C678" s="20"/>
      <c r="D678" s="20"/>
      <c r="E678" s="20"/>
      <c r="F678" s="20"/>
      <c r="G678" s="20"/>
      <c r="H678" s="20"/>
      <c r="I678" s="20"/>
      <c r="J678" s="20"/>
      <c r="K678" s="20"/>
      <c r="L678" s="20"/>
      <c r="M678" s="20"/>
      <c r="N678" s="20"/>
      <c r="O678" s="20"/>
      <c r="P678" s="20"/>
      <c r="Q678" s="20"/>
      <c r="R678" s="20"/>
      <c r="S678" s="20"/>
    </row>
    <row r="679">
      <c r="A679" s="20"/>
      <c r="B679" s="20"/>
      <c r="C679" s="20"/>
      <c r="D679" s="20"/>
      <c r="E679" s="20"/>
      <c r="F679" s="20"/>
      <c r="G679" s="20"/>
      <c r="H679" s="20"/>
      <c r="I679" s="20"/>
      <c r="J679" s="20"/>
      <c r="K679" s="20"/>
      <c r="L679" s="20"/>
      <c r="M679" s="20"/>
      <c r="N679" s="20"/>
      <c r="O679" s="20"/>
      <c r="P679" s="20"/>
      <c r="Q679" s="20"/>
      <c r="R679" s="20"/>
      <c r="S679" s="20"/>
    </row>
    <row r="680">
      <c r="A680" s="20"/>
      <c r="B680" s="20"/>
      <c r="C680" s="20"/>
      <c r="D680" s="20"/>
      <c r="E680" s="20"/>
      <c r="F680" s="20"/>
      <c r="G680" s="20"/>
      <c r="H680" s="20"/>
      <c r="I680" s="20"/>
      <c r="J680" s="20"/>
      <c r="K680" s="20"/>
      <c r="L680" s="20"/>
      <c r="M680" s="20"/>
      <c r="N680" s="20"/>
      <c r="O680" s="20"/>
      <c r="P680" s="20"/>
      <c r="Q680" s="20"/>
      <c r="R680" s="20"/>
      <c r="S680" s="20"/>
    </row>
    <row r="681">
      <c r="A681" s="20"/>
      <c r="B681" s="20"/>
      <c r="C681" s="20"/>
      <c r="D681" s="20"/>
      <c r="E681" s="20"/>
      <c r="F681" s="20"/>
      <c r="G681" s="20"/>
      <c r="H681" s="20"/>
      <c r="I681" s="20"/>
      <c r="J681" s="20"/>
      <c r="K681" s="20"/>
      <c r="L681" s="20"/>
      <c r="M681" s="20"/>
      <c r="N681" s="20"/>
      <c r="O681" s="20"/>
      <c r="P681" s="20"/>
      <c r="Q681" s="20"/>
      <c r="R681" s="20"/>
      <c r="S681" s="20"/>
    </row>
    <row r="682">
      <c r="A682" s="20"/>
      <c r="B682" s="20"/>
      <c r="C682" s="20"/>
      <c r="D682" s="20"/>
      <c r="E682" s="20"/>
      <c r="F682" s="20"/>
      <c r="G682" s="20"/>
      <c r="H682" s="20"/>
      <c r="I682" s="20"/>
      <c r="J682" s="20"/>
      <c r="K682" s="20"/>
      <c r="L682" s="20"/>
      <c r="M682" s="20"/>
      <c r="N682" s="20"/>
      <c r="O682" s="20"/>
      <c r="P682" s="20"/>
      <c r="Q682" s="20"/>
      <c r="R682" s="20"/>
      <c r="S682" s="20"/>
    </row>
    <row r="683">
      <c r="A683" s="20"/>
      <c r="B683" s="20"/>
      <c r="C683" s="20"/>
      <c r="D683" s="20"/>
      <c r="E683" s="20"/>
      <c r="F683" s="20"/>
      <c r="G683" s="20"/>
      <c r="H683" s="20"/>
      <c r="I683" s="20"/>
      <c r="J683" s="20"/>
      <c r="K683" s="20"/>
      <c r="L683" s="20"/>
      <c r="M683" s="20"/>
      <c r="N683" s="20"/>
      <c r="O683" s="20"/>
      <c r="P683" s="20"/>
      <c r="Q683" s="20"/>
      <c r="R683" s="20"/>
      <c r="S683" s="20"/>
    </row>
    <row r="684">
      <c r="A684" s="20"/>
      <c r="B684" s="20"/>
      <c r="C684" s="20"/>
      <c r="D684" s="20"/>
      <c r="E684" s="20"/>
      <c r="F684" s="20"/>
      <c r="G684" s="20"/>
      <c r="H684" s="20"/>
      <c r="I684" s="20"/>
      <c r="J684" s="20"/>
      <c r="K684" s="20"/>
      <c r="L684" s="20"/>
      <c r="M684" s="20"/>
      <c r="N684" s="20"/>
      <c r="O684" s="20"/>
      <c r="P684" s="20"/>
      <c r="Q684" s="20"/>
      <c r="R684" s="20"/>
      <c r="S684" s="20"/>
    </row>
    <row r="685">
      <c r="A685" s="20"/>
      <c r="B685" s="20"/>
      <c r="C685" s="20"/>
      <c r="D685" s="20"/>
      <c r="E685" s="20"/>
      <c r="F685" s="20"/>
      <c r="G685" s="20"/>
      <c r="H685" s="20"/>
      <c r="I685" s="20"/>
      <c r="J685" s="20"/>
      <c r="K685" s="20"/>
      <c r="L685" s="20"/>
      <c r="M685" s="20"/>
      <c r="N685" s="20"/>
      <c r="O685" s="20"/>
      <c r="P685" s="20"/>
      <c r="Q685" s="20"/>
      <c r="R685" s="20"/>
      <c r="S685" s="20"/>
    </row>
    <row r="686">
      <c r="A686" s="20"/>
      <c r="B686" s="20"/>
      <c r="C686" s="20"/>
      <c r="D686" s="20"/>
      <c r="E686" s="20"/>
      <c r="F686" s="20"/>
      <c r="G686" s="20"/>
      <c r="H686" s="20"/>
      <c r="I686" s="20"/>
      <c r="J686" s="20"/>
      <c r="K686" s="20"/>
      <c r="L686" s="20"/>
      <c r="M686" s="20"/>
      <c r="N686" s="20"/>
      <c r="O686" s="20"/>
      <c r="P686" s="20"/>
      <c r="Q686" s="20"/>
      <c r="R686" s="20"/>
      <c r="S686" s="20"/>
    </row>
    <row r="687">
      <c r="A687" s="20"/>
      <c r="B687" s="20"/>
      <c r="C687" s="20"/>
      <c r="D687" s="20"/>
      <c r="E687" s="20"/>
      <c r="F687" s="20"/>
      <c r="G687" s="20"/>
      <c r="H687" s="20"/>
      <c r="I687" s="20"/>
      <c r="J687" s="20"/>
      <c r="K687" s="20"/>
      <c r="L687" s="20"/>
      <c r="M687" s="20"/>
      <c r="N687" s="20"/>
      <c r="O687" s="20"/>
      <c r="P687" s="20"/>
      <c r="Q687" s="20"/>
      <c r="R687" s="20"/>
      <c r="S687" s="20"/>
    </row>
    <row r="688">
      <c r="A688" s="20"/>
      <c r="B688" s="20"/>
      <c r="C688" s="20"/>
      <c r="D688" s="20"/>
      <c r="E688" s="20"/>
      <c r="F688" s="20"/>
      <c r="G688" s="20"/>
      <c r="H688" s="20"/>
      <c r="I688" s="20"/>
      <c r="J688" s="20"/>
      <c r="K688" s="20"/>
      <c r="L688" s="20"/>
      <c r="M688" s="20"/>
      <c r="N688" s="20"/>
      <c r="O688" s="20"/>
      <c r="P688" s="20"/>
      <c r="Q688" s="20"/>
      <c r="R688" s="20"/>
      <c r="S688" s="20"/>
    </row>
    <row r="689">
      <c r="A689" s="20"/>
      <c r="B689" s="20"/>
      <c r="C689" s="20"/>
      <c r="D689" s="20"/>
      <c r="E689" s="20"/>
      <c r="F689" s="20"/>
      <c r="G689" s="20"/>
      <c r="H689" s="20"/>
      <c r="I689" s="20"/>
      <c r="J689" s="20"/>
      <c r="K689" s="20"/>
      <c r="L689" s="20"/>
      <c r="M689" s="20"/>
      <c r="N689" s="20"/>
      <c r="O689" s="20"/>
      <c r="P689" s="20"/>
      <c r="Q689" s="20"/>
      <c r="R689" s="20"/>
      <c r="S689" s="20"/>
    </row>
    <row r="690">
      <c r="A690" s="20"/>
      <c r="B690" s="20"/>
      <c r="C690" s="20"/>
      <c r="D690" s="20"/>
      <c r="E690" s="20"/>
      <c r="F690" s="20"/>
      <c r="G690" s="20"/>
      <c r="H690" s="20"/>
      <c r="I690" s="20"/>
      <c r="J690" s="20"/>
      <c r="K690" s="20"/>
      <c r="L690" s="20"/>
      <c r="M690" s="20"/>
      <c r="N690" s="20"/>
      <c r="O690" s="20"/>
      <c r="P690" s="20"/>
      <c r="Q690" s="20"/>
      <c r="R690" s="20"/>
      <c r="S690" s="20"/>
    </row>
    <row r="691">
      <c r="A691" s="20"/>
      <c r="B691" s="20"/>
      <c r="C691" s="20"/>
      <c r="D691" s="20"/>
      <c r="E691" s="20"/>
      <c r="F691" s="20"/>
      <c r="G691" s="20"/>
      <c r="H691" s="20"/>
      <c r="I691" s="20"/>
      <c r="J691" s="20"/>
      <c r="K691" s="20"/>
      <c r="L691" s="20"/>
      <c r="M691" s="20"/>
      <c r="N691" s="20"/>
      <c r="O691" s="20"/>
      <c r="P691" s="20"/>
      <c r="Q691" s="20"/>
      <c r="R691" s="20"/>
      <c r="S691" s="20"/>
    </row>
    <row r="692">
      <c r="A692" s="20"/>
      <c r="B692" s="20"/>
      <c r="C692" s="20"/>
      <c r="D692" s="20"/>
      <c r="E692" s="20"/>
      <c r="F692" s="20"/>
      <c r="G692" s="20"/>
      <c r="H692" s="20"/>
      <c r="I692" s="20"/>
      <c r="J692" s="20"/>
      <c r="K692" s="20"/>
      <c r="L692" s="20"/>
      <c r="M692" s="20"/>
      <c r="N692" s="20"/>
      <c r="O692" s="20"/>
      <c r="P692" s="20"/>
      <c r="Q692" s="20"/>
      <c r="R692" s="20"/>
      <c r="S692" s="20"/>
    </row>
    <row r="693">
      <c r="A693" s="20"/>
      <c r="B693" s="20"/>
      <c r="C693" s="20"/>
      <c r="D693" s="20"/>
      <c r="E693" s="20"/>
      <c r="F693" s="20"/>
      <c r="G693" s="20"/>
      <c r="H693" s="20"/>
      <c r="I693" s="20"/>
      <c r="J693" s="20"/>
      <c r="K693" s="20"/>
      <c r="L693" s="20"/>
      <c r="M693" s="20"/>
      <c r="N693" s="20"/>
      <c r="O693" s="20"/>
      <c r="P693" s="20"/>
      <c r="Q693" s="20"/>
      <c r="R693" s="20"/>
      <c r="S693" s="20"/>
    </row>
    <row r="694">
      <c r="A694" s="20"/>
      <c r="B694" s="20"/>
      <c r="C694" s="20"/>
      <c r="D694" s="20"/>
      <c r="E694" s="20"/>
      <c r="F694" s="20"/>
      <c r="G694" s="20"/>
      <c r="H694" s="20"/>
      <c r="I694" s="20"/>
      <c r="J694" s="20"/>
      <c r="K694" s="20"/>
      <c r="L694" s="20"/>
      <c r="M694" s="20"/>
      <c r="N694" s="20"/>
      <c r="O694" s="20"/>
      <c r="P694" s="20"/>
      <c r="Q694" s="20"/>
      <c r="R694" s="20"/>
      <c r="S694" s="20"/>
    </row>
    <row r="695">
      <c r="A695" s="20"/>
      <c r="B695" s="20"/>
      <c r="C695" s="20"/>
      <c r="D695" s="20"/>
      <c r="E695" s="20"/>
      <c r="F695" s="20"/>
      <c r="G695" s="20"/>
      <c r="H695" s="20"/>
      <c r="I695" s="20"/>
      <c r="J695" s="20"/>
      <c r="K695" s="20"/>
      <c r="L695" s="20"/>
      <c r="M695" s="20"/>
      <c r="N695" s="20"/>
      <c r="O695" s="20"/>
      <c r="P695" s="20"/>
      <c r="Q695" s="20"/>
      <c r="R695" s="20"/>
      <c r="S695" s="20"/>
    </row>
    <row r="696">
      <c r="A696" s="20"/>
      <c r="B696" s="20"/>
      <c r="C696" s="20"/>
      <c r="D696" s="20"/>
      <c r="E696" s="20"/>
      <c r="F696" s="20"/>
      <c r="G696" s="20"/>
      <c r="H696" s="20"/>
      <c r="I696" s="20"/>
      <c r="J696" s="20"/>
      <c r="K696" s="20"/>
      <c r="L696" s="20"/>
      <c r="M696" s="20"/>
      <c r="N696" s="20"/>
      <c r="O696" s="20"/>
      <c r="P696" s="20"/>
      <c r="Q696" s="20"/>
      <c r="R696" s="20"/>
      <c r="S696" s="20"/>
    </row>
    <row r="697">
      <c r="A697" s="20"/>
      <c r="B697" s="20"/>
      <c r="C697" s="20"/>
      <c r="D697" s="20"/>
      <c r="E697" s="20"/>
      <c r="F697" s="20"/>
      <c r="G697" s="20"/>
      <c r="H697" s="20"/>
      <c r="I697" s="20"/>
      <c r="J697" s="20"/>
      <c r="K697" s="20"/>
      <c r="L697" s="20"/>
      <c r="M697" s="20"/>
      <c r="N697" s="20"/>
      <c r="O697" s="20"/>
      <c r="P697" s="20"/>
      <c r="Q697" s="20"/>
      <c r="R697" s="20"/>
      <c r="S697" s="20"/>
    </row>
    <row r="698">
      <c r="A698" s="20"/>
      <c r="B698" s="20"/>
      <c r="C698" s="20"/>
      <c r="D698" s="20"/>
      <c r="E698" s="20"/>
      <c r="F698" s="20"/>
      <c r="G698" s="20"/>
      <c r="H698" s="20"/>
      <c r="I698" s="20"/>
      <c r="J698" s="20"/>
      <c r="K698" s="20"/>
      <c r="L698" s="20"/>
      <c r="M698" s="20"/>
      <c r="N698" s="20"/>
      <c r="O698" s="20"/>
      <c r="P698" s="20"/>
      <c r="Q698" s="20"/>
      <c r="R698" s="20"/>
      <c r="S698" s="20"/>
    </row>
    <row r="699">
      <c r="A699" s="20"/>
      <c r="B699" s="20"/>
      <c r="C699" s="20"/>
      <c r="D699" s="20"/>
      <c r="E699" s="20"/>
      <c r="F699" s="20"/>
      <c r="G699" s="20"/>
      <c r="H699" s="20"/>
      <c r="I699" s="20"/>
      <c r="J699" s="20"/>
      <c r="K699" s="20"/>
      <c r="L699" s="20"/>
      <c r="M699" s="20"/>
      <c r="N699" s="20"/>
      <c r="O699" s="20"/>
      <c r="P699" s="20"/>
      <c r="Q699" s="20"/>
      <c r="R699" s="20"/>
      <c r="S699" s="20"/>
    </row>
    <row r="700">
      <c r="A700" s="20"/>
      <c r="B700" s="20"/>
      <c r="C700" s="20"/>
      <c r="D700" s="20"/>
      <c r="E700" s="20"/>
      <c r="F700" s="20"/>
      <c r="G700" s="20"/>
      <c r="H700" s="20"/>
      <c r="I700" s="20"/>
      <c r="J700" s="20"/>
      <c r="K700" s="20"/>
      <c r="L700" s="20"/>
      <c r="M700" s="20"/>
      <c r="N700" s="20"/>
      <c r="O700" s="20"/>
      <c r="P700" s="20"/>
      <c r="Q700" s="20"/>
      <c r="R700" s="20"/>
      <c r="S700" s="20"/>
    </row>
    <row r="701">
      <c r="A701" s="20"/>
      <c r="B701" s="20"/>
      <c r="C701" s="20"/>
      <c r="D701" s="20"/>
      <c r="E701" s="20"/>
      <c r="F701" s="20"/>
      <c r="G701" s="20"/>
      <c r="H701" s="20"/>
      <c r="I701" s="20"/>
      <c r="J701" s="20"/>
      <c r="K701" s="20"/>
      <c r="L701" s="20"/>
      <c r="M701" s="20"/>
      <c r="N701" s="20"/>
      <c r="O701" s="20"/>
      <c r="P701" s="20"/>
      <c r="Q701" s="20"/>
      <c r="R701" s="20"/>
      <c r="S701" s="20"/>
    </row>
    <row r="702">
      <c r="A702" s="20"/>
      <c r="B702" s="20"/>
      <c r="C702" s="20"/>
      <c r="D702" s="20"/>
      <c r="E702" s="20"/>
      <c r="F702" s="20"/>
      <c r="G702" s="20"/>
      <c r="H702" s="20"/>
      <c r="I702" s="20"/>
      <c r="J702" s="20"/>
      <c r="K702" s="20"/>
      <c r="L702" s="20"/>
      <c r="M702" s="20"/>
      <c r="N702" s="20"/>
      <c r="O702" s="20"/>
      <c r="P702" s="20"/>
      <c r="Q702" s="20"/>
      <c r="R702" s="20"/>
      <c r="S702" s="20"/>
    </row>
    <row r="703">
      <c r="A703" s="20"/>
      <c r="B703" s="20"/>
      <c r="C703" s="20"/>
      <c r="D703" s="20"/>
      <c r="E703" s="20"/>
      <c r="F703" s="20"/>
      <c r="G703" s="20"/>
      <c r="H703" s="20"/>
      <c r="I703" s="20"/>
      <c r="J703" s="20"/>
      <c r="K703" s="20"/>
      <c r="L703" s="20"/>
      <c r="M703" s="20"/>
      <c r="N703" s="20"/>
      <c r="O703" s="20"/>
      <c r="P703" s="20"/>
      <c r="Q703" s="20"/>
      <c r="R703" s="20"/>
      <c r="S703" s="20"/>
    </row>
    <row r="704">
      <c r="A704" s="20"/>
      <c r="B704" s="20"/>
      <c r="C704" s="20"/>
      <c r="D704" s="20"/>
      <c r="E704" s="20"/>
      <c r="F704" s="20"/>
      <c r="G704" s="20"/>
      <c r="H704" s="20"/>
      <c r="I704" s="20"/>
      <c r="J704" s="20"/>
      <c r="K704" s="20"/>
      <c r="L704" s="20"/>
      <c r="M704" s="20"/>
      <c r="N704" s="20"/>
      <c r="O704" s="20"/>
      <c r="P704" s="20"/>
      <c r="Q704" s="20"/>
      <c r="R704" s="20"/>
      <c r="S704" s="20"/>
    </row>
    <row r="705">
      <c r="A705" s="20"/>
      <c r="B705" s="20"/>
      <c r="C705" s="20"/>
      <c r="D705" s="20"/>
      <c r="E705" s="20"/>
      <c r="F705" s="20"/>
      <c r="G705" s="20"/>
      <c r="H705" s="20"/>
      <c r="I705" s="20"/>
      <c r="J705" s="20"/>
      <c r="K705" s="20"/>
      <c r="L705" s="20"/>
      <c r="M705" s="20"/>
      <c r="N705" s="20"/>
      <c r="O705" s="20"/>
      <c r="P705" s="20"/>
      <c r="Q705" s="20"/>
      <c r="R705" s="20"/>
      <c r="S705" s="20"/>
    </row>
    <row r="706">
      <c r="A706" s="20"/>
      <c r="B706" s="20"/>
      <c r="C706" s="20"/>
      <c r="D706" s="20"/>
      <c r="E706" s="20"/>
      <c r="F706" s="20"/>
      <c r="G706" s="20"/>
      <c r="H706" s="20"/>
      <c r="I706" s="20"/>
      <c r="J706" s="20"/>
      <c r="K706" s="20"/>
      <c r="L706" s="20"/>
      <c r="M706" s="20"/>
      <c r="N706" s="20"/>
      <c r="O706" s="20"/>
      <c r="P706" s="20"/>
      <c r="Q706" s="20"/>
      <c r="R706" s="20"/>
      <c r="S706" s="20"/>
    </row>
    <row r="707">
      <c r="A707" s="20"/>
      <c r="B707" s="20"/>
      <c r="C707" s="20"/>
      <c r="D707" s="20"/>
      <c r="E707" s="20"/>
      <c r="F707" s="20"/>
      <c r="G707" s="20"/>
      <c r="H707" s="20"/>
      <c r="I707" s="20"/>
      <c r="J707" s="20"/>
      <c r="K707" s="20"/>
      <c r="L707" s="20"/>
      <c r="M707" s="20"/>
      <c r="N707" s="20"/>
      <c r="O707" s="20"/>
      <c r="P707" s="20"/>
      <c r="Q707" s="20"/>
      <c r="R707" s="20"/>
      <c r="S707" s="20"/>
    </row>
    <row r="708">
      <c r="A708" s="20"/>
      <c r="B708" s="20"/>
      <c r="C708" s="20"/>
      <c r="D708" s="20"/>
      <c r="E708" s="20"/>
      <c r="F708" s="20"/>
      <c r="G708" s="20"/>
      <c r="H708" s="20"/>
      <c r="I708" s="20"/>
      <c r="J708" s="20"/>
      <c r="K708" s="20"/>
      <c r="L708" s="20"/>
      <c r="M708" s="20"/>
      <c r="N708" s="20"/>
      <c r="O708" s="20"/>
      <c r="P708" s="20"/>
      <c r="Q708" s="20"/>
      <c r="R708" s="20"/>
      <c r="S708" s="20"/>
    </row>
    <row r="709">
      <c r="A709" s="20"/>
      <c r="B709" s="20"/>
      <c r="C709" s="20"/>
      <c r="D709" s="20"/>
      <c r="E709" s="20"/>
      <c r="F709" s="20"/>
      <c r="G709" s="20"/>
      <c r="H709" s="20"/>
      <c r="I709" s="20"/>
      <c r="J709" s="20"/>
      <c r="K709" s="20"/>
      <c r="L709" s="20"/>
      <c r="M709" s="20"/>
      <c r="N709" s="20"/>
      <c r="O709" s="20"/>
      <c r="P709" s="20"/>
      <c r="Q709" s="20"/>
      <c r="R709" s="20"/>
      <c r="S709" s="20"/>
    </row>
    <row r="710">
      <c r="A710" s="20"/>
      <c r="B710" s="20"/>
      <c r="C710" s="20"/>
      <c r="D710" s="20"/>
      <c r="E710" s="20"/>
      <c r="F710" s="20"/>
      <c r="G710" s="20"/>
      <c r="H710" s="20"/>
      <c r="I710" s="20"/>
      <c r="J710" s="20"/>
      <c r="K710" s="20"/>
      <c r="L710" s="20"/>
      <c r="M710" s="20"/>
      <c r="N710" s="20"/>
      <c r="O710" s="20"/>
      <c r="P710" s="20"/>
      <c r="Q710" s="20"/>
      <c r="R710" s="20"/>
      <c r="S710" s="20"/>
    </row>
    <row r="711">
      <c r="A711" s="20"/>
      <c r="B711" s="20"/>
      <c r="C711" s="20"/>
      <c r="D711" s="20"/>
      <c r="E711" s="20"/>
      <c r="F711" s="20"/>
      <c r="G711" s="20"/>
      <c r="H711" s="20"/>
      <c r="I711" s="20"/>
      <c r="J711" s="20"/>
      <c r="K711" s="20"/>
      <c r="L711" s="20"/>
      <c r="M711" s="20"/>
      <c r="N711" s="20"/>
      <c r="O711" s="20"/>
      <c r="P711" s="20"/>
      <c r="Q711" s="20"/>
      <c r="R711" s="20"/>
      <c r="S711" s="20"/>
    </row>
    <row r="712">
      <c r="A712" s="20"/>
      <c r="B712" s="20"/>
      <c r="C712" s="20"/>
      <c r="D712" s="20"/>
      <c r="E712" s="20"/>
      <c r="F712" s="20"/>
      <c r="G712" s="20"/>
      <c r="H712" s="20"/>
      <c r="I712" s="20"/>
      <c r="J712" s="20"/>
      <c r="K712" s="20"/>
      <c r="L712" s="20"/>
      <c r="M712" s="20"/>
      <c r="N712" s="20"/>
      <c r="O712" s="20"/>
      <c r="P712" s="20"/>
      <c r="Q712" s="20"/>
      <c r="R712" s="20"/>
      <c r="S712" s="20"/>
    </row>
    <row r="713">
      <c r="A713" s="20"/>
      <c r="B713" s="20"/>
      <c r="C713" s="20"/>
      <c r="D713" s="20"/>
      <c r="E713" s="20"/>
      <c r="F713" s="20"/>
      <c r="G713" s="20"/>
      <c r="H713" s="20"/>
      <c r="I713" s="20"/>
      <c r="J713" s="20"/>
      <c r="K713" s="20"/>
      <c r="L713" s="20"/>
      <c r="M713" s="20"/>
      <c r="N713" s="20"/>
      <c r="O713" s="20"/>
      <c r="P713" s="20"/>
      <c r="Q713" s="20"/>
      <c r="R713" s="20"/>
      <c r="S713" s="20"/>
    </row>
    <row r="714">
      <c r="A714" s="20"/>
      <c r="B714" s="20"/>
      <c r="C714" s="20"/>
      <c r="D714" s="20"/>
      <c r="E714" s="20"/>
      <c r="F714" s="20"/>
      <c r="G714" s="20"/>
      <c r="H714" s="20"/>
      <c r="I714" s="20"/>
      <c r="J714" s="20"/>
      <c r="K714" s="20"/>
      <c r="L714" s="20"/>
      <c r="M714" s="20"/>
      <c r="N714" s="20"/>
      <c r="O714" s="20"/>
      <c r="P714" s="20"/>
      <c r="Q714" s="20"/>
      <c r="R714" s="20"/>
      <c r="S714" s="20"/>
    </row>
    <row r="715">
      <c r="A715" s="20"/>
      <c r="B715" s="20"/>
      <c r="C715" s="20"/>
      <c r="D715" s="20"/>
      <c r="E715" s="20"/>
      <c r="F715" s="20"/>
      <c r="G715" s="20"/>
      <c r="H715" s="20"/>
      <c r="I715" s="20"/>
      <c r="J715" s="20"/>
      <c r="K715" s="20"/>
      <c r="L715" s="20"/>
      <c r="M715" s="20"/>
      <c r="N715" s="20"/>
      <c r="O715" s="20"/>
      <c r="P715" s="20"/>
      <c r="Q715" s="20"/>
      <c r="R715" s="20"/>
      <c r="S715" s="20"/>
    </row>
    <row r="716">
      <c r="A716" s="20"/>
      <c r="B716" s="20"/>
      <c r="C716" s="20"/>
      <c r="D716" s="20"/>
      <c r="E716" s="20"/>
      <c r="F716" s="20"/>
      <c r="G716" s="20"/>
      <c r="H716" s="20"/>
      <c r="I716" s="20"/>
      <c r="J716" s="20"/>
      <c r="K716" s="20"/>
      <c r="L716" s="20"/>
      <c r="M716" s="20"/>
      <c r="N716" s="20"/>
      <c r="O716" s="20"/>
      <c r="P716" s="20"/>
      <c r="Q716" s="20"/>
      <c r="R716" s="20"/>
      <c r="S716" s="20"/>
    </row>
    <row r="717">
      <c r="A717" s="20"/>
      <c r="B717" s="20"/>
      <c r="C717" s="20"/>
      <c r="D717" s="20"/>
      <c r="E717" s="20"/>
      <c r="F717" s="20"/>
      <c r="G717" s="20"/>
      <c r="H717" s="20"/>
      <c r="I717" s="20"/>
      <c r="J717" s="20"/>
      <c r="K717" s="20"/>
      <c r="L717" s="20"/>
      <c r="M717" s="20"/>
      <c r="N717" s="20"/>
      <c r="O717" s="20"/>
      <c r="P717" s="20"/>
      <c r="Q717" s="20"/>
      <c r="R717" s="20"/>
      <c r="S717" s="20"/>
    </row>
    <row r="718">
      <c r="A718" s="20"/>
      <c r="B718" s="20"/>
      <c r="C718" s="20"/>
      <c r="D718" s="20"/>
      <c r="E718" s="20"/>
      <c r="F718" s="20"/>
      <c r="G718" s="20"/>
      <c r="H718" s="20"/>
      <c r="I718" s="20"/>
      <c r="J718" s="20"/>
      <c r="K718" s="20"/>
      <c r="L718" s="20"/>
      <c r="M718" s="20"/>
      <c r="N718" s="20"/>
      <c r="O718" s="20"/>
      <c r="P718" s="20"/>
      <c r="Q718" s="20"/>
      <c r="R718" s="20"/>
      <c r="S718" s="20"/>
    </row>
    <row r="719">
      <c r="A719" s="20"/>
      <c r="B719" s="20"/>
      <c r="C719" s="20"/>
      <c r="D719" s="20"/>
      <c r="E719" s="20"/>
      <c r="F719" s="20"/>
      <c r="G719" s="20"/>
      <c r="H719" s="20"/>
      <c r="I719" s="20"/>
      <c r="J719" s="20"/>
      <c r="K719" s="20"/>
      <c r="L719" s="20"/>
      <c r="M719" s="20"/>
      <c r="N719" s="20"/>
      <c r="O719" s="20"/>
      <c r="P719" s="20"/>
      <c r="Q719" s="20"/>
      <c r="R719" s="20"/>
      <c r="S719" s="20"/>
    </row>
    <row r="720">
      <c r="A720" s="20"/>
      <c r="B720" s="20"/>
      <c r="C720" s="20"/>
      <c r="D720" s="20"/>
      <c r="E720" s="20"/>
      <c r="F720" s="20"/>
      <c r="G720" s="20"/>
      <c r="H720" s="20"/>
      <c r="I720" s="20"/>
      <c r="J720" s="20"/>
      <c r="K720" s="20"/>
      <c r="L720" s="20"/>
      <c r="M720" s="20"/>
      <c r="N720" s="20"/>
      <c r="O720" s="20"/>
      <c r="P720" s="20"/>
      <c r="Q720" s="20"/>
      <c r="R720" s="20"/>
      <c r="S720" s="20"/>
    </row>
    <row r="721">
      <c r="A721" s="20"/>
      <c r="B721" s="20"/>
      <c r="C721" s="20"/>
      <c r="D721" s="20"/>
      <c r="E721" s="20"/>
      <c r="F721" s="20"/>
      <c r="G721" s="20"/>
      <c r="H721" s="20"/>
      <c r="I721" s="20"/>
      <c r="J721" s="20"/>
      <c r="K721" s="20"/>
      <c r="L721" s="20"/>
      <c r="M721" s="20"/>
      <c r="N721" s="20"/>
      <c r="O721" s="20"/>
      <c r="P721" s="20"/>
      <c r="Q721" s="20"/>
      <c r="R721" s="20"/>
      <c r="S721" s="20"/>
    </row>
    <row r="722">
      <c r="A722" s="20"/>
      <c r="B722" s="20"/>
      <c r="C722" s="20"/>
      <c r="D722" s="20"/>
      <c r="E722" s="20"/>
      <c r="F722" s="20"/>
      <c r="G722" s="20"/>
      <c r="H722" s="20"/>
      <c r="I722" s="20"/>
      <c r="J722" s="20"/>
      <c r="K722" s="20"/>
      <c r="L722" s="20"/>
      <c r="M722" s="20"/>
      <c r="N722" s="20"/>
      <c r="O722" s="20"/>
      <c r="P722" s="20"/>
      <c r="Q722" s="20"/>
      <c r="R722" s="20"/>
      <c r="S722" s="20"/>
    </row>
    <row r="723">
      <c r="A723" s="20"/>
      <c r="B723" s="20"/>
      <c r="C723" s="20"/>
      <c r="D723" s="20"/>
      <c r="E723" s="20"/>
      <c r="F723" s="20"/>
      <c r="G723" s="20"/>
      <c r="H723" s="20"/>
      <c r="I723" s="20"/>
      <c r="J723" s="20"/>
      <c r="K723" s="20"/>
      <c r="L723" s="20"/>
      <c r="M723" s="20"/>
      <c r="N723" s="20"/>
      <c r="O723" s="20"/>
      <c r="P723" s="20"/>
      <c r="Q723" s="20"/>
      <c r="R723" s="20"/>
      <c r="S723" s="20"/>
    </row>
    <row r="724">
      <c r="A724" s="20"/>
      <c r="B724" s="20"/>
      <c r="C724" s="20"/>
      <c r="D724" s="20"/>
      <c r="E724" s="20"/>
      <c r="F724" s="20"/>
      <c r="G724" s="20"/>
      <c r="H724" s="20"/>
      <c r="I724" s="20"/>
      <c r="J724" s="20"/>
      <c r="K724" s="20"/>
      <c r="L724" s="20"/>
      <c r="M724" s="20"/>
      <c r="N724" s="20"/>
      <c r="O724" s="20"/>
      <c r="P724" s="20"/>
      <c r="Q724" s="20"/>
      <c r="R724" s="20"/>
      <c r="S724" s="20"/>
    </row>
    <row r="725">
      <c r="A725" s="20"/>
      <c r="B725" s="20"/>
      <c r="C725" s="20"/>
      <c r="D725" s="20"/>
      <c r="E725" s="20"/>
      <c r="F725" s="20"/>
      <c r="G725" s="20"/>
      <c r="H725" s="20"/>
      <c r="I725" s="20"/>
      <c r="J725" s="20"/>
      <c r="K725" s="20"/>
      <c r="L725" s="20"/>
      <c r="M725" s="20"/>
      <c r="N725" s="20"/>
      <c r="O725" s="20"/>
      <c r="P725" s="20"/>
      <c r="Q725" s="20"/>
      <c r="R725" s="20"/>
      <c r="S725" s="20"/>
    </row>
    <row r="726">
      <c r="A726" s="20"/>
      <c r="B726" s="20"/>
      <c r="C726" s="20"/>
      <c r="D726" s="20"/>
      <c r="E726" s="20"/>
      <c r="F726" s="20"/>
      <c r="G726" s="20"/>
      <c r="H726" s="20"/>
      <c r="I726" s="20"/>
      <c r="J726" s="20"/>
      <c r="K726" s="20"/>
      <c r="L726" s="20"/>
      <c r="M726" s="20"/>
      <c r="N726" s="20"/>
      <c r="O726" s="20"/>
      <c r="P726" s="20"/>
      <c r="Q726" s="20"/>
      <c r="R726" s="20"/>
      <c r="S726" s="20"/>
    </row>
    <row r="727">
      <c r="A727" s="20"/>
      <c r="B727" s="20"/>
      <c r="C727" s="20"/>
      <c r="D727" s="20"/>
      <c r="E727" s="20"/>
      <c r="F727" s="20"/>
      <c r="G727" s="20"/>
      <c r="H727" s="20"/>
      <c r="I727" s="20"/>
      <c r="J727" s="20"/>
      <c r="K727" s="20"/>
      <c r="L727" s="20"/>
      <c r="M727" s="20"/>
      <c r="N727" s="20"/>
      <c r="O727" s="20"/>
      <c r="P727" s="20"/>
      <c r="Q727" s="20"/>
      <c r="R727" s="20"/>
      <c r="S727" s="20"/>
    </row>
    <row r="728">
      <c r="A728" s="20"/>
      <c r="B728" s="20"/>
      <c r="C728" s="20"/>
      <c r="D728" s="20"/>
      <c r="E728" s="20"/>
      <c r="F728" s="20"/>
      <c r="G728" s="20"/>
      <c r="H728" s="20"/>
      <c r="I728" s="20"/>
      <c r="J728" s="20"/>
      <c r="K728" s="20"/>
      <c r="L728" s="20"/>
      <c r="M728" s="20"/>
      <c r="N728" s="20"/>
      <c r="O728" s="20"/>
      <c r="P728" s="20"/>
      <c r="Q728" s="20"/>
      <c r="R728" s="20"/>
      <c r="S728" s="20"/>
    </row>
    <row r="729">
      <c r="A729" s="20"/>
      <c r="B729" s="20"/>
      <c r="C729" s="20"/>
      <c r="D729" s="20"/>
      <c r="E729" s="20"/>
      <c r="F729" s="20"/>
      <c r="G729" s="20"/>
      <c r="H729" s="20"/>
      <c r="I729" s="20"/>
      <c r="J729" s="20"/>
      <c r="K729" s="20"/>
      <c r="L729" s="20"/>
      <c r="M729" s="20"/>
      <c r="N729" s="20"/>
      <c r="O729" s="20"/>
      <c r="P729" s="20"/>
      <c r="Q729" s="20"/>
      <c r="R729" s="20"/>
      <c r="S729" s="20"/>
    </row>
    <row r="730">
      <c r="A730" s="20"/>
      <c r="B730" s="20"/>
      <c r="C730" s="20"/>
      <c r="D730" s="20"/>
      <c r="E730" s="20"/>
      <c r="F730" s="20"/>
      <c r="G730" s="20"/>
      <c r="H730" s="20"/>
      <c r="I730" s="20"/>
      <c r="J730" s="20"/>
      <c r="K730" s="20"/>
      <c r="L730" s="20"/>
      <c r="M730" s="20"/>
      <c r="N730" s="20"/>
      <c r="O730" s="20"/>
      <c r="P730" s="20"/>
      <c r="Q730" s="20"/>
      <c r="R730" s="20"/>
      <c r="S730" s="20"/>
    </row>
    <row r="731">
      <c r="A731" s="20"/>
      <c r="B731" s="20"/>
      <c r="C731" s="20"/>
      <c r="D731" s="20"/>
      <c r="E731" s="20"/>
      <c r="F731" s="20"/>
      <c r="G731" s="20"/>
      <c r="H731" s="20"/>
      <c r="I731" s="20"/>
      <c r="J731" s="20"/>
      <c r="K731" s="20"/>
      <c r="L731" s="20"/>
      <c r="M731" s="20"/>
      <c r="N731" s="20"/>
      <c r="O731" s="20"/>
      <c r="P731" s="20"/>
      <c r="Q731" s="20"/>
      <c r="R731" s="20"/>
      <c r="S731" s="20"/>
    </row>
    <row r="732">
      <c r="A732" s="20"/>
      <c r="B732" s="20"/>
      <c r="C732" s="20"/>
      <c r="D732" s="20"/>
      <c r="E732" s="20"/>
      <c r="F732" s="20"/>
      <c r="G732" s="20"/>
      <c r="H732" s="20"/>
      <c r="I732" s="20"/>
      <c r="J732" s="20"/>
      <c r="K732" s="20"/>
      <c r="L732" s="20"/>
      <c r="M732" s="20"/>
      <c r="N732" s="20"/>
      <c r="O732" s="20"/>
      <c r="P732" s="20"/>
      <c r="Q732" s="20"/>
      <c r="R732" s="20"/>
      <c r="S732" s="20"/>
    </row>
    <row r="733">
      <c r="A733" s="20"/>
      <c r="B733" s="20"/>
      <c r="C733" s="20"/>
      <c r="D733" s="20"/>
      <c r="E733" s="20"/>
      <c r="F733" s="20"/>
      <c r="G733" s="20"/>
      <c r="H733" s="20"/>
      <c r="I733" s="20"/>
      <c r="J733" s="20"/>
      <c r="K733" s="20"/>
      <c r="L733" s="20"/>
      <c r="M733" s="20"/>
      <c r="N733" s="20"/>
      <c r="O733" s="20"/>
      <c r="P733" s="20"/>
      <c r="Q733" s="20"/>
      <c r="R733" s="20"/>
      <c r="S733" s="20"/>
    </row>
    <row r="734">
      <c r="A734" s="20"/>
      <c r="B734" s="20"/>
      <c r="C734" s="20"/>
      <c r="D734" s="20"/>
      <c r="E734" s="20"/>
      <c r="F734" s="20"/>
      <c r="G734" s="20"/>
      <c r="H734" s="20"/>
      <c r="I734" s="20"/>
      <c r="J734" s="20"/>
      <c r="K734" s="20"/>
      <c r="L734" s="20"/>
      <c r="M734" s="20"/>
      <c r="N734" s="20"/>
      <c r="O734" s="20"/>
      <c r="P734" s="20"/>
      <c r="Q734" s="20"/>
      <c r="R734" s="20"/>
      <c r="S734" s="20"/>
    </row>
    <row r="735">
      <c r="A735" s="20"/>
      <c r="B735" s="20"/>
      <c r="C735" s="20"/>
      <c r="D735" s="20"/>
      <c r="E735" s="20"/>
      <c r="F735" s="20"/>
      <c r="G735" s="20"/>
      <c r="H735" s="20"/>
      <c r="I735" s="20"/>
      <c r="J735" s="20"/>
      <c r="K735" s="20"/>
      <c r="L735" s="20"/>
      <c r="M735" s="20"/>
      <c r="N735" s="20"/>
      <c r="O735" s="20"/>
      <c r="P735" s="20"/>
      <c r="Q735" s="20"/>
      <c r="R735" s="20"/>
      <c r="S735" s="20"/>
    </row>
    <row r="736">
      <c r="A736" s="20"/>
      <c r="B736" s="20"/>
      <c r="C736" s="20"/>
      <c r="D736" s="20"/>
      <c r="E736" s="20"/>
      <c r="F736" s="20"/>
      <c r="G736" s="20"/>
      <c r="H736" s="20"/>
      <c r="I736" s="20"/>
      <c r="J736" s="20"/>
      <c r="K736" s="20"/>
      <c r="L736" s="20"/>
      <c r="M736" s="20"/>
      <c r="N736" s="20"/>
      <c r="O736" s="20"/>
      <c r="P736" s="20"/>
      <c r="Q736" s="20"/>
      <c r="R736" s="20"/>
      <c r="S736" s="20"/>
    </row>
    <row r="737">
      <c r="A737" s="20"/>
      <c r="B737" s="20"/>
      <c r="C737" s="20"/>
      <c r="D737" s="20"/>
      <c r="E737" s="20"/>
      <c r="F737" s="20"/>
      <c r="G737" s="20"/>
      <c r="H737" s="20"/>
      <c r="I737" s="20"/>
      <c r="J737" s="20"/>
      <c r="K737" s="20"/>
      <c r="L737" s="20"/>
      <c r="M737" s="20"/>
      <c r="N737" s="20"/>
      <c r="O737" s="20"/>
      <c r="P737" s="20"/>
      <c r="Q737" s="20"/>
      <c r="R737" s="20"/>
      <c r="S737" s="20"/>
    </row>
    <row r="738">
      <c r="A738" s="20"/>
      <c r="B738" s="20"/>
      <c r="C738" s="20"/>
      <c r="D738" s="20"/>
      <c r="E738" s="20"/>
      <c r="F738" s="20"/>
      <c r="G738" s="20"/>
      <c r="H738" s="20"/>
      <c r="I738" s="20"/>
      <c r="J738" s="20"/>
      <c r="K738" s="20"/>
      <c r="L738" s="20"/>
      <c r="M738" s="20"/>
      <c r="N738" s="20"/>
      <c r="O738" s="20"/>
      <c r="P738" s="20"/>
      <c r="Q738" s="20"/>
      <c r="R738" s="20"/>
      <c r="S738" s="20"/>
    </row>
    <row r="739">
      <c r="A739" s="20"/>
      <c r="B739" s="20"/>
      <c r="C739" s="20"/>
      <c r="D739" s="20"/>
      <c r="E739" s="20"/>
      <c r="F739" s="20"/>
      <c r="G739" s="20"/>
      <c r="H739" s="20"/>
      <c r="I739" s="20"/>
      <c r="J739" s="20"/>
      <c r="K739" s="20"/>
      <c r="L739" s="20"/>
      <c r="M739" s="20"/>
      <c r="N739" s="20"/>
      <c r="O739" s="20"/>
      <c r="P739" s="20"/>
      <c r="Q739" s="20"/>
      <c r="R739" s="20"/>
      <c r="S739" s="20"/>
    </row>
    <row r="740">
      <c r="A740" s="20"/>
      <c r="B740" s="20"/>
      <c r="C740" s="20"/>
      <c r="D740" s="20"/>
      <c r="E740" s="20"/>
      <c r="F740" s="20"/>
      <c r="G740" s="20"/>
      <c r="H740" s="20"/>
      <c r="I740" s="20"/>
      <c r="J740" s="20"/>
      <c r="K740" s="20"/>
      <c r="L740" s="20"/>
      <c r="M740" s="20"/>
      <c r="N740" s="20"/>
      <c r="O740" s="20"/>
      <c r="P740" s="20"/>
      <c r="Q740" s="20"/>
      <c r="R740" s="20"/>
      <c r="S740" s="20"/>
    </row>
    <row r="741">
      <c r="A741" s="20"/>
      <c r="B741" s="20"/>
      <c r="C741" s="20"/>
      <c r="D741" s="20"/>
      <c r="E741" s="20"/>
      <c r="F741" s="20"/>
      <c r="G741" s="20"/>
      <c r="H741" s="20"/>
      <c r="I741" s="20"/>
      <c r="J741" s="20"/>
      <c r="K741" s="20"/>
      <c r="L741" s="20"/>
      <c r="M741" s="20"/>
      <c r="N741" s="20"/>
      <c r="O741" s="20"/>
      <c r="P741" s="20"/>
      <c r="Q741" s="20"/>
      <c r="R741" s="20"/>
      <c r="S741" s="20"/>
    </row>
    <row r="742">
      <c r="A742" s="20"/>
      <c r="B742" s="20"/>
      <c r="C742" s="20"/>
      <c r="D742" s="20"/>
      <c r="E742" s="20"/>
      <c r="F742" s="20"/>
      <c r="G742" s="20"/>
      <c r="H742" s="20"/>
      <c r="I742" s="20"/>
      <c r="J742" s="20"/>
      <c r="K742" s="20"/>
      <c r="L742" s="20"/>
      <c r="M742" s="20"/>
      <c r="N742" s="20"/>
      <c r="O742" s="20"/>
      <c r="P742" s="20"/>
      <c r="Q742" s="20"/>
      <c r="R742" s="20"/>
      <c r="S742" s="20"/>
    </row>
    <row r="743">
      <c r="A743" s="20"/>
      <c r="B743" s="20"/>
      <c r="C743" s="20"/>
      <c r="D743" s="20"/>
      <c r="E743" s="20"/>
      <c r="F743" s="20"/>
      <c r="G743" s="20"/>
      <c r="H743" s="20"/>
      <c r="I743" s="20"/>
      <c r="J743" s="20"/>
      <c r="K743" s="20"/>
      <c r="L743" s="20"/>
      <c r="M743" s="20"/>
      <c r="N743" s="20"/>
      <c r="O743" s="20"/>
      <c r="P743" s="20"/>
      <c r="Q743" s="20"/>
      <c r="R743" s="20"/>
      <c r="S743" s="20"/>
    </row>
    <row r="744">
      <c r="A744" s="20"/>
      <c r="B744" s="20"/>
      <c r="C744" s="20"/>
      <c r="D744" s="20"/>
      <c r="E744" s="20"/>
      <c r="F744" s="20"/>
      <c r="G744" s="20"/>
      <c r="H744" s="20"/>
      <c r="I744" s="20"/>
      <c r="J744" s="20"/>
      <c r="K744" s="20"/>
      <c r="L744" s="20"/>
      <c r="M744" s="20"/>
      <c r="N744" s="20"/>
      <c r="O744" s="20"/>
      <c r="P744" s="20"/>
      <c r="Q744" s="20"/>
      <c r="R744" s="20"/>
      <c r="S744" s="20"/>
    </row>
    <row r="745">
      <c r="A745" s="20"/>
      <c r="B745" s="20"/>
      <c r="C745" s="20"/>
      <c r="D745" s="20"/>
      <c r="E745" s="20"/>
      <c r="F745" s="20"/>
      <c r="G745" s="20"/>
      <c r="H745" s="20"/>
      <c r="I745" s="20"/>
      <c r="J745" s="20"/>
      <c r="K745" s="20"/>
      <c r="L745" s="20"/>
      <c r="M745" s="20"/>
      <c r="N745" s="20"/>
      <c r="O745" s="20"/>
      <c r="P745" s="20"/>
      <c r="Q745" s="20"/>
      <c r="R745" s="20"/>
      <c r="S745" s="20"/>
    </row>
    <row r="746">
      <c r="A746" s="20"/>
      <c r="B746" s="20"/>
      <c r="C746" s="20"/>
      <c r="D746" s="20"/>
      <c r="E746" s="20"/>
      <c r="F746" s="20"/>
      <c r="G746" s="20"/>
      <c r="H746" s="20"/>
      <c r="I746" s="20"/>
      <c r="J746" s="20"/>
      <c r="K746" s="20"/>
      <c r="L746" s="20"/>
      <c r="M746" s="20"/>
      <c r="N746" s="20"/>
      <c r="O746" s="20"/>
      <c r="P746" s="20"/>
      <c r="Q746" s="20"/>
      <c r="R746" s="20"/>
      <c r="S746" s="20"/>
    </row>
    <row r="747">
      <c r="A747" s="20"/>
      <c r="B747" s="20"/>
      <c r="C747" s="20"/>
      <c r="D747" s="20"/>
      <c r="E747" s="20"/>
      <c r="F747" s="20"/>
      <c r="G747" s="20"/>
      <c r="H747" s="20"/>
      <c r="I747" s="20"/>
      <c r="J747" s="20"/>
      <c r="K747" s="20"/>
      <c r="L747" s="20"/>
      <c r="M747" s="20"/>
      <c r="N747" s="20"/>
      <c r="O747" s="20"/>
      <c r="P747" s="20"/>
      <c r="Q747" s="20"/>
      <c r="R747" s="20"/>
      <c r="S747" s="20"/>
    </row>
    <row r="748">
      <c r="A748" s="20"/>
      <c r="B748" s="20"/>
      <c r="C748" s="20"/>
      <c r="D748" s="20"/>
      <c r="E748" s="20"/>
      <c r="F748" s="20"/>
      <c r="G748" s="20"/>
      <c r="H748" s="20"/>
      <c r="I748" s="20"/>
      <c r="J748" s="20"/>
      <c r="K748" s="20"/>
      <c r="L748" s="20"/>
      <c r="M748" s="20"/>
      <c r="N748" s="20"/>
      <c r="O748" s="20"/>
      <c r="P748" s="20"/>
      <c r="Q748" s="20"/>
      <c r="R748" s="20"/>
      <c r="S748" s="20"/>
    </row>
    <row r="749">
      <c r="A749" s="20"/>
      <c r="B749" s="20"/>
      <c r="C749" s="20"/>
      <c r="D749" s="20"/>
      <c r="E749" s="20"/>
      <c r="F749" s="20"/>
      <c r="G749" s="20"/>
      <c r="H749" s="20"/>
      <c r="I749" s="20"/>
      <c r="J749" s="20"/>
      <c r="K749" s="20"/>
      <c r="L749" s="20"/>
      <c r="M749" s="20"/>
      <c r="N749" s="20"/>
      <c r="O749" s="20"/>
      <c r="P749" s="20"/>
      <c r="Q749" s="20"/>
      <c r="R749" s="20"/>
      <c r="S749" s="20"/>
    </row>
    <row r="750">
      <c r="A750" s="20"/>
      <c r="B750" s="20"/>
      <c r="C750" s="20"/>
      <c r="D750" s="20"/>
      <c r="E750" s="20"/>
      <c r="F750" s="20"/>
      <c r="G750" s="20"/>
      <c r="H750" s="20"/>
      <c r="I750" s="20"/>
      <c r="J750" s="20"/>
      <c r="K750" s="20"/>
      <c r="L750" s="20"/>
      <c r="M750" s="20"/>
      <c r="N750" s="20"/>
      <c r="O750" s="20"/>
      <c r="P750" s="20"/>
      <c r="Q750" s="20"/>
      <c r="R750" s="20"/>
      <c r="S750" s="20"/>
    </row>
    <row r="751">
      <c r="A751" s="20"/>
      <c r="B751" s="20"/>
      <c r="C751" s="20"/>
      <c r="D751" s="20"/>
      <c r="E751" s="20"/>
      <c r="F751" s="20"/>
      <c r="G751" s="20"/>
      <c r="H751" s="20"/>
      <c r="I751" s="20"/>
      <c r="J751" s="20"/>
      <c r="K751" s="20"/>
      <c r="L751" s="20"/>
      <c r="M751" s="20"/>
      <c r="N751" s="20"/>
      <c r="O751" s="20"/>
      <c r="P751" s="20"/>
      <c r="Q751" s="20"/>
      <c r="R751" s="20"/>
      <c r="S751" s="20"/>
    </row>
    <row r="752">
      <c r="A752" s="20"/>
      <c r="B752" s="20"/>
      <c r="C752" s="20"/>
      <c r="D752" s="20"/>
      <c r="E752" s="20"/>
      <c r="F752" s="20"/>
      <c r="G752" s="20"/>
      <c r="H752" s="20"/>
      <c r="I752" s="20"/>
      <c r="J752" s="20"/>
      <c r="K752" s="20"/>
      <c r="L752" s="20"/>
      <c r="M752" s="20"/>
      <c r="N752" s="20"/>
      <c r="O752" s="20"/>
      <c r="P752" s="20"/>
      <c r="Q752" s="20"/>
      <c r="R752" s="20"/>
      <c r="S752" s="20"/>
    </row>
    <row r="753">
      <c r="A753" s="20"/>
      <c r="B753" s="20"/>
      <c r="C753" s="20"/>
      <c r="D753" s="20"/>
      <c r="E753" s="20"/>
      <c r="F753" s="20"/>
      <c r="G753" s="20"/>
      <c r="H753" s="20"/>
      <c r="I753" s="20"/>
      <c r="J753" s="20"/>
      <c r="K753" s="20"/>
      <c r="L753" s="20"/>
      <c r="M753" s="20"/>
      <c r="N753" s="20"/>
      <c r="O753" s="20"/>
      <c r="P753" s="20"/>
      <c r="Q753" s="20"/>
      <c r="R753" s="20"/>
      <c r="S753" s="20"/>
    </row>
    <row r="754">
      <c r="A754" s="20"/>
      <c r="B754" s="20"/>
      <c r="C754" s="20"/>
      <c r="D754" s="20"/>
      <c r="E754" s="20"/>
      <c r="F754" s="20"/>
      <c r="G754" s="20"/>
      <c r="H754" s="20"/>
      <c r="I754" s="20"/>
      <c r="J754" s="20"/>
      <c r="K754" s="20"/>
      <c r="L754" s="20"/>
      <c r="M754" s="20"/>
      <c r="N754" s="20"/>
      <c r="O754" s="20"/>
      <c r="P754" s="20"/>
      <c r="Q754" s="20"/>
      <c r="R754" s="20"/>
      <c r="S754" s="20"/>
    </row>
    <row r="755">
      <c r="A755" s="20"/>
      <c r="B755" s="20"/>
      <c r="C755" s="20"/>
      <c r="D755" s="20"/>
      <c r="E755" s="20"/>
      <c r="F755" s="20"/>
      <c r="G755" s="20"/>
      <c r="H755" s="20"/>
      <c r="I755" s="20"/>
      <c r="J755" s="20"/>
      <c r="K755" s="20"/>
      <c r="L755" s="20"/>
      <c r="M755" s="20"/>
      <c r="N755" s="20"/>
      <c r="O755" s="20"/>
      <c r="P755" s="20"/>
      <c r="Q755" s="20"/>
      <c r="R755" s="20"/>
      <c r="S755" s="20"/>
    </row>
    <row r="756">
      <c r="A756" s="20"/>
      <c r="B756" s="20"/>
      <c r="C756" s="20"/>
      <c r="D756" s="20"/>
      <c r="E756" s="20"/>
      <c r="F756" s="20"/>
      <c r="G756" s="20"/>
      <c r="H756" s="20"/>
      <c r="I756" s="20"/>
      <c r="J756" s="20"/>
      <c r="K756" s="20"/>
      <c r="L756" s="20"/>
      <c r="M756" s="20"/>
      <c r="N756" s="20"/>
      <c r="O756" s="20"/>
      <c r="P756" s="20"/>
      <c r="Q756" s="20"/>
      <c r="R756" s="20"/>
      <c r="S756" s="20"/>
    </row>
    <row r="757">
      <c r="A757" s="20"/>
      <c r="B757" s="20"/>
      <c r="C757" s="20"/>
      <c r="D757" s="20"/>
      <c r="E757" s="20"/>
      <c r="F757" s="20"/>
      <c r="G757" s="20"/>
      <c r="H757" s="20"/>
      <c r="I757" s="20"/>
      <c r="J757" s="20"/>
      <c r="K757" s="20"/>
      <c r="L757" s="20"/>
      <c r="M757" s="20"/>
      <c r="N757" s="20"/>
      <c r="O757" s="20"/>
      <c r="P757" s="20"/>
      <c r="Q757" s="20"/>
      <c r="R757" s="20"/>
      <c r="S757" s="20"/>
    </row>
    <row r="758">
      <c r="A758" s="20"/>
      <c r="B758" s="20"/>
      <c r="C758" s="20"/>
      <c r="D758" s="20"/>
      <c r="E758" s="20"/>
      <c r="F758" s="20"/>
      <c r="G758" s="20"/>
      <c r="H758" s="20"/>
      <c r="I758" s="20"/>
      <c r="J758" s="20"/>
      <c r="K758" s="20"/>
      <c r="L758" s="20"/>
      <c r="M758" s="20"/>
      <c r="N758" s="20"/>
      <c r="O758" s="20"/>
      <c r="P758" s="20"/>
      <c r="Q758" s="20"/>
      <c r="R758" s="20"/>
      <c r="S758" s="20"/>
    </row>
    <row r="759">
      <c r="A759" s="20"/>
      <c r="B759" s="20"/>
      <c r="C759" s="20"/>
      <c r="D759" s="20"/>
      <c r="E759" s="20"/>
      <c r="F759" s="20"/>
      <c r="G759" s="20"/>
      <c r="H759" s="20"/>
      <c r="I759" s="20"/>
      <c r="J759" s="20"/>
      <c r="K759" s="20"/>
      <c r="L759" s="20"/>
      <c r="M759" s="20"/>
      <c r="N759" s="20"/>
      <c r="O759" s="20"/>
      <c r="P759" s="20"/>
      <c r="Q759" s="20"/>
      <c r="R759" s="20"/>
      <c r="S759" s="20"/>
    </row>
    <row r="760">
      <c r="A760" s="20"/>
      <c r="B760" s="20"/>
      <c r="C760" s="20"/>
      <c r="D760" s="20"/>
      <c r="E760" s="20"/>
      <c r="F760" s="20"/>
      <c r="G760" s="20"/>
      <c r="H760" s="20"/>
      <c r="I760" s="20"/>
      <c r="J760" s="20"/>
      <c r="K760" s="20"/>
      <c r="L760" s="20"/>
      <c r="M760" s="20"/>
      <c r="N760" s="20"/>
      <c r="O760" s="20"/>
      <c r="P760" s="20"/>
      <c r="Q760" s="20"/>
      <c r="R760" s="20"/>
      <c r="S760" s="20"/>
    </row>
    <row r="761">
      <c r="A761" s="20"/>
      <c r="B761" s="20"/>
      <c r="C761" s="20"/>
      <c r="D761" s="20"/>
      <c r="E761" s="20"/>
      <c r="F761" s="20"/>
      <c r="G761" s="20"/>
      <c r="H761" s="20"/>
      <c r="I761" s="20"/>
      <c r="J761" s="20"/>
      <c r="K761" s="20"/>
      <c r="L761" s="20"/>
      <c r="M761" s="20"/>
      <c r="N761" s="20"/>
      <c r="O761" s="20"/>
      <c r="P761" s="20"/>
      <c r="Q761" s="20"/>
      <c r="R761" s="20"/>
      <c r="S761" s="20"/>
    </row>
    <row r="762">
      <c r="A762" s="20"/>
      <c r="B762" s="20"/>
      <c r="C762" s="20"/>
      <c r="D762" s="20"/>
      <c r="E762" s="20"/>
      <c r="F762" s="20"/>
      <c r="G762" s="20"/>
      <c r="H762" s="20"/>
      <c r="I762" s="20"/>
      <c r="J762" s="20"/>
      <c r="K762" s="20"/>
      <c r="L762" s="20"/>
      <c r="M762" s="20"/>
      <c r="N762" s="20"/>
      <c r="O762" s="20"/>
      <c r="P762" s="20"/>
      <c r="Q762" s="20"/>
      <c r="R762" s="20"/>
      <c r="S762" s="20"/>
    </row>
    <row r="763">
      <c r="A763" s="20"/>
      <c r="B763" s="20"/>
      <c r="C763" s="20"/>
      <c r="D763" s="20"/>
      <c r="E763" s="20"/>
      <c r="F763" s="20"/>
      <c r="G763" s="20"/>
      <c r="H763" s="20"/>
      <c r="I763" s="20"/>
      <c r="J763" s="20"/>
      <c r="K763" s="20"/>
      <c r="L763" s="20"/>
      <c r="M763" s="20"/>
      <c r="N763" s="20"/>
      <c r="O763" s="20"/>
      <c r="P763" s="20"/>
      <c r="Q763" s="20"/>
      <c r="R763" s="20"/>
      <c r="S763" s="20"/>
    </row>
    <row r="764">
      <c r="A764" s="20"/>
      <c r="B764" s="20"/>
      <c r="C764" s="20"/>
      <c r="D764" s="20"/>
      <c r="E764" s="20"/>
      <c r="F764" s="20"/>
      <c r="G764" s="20"/>
      <c r="H764" s="20"/>
      <c r="I764" s="20"/>
      <c r="J764" s="20"/>
      <c r="K764" s="20"/>
      <c r="L764" s="20"/>
      <c r="M764" s="20"/>
      <c r="N764" s="20"/>
      <c r="O764" s="20"/>
      <c r="P764" s="20"/>
      <c r="Q764" s="20"/>
      <c r="R764" s="20"/>
      <c r="S764" s="20"/>
    </row>
    <row r="765">
      <c r="A765" s="20"/>
      <c r="B765" s="20"/>
      <c r="C765" s="20"/>
      <c r="D765" s="20"/>
      <c r="E765" s="20"/>
      <c r="F765" s="20"/>
      <c r="G765" s="20"/>
      <c r="H765" s="20"/>
      <c r="I765" s="20"/>
      <c r="J765" s="20"/>
      <c r="K765" s="20"/>
      <c r="L765" s="20"/>
      <c r="M765" s="20"/>
      <c r="N765" s="20"/>
      <c r="O765" s="20"/>
      <c r="P765" s="20"/>
      <c r="Q765" s="20"/>
      <c r="R765" s="20"/>
      <c r="S765" s="20"/>
    </row>
    <row r="766">
      <c r="A766" s="20"/>
      <c r="B766" s="20"/>
      <c r="C766" s="20"/>
      <c r="D766" s="20"/>
      <c r="E766" s="20"/>
      <c r="F766" s="20"/>
      <c r="G766" s="20"/>
      <c r="H766" s="20"/>
      <c r="I766" s="20"/>
      <c r="J766" s="20"/>
      <c r="K766" s="20"/>
      <c r="L766" s="20"/>
      <c r="M766" s="20"/>
      <c r="N766" s="20"/>
      <c r="O766" s="20"/>
      <c r="P766" s="20"/>
      <c r="Q766" s="20"/>
      <c r="R766" s="20"/>
      <c r="S766" s="20"/>
    </row>
    <row r="767">
      <c r="A767" s="20"/>
      <c r="B767" s="20"/>
      <c r="C767" s="20"/>
      <c r="D767" s="20"/>
      <c r="E767" s="20"/>
      <c r="F767" s="20"/>
      <c r="G767" s="20"/>
      <c r="H767" s="20"/>
      <c r="I767" s="20"/>
      <c r="J767" s="20"/>
      <c r="K767" s="20"/>
      <c r="L767" s="20"/>
      <c r="M767" s="20"/>
      <c r="N767" s="20"/>
      <c r="O767" s="20"/>
      <c r="P767" s="20"/>
      <c r="Q767" s="20"/>
      <c r="R767" s="20"/>
      <c r="S767" s="20"/>
    </row>
    <row r="768">
      <c r="A768" s="20"/>
      <c r="B768" s="20"/>
      <c r="C768" s="20"/>
      <c r="D768" s="20"/>
      <c r="E768" s="20"/>
      <c r="F768" s="20"/>
      <c r="G768" s="20"/>
      <c r="H768" s="20"/>
      <c r="I768" s="20"/>
      <c r="J768" s="20"/>
      <c r="K768" s="20"/>
      <c r="L768" s="20"/>
      <c r="M768" s="20"/>
      <c r="N768" s="20"/>
      <c r="O768" s="20"/>
      <c r="P768" s="20"/>
      <c r="Q768" s="20"/>
      <c r="R768" s="20"/>
      <c r="S768" s="20"/>
    </row>
    <row r="769">
      <c r="A769" s="20"/>
      <c r="B769" s="20"/>
      <c r="C769" s="20"/>
      <c r="D769" s="20"/>
      <c r="E769" s="20"/>
      <c r="F769" s="20"/>
      <c r="G769" s="20"/>
      <c r="H769" s="20"/>
      <c r="I769" s="20"/>
      <c r="J769" s="20"/>
      <c r="K769" s="20"/>
      <c r="L769" s="20"/>
      <c r="M769" s="20"/>
      <c r="N769" s="20"/>
      <c r="O769" s="20"/>
      <c r="P769" s="20"/>
      <c r="Q769" s="20"/>
      <c r="R769" s="20"/>
      <c r="S769" s="20"/>
    </row>
    <row r="770">
      <c r="A770" s="20"/>
      <c r="B770" s="20"/>
      <c r="C770" s="20"/>
      <c r="D770" s="20"/>
      <c r="E770" s="20"/>
      <c r="F770" s="20"/>
      <c r="G770" s="20"/>
      <c r="H770" s="20"/>
      <c r="I770" s="20"/>
      <c r="J770" s="20"/>
      <c r="K770" s="20"/>
      <c r="L770" s="20"/>
      <c r="M770" s="20"/>
      <c r="N770" s="20"/>
      <c r="O770" s="20"/>
      <c r="P770" s="20"/>
      <c r="Q770" s="20"/>
      <c r="R770" s="20"/>
      <c r="S770" s="20"/>
    </row>
    <row r="771">
      <c r="A771" s="20"/>
      <c r="B771" s="20"/>
      <c r="C771" s="20"/>
      <c r="D771" s="20"/>
      <c r="E771" s="20"/>
      <c r="F771" s="20"/>
      <c r="G771" s="20"/>
      <c r="H771" s="20"/>
      <c r="I771" s="20"/>
      <c r="J771" s="20"/>
      <c r="K771" s="20"/>
      <c r="L771" s="20"/>
      <c r="M771" s="20"/>
      <c r="N771" s="20"/>
      <c r="O771" s="20"/>
      <c r="P771" s="20"/>
      <c r="Q771" s="20"/>
      <c r="R771" s="20"/>
      <c r="S771" s="20"/>
    </row>
    <row r="772">
      <c r="A772" s="20"/>
      <c r="B772" s="20"/>
      <c r="C772" s="20"/>
      <c r="D772" s="20"/>
      <c r="E772" s="20"/>
      <c r="F772" s="20"/>
      <c r="G772" s="20"/>
      <c r="H772" s="20"/>
      <c r="I772" s="20"/>
      <c r="J772" s="20"/>
      <c r="K772" s="20"/>
      <c r="L772" s="20"/>
      <c r="M772" s="20"/>
      <c r="N772" s="20"/>
      <c r="O772" s="20"/>
      <c r="P772" s="20"/>
      <c r="Q772" s="20"/>
      <c r="R772" s="20"/>
      <c r="S772" s="20"/>
    </row>
    <row r="773">
      <c r="A773" s="20"/>
      <c r="B773" s="20"/>
      <c r="C773" s="20"/>
      <c r="D773" s="20"/>
      <c r="E773" s="20"/>
      <c r="F773" s="20"/>
      <c r="G773" s="20"/>
      <c r="H773" s="20"/>
      <c r="I773" s="20"/>
      <c r="J773" s="20"/>
      <c r="K773" s="20"/>
      <c r="L773" s="20"/>
      <c r="M773" s="20"/>
      <c r="N773" s="20"/>
      <c r="O773" s="20"/>
      <c r="P773" s="20"/>
      <c r="Q773" s="20"/>
      <c r="R773" s="20"/>
      <c r="S773" s="20"/>
    </row>
    <row r="774">
      <c r="A774" s="20"/>
      <c r="B774" s="20"/>
      <c r="C774" s="20"/>
      <c r="D774" s="20"/>
      <c r="E774" s="20"/>
      <c r="F774" s="20"/>
      <c r="G774" s="20"/>
      <c r="H774" s="20"/>
      <c r="I774" s="20"/>
      <c r="J774" s="20"/>
      <c r="K774" s="20"/>
      <c r="L774" s="20"/>
      <c r="M774" s="20"/>
      <c r="N774" s="20"/>
      <c r="O774" s="20"/>
      <c r="P774" s="20"/>
      <c r="Q774" s="20"/>
      <c r="R774" s="20"/>
      <c r="S774" s="20"/>
    </row>
    <row r="775">
      <c r="A775" s="20"/>
      <c r="B775" s="20"/>
      <c r="C775" s="20"/>
      <c r="D775" s="20"/>
      <c r="E775" s="20"/>
      <c r="F775" s="20"/>
      <c r="G775" s="20"/>
      <c r="H775" s="20"/>
      <c r="I775" s="20"/>
      <c r="J775" s="20"/>
      <c r="K775" s="20"/>
      <c r="L775" s="20"/>
      <c r="M775" s="20"/>
      <c r="N775" s="20"/>
      <c r="O775" s="20"/>
      <c r="P775" s="20"/>
      <c r="Q775" s="20"/>
      <c r="R775" s="20"/>
      <c r="S775" s="20"/>
    </row>
    <row r="776">
      <c r="A776" s="20"/>
      <c r="B776" s="20"/>
      <c r="C776" s="20"/>
      <c r="D776" s="20"/>
      <c r="E776" s="20"/>
      <c r="F776" s="20"/>
      <c r="G776" s="20"/>
      <c r="H776" s="20"/>
      <c r="I776" s="20"/>
      <c r="J776" s="20"/>
      <c r="K776" s="20"/>
      <c r="L776" s="20"/>
      <c r="M776" s="20"/>
      <c r="N776" s="20"/>
      <c r="O776" s="20"/>
      <c r="P776" s="20"/>
      <c r="Q776" s="20"/>
      <c r="R776" s="20"/>
      <c r="S776" s="20"/>
    </row>
    <row r="777">
      <c r="A777" s="20"/>
      <c r="B777" s="20"/>
      <c r="C777" s="20"/>
      <c r="D777" s="20"/>
      <c r="E777" s="20"/>
      <c r="F777" s="20"/>
      <c r="G777" s="20"/>
      <c r="H777" s="20"/>
      <c r="I777" s="20"/>
      <c r="J777" s="20"/>
      <c r="K777" s="20"/>
      <c r="L777" s="20"/>
      <c r="M777" s="20"/>
      <c r="N777" s="20"/>
      <c r="O777" s="20"/>
      <c r="P777" s="20"/>
      <c r="Q777" s="20"/>
      <c r="R777" s="20"/>
      <c r="S777" s="20"/>
    </row>
    <row r="778">
      <c r="A778" s="20"/>
      <c r="B778" s="20"/>
      <c r="C778" s="20"/>
      <c r="D778" s="20"/>
      <c r="E778" s="20"/>
      <c r="F778" s="20"/>
      <c r="G778" s="20"/>
      <c r="H778" s="20"/>
      <c r="I778" s="20"/>
      <c r="J778" s="20"/>
      <c r="K778" s="20"/>
      <c r="L778" s="20"/>
      <c r="M778" s="20"/>
      <c r="N778" s="20"/>
      <c r="O778" s="20"/>
      <c r="P778" s="20"/>
      <c r="Q778" s="20"/>
      <c r="R778" s="20"/>
      <c r="S778" s="20"/>
    </row>
    <row r="779">
      <c r="A779" s="20"/>
      <c r="B779" s="20"/>
      <c r="C779" s="20"/>
      <c r="D779" s="20"/>
      <c r="E779" s="20"/>
      <c r="F779" s="20"/>
      <c r="G779" s="20"/>
      <c r="H779" s="20"/>
      <c r="I779" s="20"/>
      <c r="J779" s="20"/>
      <c r="K779" s="20"/>
      <c r="L779" s="20"/>
      <c r="M779" s="20"/>
      <c r="N779" s="20"/>
      <c r="O779" s="20"/>
      <c r="P779" s="20"/>
      <c r="Q779" s="20"/>
      <c r="R779" s="20"/>
      <c r="S779" s="20"/>
    </row>
    <row r="780">
      <c r="A780" s="20"/>
      <c r="B780" s="20"/>
      <c r="C780" s="20"/>
      <c r="D780" s="20"/>
      <c r="E780" s="20"/>
      <c r="F780" s="20"/>
      <c r="G780" s="20"/>
      <c r="H780" s="20"/>
      <c r="I780" s="20"/>
      <c r="J780" s="20"/>
      <c r="K780" s="20"/>
      <c r="L780" s="20"/>
      <c r="M780" s="20"/>
      <c r="N780" s="20"/>
      <c r="O780" s="20"/>
      <c r="P780" s="20"/>
      <c r="Q780" s="20"/>
      <c r="R780" s="20"/>
      <c r="S780" s="20"/>
    </row>
    <row r="781">
      <c r="A781" s="20"/>
      <c r="B781" s="20"/>
      <c r="C781" s="20"/>
      <c r="D781" s="20"/>
      <c r="E781" s="20"/>
      <c r="F781" s="20"/>
      <c r="G781" s="20"/>
      <c r="H781" s="20"/>
      <c r="I781" s="20"/>
      <c r="J781" s="20"/>
      <c r="K781" s="20"/>
      <c r="L781" s="20"/>
      <c r="M781" s="20"/>
      <c r="N781" s="20"/>
      <c r="O781" s="20"/>
      <c r="P781" s="20"/>
      <c r="Q781" s="20"/>
      <c r="R781" s="20"/>
      <c r="S781" s="20"/>
    </row>
    <row r="782">
      <c r="A782" s="20"/>
      <c r="B782" s="20"/>
      <c r="C782" s="20"/>
      <c r="D782" s="20"/>
      <c r="E782" s="20"/>
      <c r="F782" s="20"/>
      <c r="G782" s="20"/>
      <c r="H782" s="20"/>
      <c r="I782" s="20"/>
      <c r="J782" s="20"/>
      <c r="K782" s="20"/>
      <c r="L782" s="20"/>
      <c r="M782" s="20"/>
      <c r="N782" s="20"/>
      <c r="O782" s="20"/>
      <c r="P782" s="20"/>
      <c r="Q782" s="20"/>
      <c r="R782" s="20"/>
      <c r="S782" s="20"/>
    </row>
    <row r="783">
      <c r="A783" s="20"/>
      <c r="B783" s="20"/>
      <c r="C783" s="20"/>
      <c r="D783" s="20"/>
      <c r="E783" s="20"/>
      <c r="F783" s="20"/>
      <c r="G783" s="20"/>
      <c r="H783" s="20"/>
      <c r="I783" s="20"/>
      <c r="J783" s="20"/>
      <c r="K783" s="20"/>
      <c r="L783" s="20"/>
      <c r="M783" s="20"/>
      <c r="N783" s="20"/>
      <c r="O783" s="20"/>
      <c r="P783" s="20"/>
      <c r="Q783" s="20"/>
      <c r="R783" s="20"/>
      <c r="S783" s="20"/>
    </row>
    <row r="784">
      <c r="A784" s="20"/>
      <c r="B784" s="20"/>
      <c r="C784" s="20"/>
      <c r="D784" s="20"/>
      <c r="E784" s="20"/>
      <c r="F784" s="20"/>
      <c r="G784" s="20"/>
      <c r="H784" s="20"/>
      <c r="I784" s="20"/>
      <c r="J784" s="20"/>
      <c r="K784" s="20"/>
      <c r="L784" s="20"/>
      <c r="M784" s="20"/>
      <c r="N784" s="20"/>
      <c r="O784" s="20"/>
      <c r="P784" s="20"/>
      <c r="Q784" s="20"/>
      <c r="R784" s="20"/>
      <c r="S784" s="20"/>
    </row>
    <row r="785">
      <c r="A785" s="20"/>
      <c r="B785" s="20"/>
      <c r="C785" s="20"/>
      <c r="D785" s="20"/>
      <c r="E785" s="20"/>
      <c r="F785" s="20"/>
      <c r="G785" s="20"/>
      <c r="H785" s="20"/>
      <c r="I785" s="20"/>
      <c r="J785" s="20"/>
      <c r="K785" s="20"/>
      <c r="L785" s="20"/>
      <c r="M785" s="20"/>
      <c r="N785" s="20"/>
      <c r="O785" s="20"/>
      <c r="P785" s="20"/>
      <c r="Q785" s="20"/>
      <c r="R785" s="20"/>
      <c r="S785" s="20"/>
    </row>
    <row r="786">
      <c r="A786" s="20"/>
      <c r="B786" s="20"/>
      <c r="C786" s="20"/>
      <c r="D786" s="20"/>
      <c r="E786" s="20"/>
      <c r="F786" s="20"/>
      <c r="G786" s="20"/>
      <c r="H786" s="20"/>
      <c r="I786" s="20"/>
      <c r="J786" s="20"/>
      <c r="K786" s="20"/>
      <c r="L786" s="20"/>
      <c r="M786" s="20"/>
      <c r="N786" s="20"/>
      <c r="O786" s="20"/>
      <c r="P786" s="20"/>
      <c r="Q786" s="20"/>
      <c r="R786" s="20"/>
      <c r="S786" s="20"/>
    </row>
    <row r="787">
      <c r="A787" s="20"/>
      <c r="B787" s="20"/>
      <c r="C787" s="20"/>
      <c r="D787" s="20"/>
      <c r="E787" s="20"/>
      <c r="F787" s="20"/>
      <c r="G787" s="20"/>
      <c r="H787" s="20"/>
      <c r="I787" s="20"/>
      <c r="J787" s="20"/>
      <c r="K787" s="20"/>
      <c r="L787" s="20"/>
      <c r="M787" s="20"/>
      <c r="N787" s="20"/>
      <c r="O787" s="20"/>
      <c r="P787" s="20"/>
      <c r="Q787" s="20"/>
      <c r="R787" s="20"/>
      <c r="S787" s="20"/>
    </row>
    <row r="788">
      <c r="A788" s="20"/>
      <c r="B788" s="20"/>
      <c r="C788" s="20"/>
      <c r="D788" s="20"/>
      <c r="E788" s="20"/>
      <c r="F788" s="20"/>
      <c r="G788" s="20"/>
      <c r="H788" s="20"/>
      <c r="I788" s="20"/>
      <c r="J788" s="20"/>
      <c r="K788" s="20"/>
      <c r="L788" s="20"/>
      <c r="M788" s="20"/>
      <c r="N788" s="20"/>
      <c r="O788" s="20"/>
      <c r="P788" s="20"/>
      <c r="Q788" s="20"/>
      <c r="R788" s="20"/>
      <c r="S788" s="20"/>
    </row>
    <row r="789">
      <c r="A789" s="20"/>
      <c r="B789" s="20"/>
      <c r="C789" s="20"/>
      <c r="D789" s="20"/>
      <c r="E789" s="20"/>
      <c r="F789" s="20"/>
      <c r="G789" s="20"/>
      <c r="H789" s="20"/>
      <c r="I789" s="20"/>
      <c r="J789" s="20"/>
      <c r="K789" s="20"/>
      <c r="L789" s="20"/>
      <c r="M789" s="20"/>
      <c r="N789" s="20"/>
      <c r="O789" s="20"/>
      <c r="P789" s="20"/>
      <c r="Q789" s="20"/>
      <c r="R789" s="20"/>
      <c r="S789" s="20"/>
    </row>
    <row r="790">
      <c r="A790" s="20"/>
      <c r="B790" s="20"/>
      <c r="C790" s="20"/>
      <c r="D790" s="20"/>
      <c r="E790" s="20"/>
      <c r="F790" s="20"/>
      <c r="G790" s="20"/>
      <c r="H790" s="20"/>
      <c r="I790" s="20"/>
      <c r="J790" s="20"/>
      <c r="K790" s="20"/>
      <c r="L790" s="20"/>
      <c r="M790" s="20"/>
      <c r="N790" s="20"/>
      <c r="O790" s="20"/>
      <c r="P790" s="20"/>
      <c r="Q790" s="20"/>
      <c r="R790" s="20"/>
      <c r="S790" s="20"/>
    </row>
    <row r="791">
      <c r="A791" s="20"/>
      <c r="B791" s="20"/>
      <c r="C791" s="20"/>
      <c r="D791" s="20"/>
      <c r="E791" s="20"/>
      <c r="F791" s="20"/>
      <c r="G791" s="20"/>
      <c r="H791" s="20"/>
      <c r="I791" s="20"/>
      <c r="J791" s="20"/>
      <c r="K791" s="20"/>
      <c r="L791" s="20"/>
      <c r="M791" s="20"/>
      <c r="N791" s="20"/>
      <c r="O791" s="20"/>
      <c r="P791" s="20"/>
      <c r="Q791" s="20"/>
      <c r="R791" s="20"/>
      <c r="S791" s="20"/>
    </row>
    <row r="792">
      <c r="A792" s="20"/>
      <c r="B792" s="20"/>
      <c r="C792" s="20"/>
      <c r="D792" s="20"/>
      <c r="E792" s="20"/>
      <c r="F792" s="20"/>
      <c r="G792" s="20"/>
      <c r="H792" s="20"/>
      <c r="I792" s="20"/>
      <c r="J792" s="20"/>
      <c r="K792" s="20"/>
      <c r="L792" s="20"/>
      <c r="M792" s="20"/>
      <c r="N792" s="20"/>
      <c r="O792" s="20"/>
      <c r="P792" s="20"/>
      <c r="Q792" s="20"/>
      <c r="R792" s="20"/>
      <c r="S792" s="20"/>
    </row>
    <row r="793">
      <c r="A793" s="20"/>
      <c r="B793" s="20"/>
      <c r="C793" s="20"/>
      <c r="D793" s="20"/>
      <c r="E793" s="20"/>
      <c r="F793" s="20"/>
      <c r="G793" s="20"/>
      <c r="H793" s="20"/>
      <c r="I793" s="20"/>
      <c r="J793" s="20"/>
      <c r="K793" s="20"/>
      <c r="L793" s="20"/>
      <c r="M793" s="20"/>
      <c r="N793" s="20"/>
      <c r="O793" s="20"/>
      <c r="P793" s="20"/>
      <c r="Q793" s="20"/>
      <c r="R793" s="20"/>
      <c r="S793" s="20"/>
    </row>
    <row r="794">
      <c r="A794" s="20"/>
      <c r="B794" s="20"/>
      <c r="C794" s="20"/>
      <c r="D794" s="20"/>
      <c r="E794" s="20"/>
      <c r="F794" s="20"/>
      <c r="G794" s="20"/>
      <c r="H794" s="20"/>
      <c r="I794" s="20"/>
      <c r="J794" s="20"/>
      <c r="K794" s="20"/>
      <c r="L794" s="20"/>
      <c r="M794" s="20"/>
      <c r="N794" s="20"/>
      <c r="O794" s="20"/>
      <c r="P794" s="20"/>
      <c r="Q794" s="20"/>
      <c r="R794" s="20"/>
      <c r="S794" s="20"/>
    </row>
    <row r="795">
      <c r="A795" s="20"/>
      <c r="B795" s="20"/>
      <c r="C795" s="20"/>
      <c r="D795" s="20"/>
      <c r="E795" s="20"/>
      <c r="F795" s="20"/>
      <c r="G795" s="20"/>
      <c r="H795" s="20"/>
      <c r="I795" s="20"/>
      <c r="J795" s="20"/>
      <c r="K795" s="20"/>
      <c r="L795" s="20"/>
      <c r="M795" s="20"/>
      <c r="N795" s="20"/>
      <c r="O795" s="20"/>
      <c r="P795" s="20"/>
      <c r="Q795" s="20"/>
      <c r="R795" s="20"/>
      <c r="S795" s="20"/>
    </row>
    <row r="796">
      <c r="A796" s="20"/>
      <c r="B796" s="20"/>
      <c r="C796" s="20"/>
      <c r="D796" s="20"/>
      <c r="E796" s="20"/>
      <c r="F796" s="20"/>
      <c r="G796" s="20"/>
      <c r="H796" s="20"/>
      <c r="I796" s="20"/>
      <c r="J796" s="20"/>
      <c r="K796" s="20"/>
      <c r="L796" s="20"/>
      <c r="M796" s="20"/>
      <c r="N796" s="20"/>
      <c r="O796" s="20"/>
      <c r="P796" s="20"/>
      <c r="Q796" s="20"/>
      <c r="R796" s="20"/>
      <c r="S796" s="20"/>
    </row>
    <row r="797">
      <c r="A797" s="20"/>
      <c r="B797" s="20"/>
      <c r="C797" s="20"/>
      <c r="D797" s="20"/>
      <c r="E797" s="20"/>
      <c r="F797" s="20"/>
      <c r="G797" s="20"/>
      <c r="H797" s="20"/>
      <c r="I797" s="20"/>
      <c r="J797" s="20"/>
      <c r="K797" s="20"/>
      <c r="L797" s="20"/>
      <c r="M797" s="20"/>
      <c r="N797" s="20"/>
      <c r="O797" s="20"/>
      <c r="P797" s="20"/>
      <c r="Q797" s="20"/>
      <c r="R797" s="20"/>
      <c r="S797" s="20"/>
    </row>
    <row r="798">
      <c r="A798" s="20"/>
      <c r="B798" s="20"/>
      <c r="C798" s="20"/>
      <c r="D798" s="20"/>
      <c r="E798" s="20"/>
      <c r="F798" s="20"/>
      <c r="G798" s="20"/>
      <c r="H798" s="20"/>
      <c r="I798" s="20"/>
      <c r="J798" s="20"/>
      <c r="K798" s="20"/>
      <c r="L798" s="20"/>
      <c r="M798" s="20"/>
      <c r="N798" s="20"/>
      <c r="O798" s="20"/>
      <c r="P798" s="20"/>
      <c r="Q798" s="20"/>
      <c r="R798" s="20"/>
      <c r="S798" s="20"/>
    </row>
    <row r="799">
      <c r="A799" s="20"/>
      <c r="B799" s="20"/>
      <c r="C799" s="20"/>
      <c r="D799" s="20"/>
      <c r="E799" s="20"/>
      <c r="F799" s="20"/>
      <c r="G799" s="20"/>
      <c r="H799" s="20"/>
      <c r="I799" s="20"/>
      <c r="J799" s="20"/>
      <c r="K799" s="20"/>
      <c r="L799" s="20"/>
      <c r="M799" s="20"/>
      <c r="N799" s="20"/>
      <c r="O799" s="20"/>
      <c r="P799" s="20"/>
      <c r="Q799" s="20"/>
      <c r="R799" s="20"/>
      <c r="S799" s="20"/>
    </row>
    <row r="800">
      <c r="A800" s="20"/>
      <c r="B800" s="20"/>
      <c r="C800" s="20"/>
      <c r="D800" s="20"/>
      <c r="E800" s="20"/>
      <c r="F800" s="20"/>
      <c r="G800" s="20"/>
      <c r="H800" s="20"/>
      <c r="I800" s="20"/>
      <c r="J800" s="20"/>
      <c r="K800" s="20"/>
      <c r="L800" s="20"/>
      <c r="M800" s="20"/>
      <c r="N800" s="20"/>
      <c r="O800" s="20"/>
      <c r="P800" s="20"/>
      <c r="Q800" s="20"/>
      <c r="R800" s="20"/>
      <c r="S800" s="20"/>
    </row>
    <row r="801">
      <c r="A801" s="20"/>
      <c r="B801" s="20"/>
      <c r="C801" s="20"/>
      <c r="D801" s="20"/>
      <c r="E801" s="20"/>
      <c r="F801" s="20"/>
      <c r="G801" s="20"/>
      <c r="H801" s="20"/>
      <c r="I801" s="20"/>
      <c r="J801" s="20"/>
      <c r="K801" s="20"/>
      <c r="L801" s="20"/>
      <c r="M801" s="20"/>
      <c r="N801" s="20"/>
      <c r="O801" s="20"/>
      <c r="P801" s="20"/>
      <c r="Q801" s="20"/>
      <c r="R801" s="20"/>
      <c r="S801" s="20"/>
    </row>
    <row r="802">
      <c r="A802" s="20"/>
      <c r="B802" s="20"/>
      <c r="C802" s="20"/>
      <c r="D802" s="20"/>
      <c r="E802" s="20"/>
      <c r="F802" s="20"/>
      <c r="G802" s="20"/>
      <c r="H802" s="20"/>
      <c r="I802" s="20"/>
      <c r="J802" s="20"/>
      <c r="K802" s="20"/>
      <c r="L802" s="20"/>
      <c r="M802" s="20"/>
      <c r="N802" s="20"/>
      <c r="O802" s="20"/>
      <c r="P802" s="20"/>
      <c r="Q802" s="20"/>
      <c r="R802" s="20"/>
      <c r="S802" s="20"/>
    </row>
    <row r="803">
      <c r="A803" s="20"/>
      <c r="B803" s="20"/>
      <c r="C803" s="20"/>
      <c r="D803" s="20"/>
      <c r="E803" s="20"/>
      <c r="F803" s="20"/>
      <c r="G803" s="20"/>
      <c r="H803" s="20"/>
      <c r="I803" s="20"/>
      <c r="J803" s="20"/>
      <c r="K803" s="20"/>
      <c r="L803" s="20"/>
      <c r="M803" s="20"/>
      <c r="N803" s="20"/>
      <c r="O803" s="20"/>
      <c r="P803" s="20"/>
      <c r="Q803" s="20"/>
      <c r="R803" s="20"/>
      <c r="S803" s="20"/>
    </row>
    <row r="804">
      <c r="A804" s="20"/>
      <c r="B804" s="20"/>
      <c r="C804" s="20"/>
      <c r="D804" s="20"/>
      <c r="E804" s="20"/>
      <c r="F804" s="20"/>
      <c r="G804" s="20"/>
      <c r="H804" s="20"/>
      <c r="I804" s="20"/>
      <c r="J804" s="20"/>
      <c r="K804" s="20"/>
      <c r="L804" s="20"/>
      <c r="M804" s="20"/>
      <c r="N804" s="20"/>
      <c r="O804" s="20"/>
      <c r="P804" s="20"/>
      <c r="Q804" s="20"/>
      <c r="R804" s="20"/>
      <c r="S804" s="20"/>
    </row>
    <row r="805">
      <c r="A805" s="20"/>
      <c r="B805" s="20"/>
      <c r="C805" s="20"/>
      <c r="D805" s="20"/>
      <c r="E805" s="20"/>
      <c r="F805" s="20"/>
      <c r="G805" s="20"/>
      <c r="H805" s="20"/>
      <c r="I805" s="20"/>
      <c r="J805" s="20"/>
      <c r="K805" s="20"/>
      <c r="L805" s="20"/>
      <c r="M805" s="20"/>
      <c r="N805" s="20"/>
      <c r="O805" s="20"/>
      <c r="P805" s="20"/>
      <c r="Q805" s="20"/>
      <c r="R805" s="20"/>
      <c r="S805" s="20"/>
    </row>
    <row r="806">
      <c r="A806" s="20"/>
      <c r="B806" s="20"/>
      <c r="C806" s="20"/>
      <c r="D806" s="20"/>
      <c r="E806" s="20"/>
      <c r="F806" s="20"/>
      <c r="G806" s="20"/>
      <c r="H806" s="20"/>
      <c r="I806" s="20"/>
      <c r="J806" s="20"/>
      <c r="K806" s="20"/>
      <c r="L806" s="20"/>
      <c r="M806" s="20"/>
      <c r="N806" s="20"/>
      <c r="O806" s="20"/>
      <c r="P806" s="20"/>
      <c r="Q806" s="20"/>
      <c r="R806" s="20"/>
      <c r="S806" s="20"/>
    </row>
    <row r="807">
      <c r="A807" s="20"/>
      <c r="B807" s="20"/>
      <c r="C807" s="20"/>
      <c r="D807" s="20"/>
      <c r="E807" s="20"/>
      <c r="F807" s="20"/>
      <c r="G807" s="20"/>
      <c r="H807" s="20"/>
      <c r="I807" s="20"/>
      <c r="J807" s="20"/>
      <c r="K807" s="20"/>
      <c r="L807" s="20"/>
      <c r="M807" s="20"/>
      <c r="N807" s="20"/>
      <c r="O807" s="20"/>
      <c r="P807" s="20"/>
      <c r="Q807" s="20"/>
      <c r="R807" s="20"/>
      <c r="S807" s="20"/>
    </row>
    <row r="808">
      <c r="A808" s="20"/>
      <c r="B808" s="20"/>
      <c r="C808" s="20"/>
      <c r="D808" s="20"/>
      <c r="E808" s="20"/>
      <c r="F808" s="20"/>
      <c r="G808" s="20"/>
      <c r="H808" s="20"/>
      <c r="I808" s="20"/>
      <c r="J808" s="20"/>
      <c r="K808" s="20"/>
      <c r="L808" s="20"/>
      <c r="M808" s="20"/>
      <c r="N808" s="20"/>
      <c r="O808" s="20"/>
      <c r="P808" s="20"/>
      <c r="Q808" s="20"/>
      <c r="R808" s="20"/>
      <c r="S808" s="20"/>
    </row>
    <row r="809">
      <c r="A809" s="20"/>
      <c r="B809" s="20"/>
      <c r="C809" s="20"/>
      <c r="D809" s="20"/>
      <c r="E809" s="20"/>
      <c r="F809" s="20"/>
      <c r="G809" s="20"/>
      <c r="H809" s="20"/>
      <c r="I809" s="20"/>
      <c r="J809" s="20"/>
      <c r="K809" s="20"/>
      <c r="L809" s="20"/>
      <c r="M809" s="20"/>
      <c r="N809" s="20"/>
      <c r="O809" s="20"/>
      <c r="P809" s="20"/>
      <c r="Q809" s="20"/>
      <c r="R809" s="20"/>
      <c r="S809" s="20"/>
    </row>
    <row r="810">
      <c r="A810" s="20"/>
      <c r="B810" s="20"/>
      <c r="C810" s="20"/>
      <c r="D810" s="20"/>
      <c r="E810" s="20"/>
      <c r="F810" s="20"/>
      <c r="G810" s="20"/>
      <c r="H810" s="20"/>
      <c r="I810" s="20"/>
      <c r="J810" s="20"/>
      <c r="K810" s="20"/>
      <c r="L810" s="20"/>
      <c r="M810" s="20"/>
      <c r="N810" s="20"/>
      <c r="O810" s="20"/>
      <c r="P810" s="20"/>
      <c r="Q810" s="20"/>
      <c r="R810" s="20"/>
      <c r="S810" s="20"/>
    </row>
    <row r="811">
      <c r="A811" s="20"/>
      <c r="B811" s="20"/>
      <c r="C811" s="20"/>
      <c r="D811" s="20"/>
      <c r="E811" s="20"/>
      <c r="F811" s="20"/>
      <c r="G811" s="20"/>
      <c r="H811" s="20"/>
      <c r="I811" s="20"/>
      <c r="J811" s="20"/>
      <c r="K811" s="20"/>
      <c r="L811" s="20"/>
      <c r="M811" s="20"/>
      <c r="N811" s="20"/>
      <c r="O811" s="20"/>
      <c r="P811" s="20"/>
      <c r="Q811" s="20"/>
      <c r="R811" s="20"/>
      <c r="S811" s="20"/>
    </row>
    <row r="812">
      <c r="A812" s="20"/>
      <c r="B812" s="20"/>
      <c r="C812" s="20"/>
      <c r="D812" s="20"/>
      <c r="E812" s="20"/>
      <c r="F812" s="20"/>
      <c r="G812" s="20"/>
      <c r="H812" s="20"/>
      <c r="I812" s="20"/>
      <c r="J812" s="20"/>
      <c r="K812" s="20"/>
      <c r="L812" s="20"/>
      <c r="M812" s="20"/>
      <c r="N812" s="20"/>
      <c r="O812" s="20"/>
      <c r="P812" s="20"/>
      <c r="Q812" s="20"/>
      <c r="R812" s="20"/>
      <c r="S812" s="20"/>
    </row>
    <row r="813">
      <c r="A813" s="20"/>
      <c r="B813" s="20"/>
      <c r="C813" s="20"/>
      <c r="D813" s="20"/>
      <c r="E813" s="20"/>
      <c r="F813" s="20"/>
      <c r="G813" s="20"/>
      <c r="H813" s="20"/>
      <c r="I813" s="20"/>
      <c r="J813" s="20"/>
      <c r="K813" s="20"/>
      <c r="L813" s="20"/>
      <c r="M813" s="20"/>
      <c r="N813" s="20"/>
      <c r="O813" s="20"/>
      <c r="P813" s="20"/>
      <c r="Q813" s="20"/>
      <c r="R813" s="20"/>
      <c r="S813" s="20"/>
    </row>
    <row r="814">
      <c r="A814" s="20"/>
      <c r="B814" s="20"/>
      <c r="C814" s="20"/>
      <c r="D814" s="20"/>
      <c r="E814" s="20"/>
      <c r="F814" s="20"/>
      <c r="G814" s="20"/>
      <c r="H814" s="20"/>
      <c r="I814" s="20"/>
      <c r="J814" s="20"/>
      <c r="K814" s="20"/>
      <c r="L814" s="20"/>
      <c r="M814" s="20"/>
      <c r="N814" s="20"/>
      <c r="O814" s="20"/>
      <c r="P814" s="20"/>
      <c r="Q814" s="20"/>
      <c r="R814" s="20"/>
      <c r="S814" s="20"/>
    </row>
    <row r="815">
      <c r="A815" s="20"/>
      <c r="B815" s="20"/>
      <c r="C815" s="20"/>
      <c r="D815" s="20"/>
      <c r="E815" s="20"/>
      <c r="F815" s="20"/>
      <c r="G815" s="20"/>
      <c r="H815" s="20"/>
      <c r="I815" s="20"/>
      <c r="J815" s="20"/>
      <c r="K815" s="20"/>
      <c r="L815" s="20"/>
      <c r="M815" s="20"/>
      <c r="N815" s="20"/>
      <c r="O815" s="20"/>
      <c r="P815" s="20"/>
      <c r="Q815" s="20"/>
      <c r="R815" s="20"/>
      <c r="S815" s="20"/>
    </row>
    <row r="816">
      <c r="A816" s="20"/>
      <c r="B816" s="20"/>
      <c r="C816" s="20"/>
      <c r="D816" s="20"/>
      <c r="E816" s="20"/>
      <c r="F816" s="20"/>
      <c r="G816" s="20"/>
      <c r="H816" s="20"/>
      <c r="I816" s="20"/>
      <c r="J816" s="20"/>
      <c r="K816" s="20"/>
      <c r="L816" s="20"/>
      <c r="M816" s="20"/>
      <c r="N816" s="20"/>
      <c r="O816" s="20"/>
      <c r="P816" s="20"/>
      <c r="Q816" s="20"/>
      <c r="R816" s="20"/>
      <c r="S816" s="20"/>
    </row>
    <row r="817">
      <c r="A817" s="20"/>
      <c r="B817" s="20"/>
      <c r="C817" s="20"/>
      <c r="D817" s="20"/>
      <c r="E817" s="20"/>
      <c r="F817" s="20"/>
      <c r="G817" s="20"/>
      <c r="H817" s="20"/>
      <c r="I817" s="20"/>
      <c r="J817" s="20"/>
      <c r="K817" s="20"/>
      <c r="L817" s="20"/>
      <c r="M817" s="20"/>
      <c r="N817" s="20"/>
      <c r="O817" s="20"/>
      <c r="P817" s="20"/>
      <c r="Q817" s="20"/>
      <c r="R817" s="20"/>
      <c r="S817" s="20"/>
    </row>
    <row r="818">
      <c r="A818" s="20"/>
      <c r="B818" s="20"/>
      <c r="C818" s="20"/>
      <c r="D818" s="20"/>
      <c r="E818" s="20"/>
      <c r="F818" s="20"/>
      <c r="G818" s="20"/>
      <c r="H818" s="20"/>
      <c r="I818" s="20"/>
      <c r="J818" s="20"/>
      <c r="K818" s="20"/>
      <c r="L818" s="20"/>
      <c r="M818" s="20"/>
      <c r="N818" s="20"/>
      <c r="O818" s="20"/>
      <c r="P818" s="20"/>
      <c r="Q818" s="20"/>
      <c r="R818" s="20"/>
      <c r="S818" s="20"/>
    </row>
    <row r="819">
      <c r="A819" s="20"/>
      <c r="B819" s="20"/>
      <c r="C819" s="20"/>
      <c r="D819" s="20"/>
      <c r="E819" s="20"/>
      <c r="F819" s="20"/>
      <c r="G819" s="20"/>
      <c r="H819" s="20"/>
      <c r="I819" s="20"/>
      <c r="J819" s="20"/>
      <c r="K819" s="20"/>
      <c r="L819" s="20"/>
      <c r="M819" s="20"/>
      <c r="N819" s="20"/>
      <c r="O819" s="20"/>
      <c r="P819" s="20"/>
      <c r="Q819" s="20"/>
      <c r="R819" s="20"/>
      <c r="S819" s="20"/>
    </row>
    <row r="820">
      <c r="A820" s="20"/>
      <c r="B820" s="20"/>
      <c r="C820" s="20"/>
      <c r="D820" s="20"/>
      <c r="E820" s="20"/>
      <c r="F820" s="20"/>
      <c r="G820" s="20"/>
      <c r="H820" s="20"/>
      <c r="I820" s="20"/>
      <c r="J820" s="20"/>
      <c r="K820" s="20"/>
      <c r="L820" s="20"/>
      <c r="M820" s="20"/>
      <c r="N820" s="20"/>
      <c r="O820" s="20"/>
      <c r="P820" s="20"/>
      <c r="Q820" s="20"/>
      <c r="R820" s="20"/>
      <c r="S820" s="20"/>
    </row>
    <row r="821">
      <c r="A821" s="20"/>
      <c r="B821" s="20"/>
      <c r="C821" s="20"/>
      <c r="D821" s="20"/>
      <c r="E821" s="20"/>
      <c r="F821" s="20"/>
      <c r="G821" s="20"/>
      <c r="H821" s="20"/>
      <c r="I821" s="20"/>
      <c r="J821" s="20"/>
      <c r="K821" s="20"/>
      <c r="L821" s="20"/>
      <c r="M821" s="20"/>
      <c r="N821" s="20"/>
      <c r="O821" s="20"/>
      <c r="P821" s="20"/>
      <c r="Q821" s="20"/>
      <c r="R821" s="20"/>
      <c r="S821" s="20"/>
    </row>
    <row r="822">
      <c r="A822" s="20"/>
      <c r="B822" s="20"/>
      <c r="C822" s="20"/>
      <c r="D822" s="20"/>
      <c r="E822" s="20"/>
      <c r="F822" s="20"/>
      <c r="G822" s="20"/>
      <c r="H822" s="20"/>
      <c r="I822" s="20"/>
      <c r="J822" s="20"/>
      <c r="K822" s="20"/>
      <c r="L822" s="20"/>
      <c r="M822" s="20"/>
      <c r="N822" s="20"/>
      <c r="O822" s="20"/>
      <c r="P822" s="20"/>
      <c r="Q822" s="20"/>
      <c r="R822" s="20"/>
      <c r="S822" s="20"/>
    </row>
    <row r="823">
      <c r="A823" s="20"/>
      <c r="B823" s="20"/>
      <c r="C823" s="20"/>
      <c r="D823" s="20"/>
      <c r="E823" s="20"/>
      <c r="F823" s="20"/>
      <c r="G823" s="20"/>
      <c r="H823" s="20"/>
      <c r="I823" s="20"/>
      <c r="J823" s="20"/>
      <c r="K823" s="20"/>
      <c r="L823" s="20"/>
      <c r="M823" s="20"/>
      <c r="N823" s="20"/>
      <c r="O823" s="20"/>
      <c r="P823" s="20"/>
      <c r="Q823" s="20"/>
      <c r="R823" s="20"/>
      <c r="S823" s="20"/>
    </row>
    <row r="824">
      <c r="A824" s="20"/>
      <c r="B824" s="20"/>
      <c r="C824" s="20"/>
      <c r="D824" s="20"/>
      <c r="E824" s="20"/>
      <c r="F824" s="20"/>
      <c r="G824" s="20"/>
      <c r="H824" s="20"/>
      <c r="I824" s="20"/>
      <c r="J824" s="20"/>
      <c r="K824" s="20"/>
      <c r="L824" s="20"/>
      <c r="M824" s="20"/>
      <c r="N824" s="20"/>
      <c r="O824" s="20"/>
      <c r="P824" s="20"/>
      <c r="Q824" s="20"/>
      <c r="R824" s="20"/>
      <c r="S824" s="20"/>
    </row>
    <row r="825">
      <c r="A825" s="20"/>
      <c r="B825" s="20"/>
      <c r="C825" s="20"/>
      <c r="D825" s="20"/>
      <c r="E825" s="20"/>
      <c r="F825" s="20"/>
      <c r="G825" s="20"/>
      <c r="H825" s="20"/>
      <c r="I825" s="20"/>
      <c r="J825" s="20"/>
      <c r="K825" s="20"/>
      <c r="L825" s="20"/>
      <c r="M825" s="20"/>
      <c r="N825" s="20"/>
      <c r="O825" s="20"/>
      <c r="P825" s="20"/>
      <c r="Q825" s="20"/>
      <c r="R825" s="20"/>
      <c r="S825" s="20"/>
    </row>
    <row r="826">
      <c r="A826" s="20"/>
      <c r="B826" s="20"/>
      <c r="C826" s="20"/>
      <c r="D826" s="20"/>
      <c r="E826" s="20"/>
      <c r="F826" s="20"/>
      <c r="G826" s="20"/>
      <c r="H826" s="20"/>
      <c r="I826" s="20"/>
      <c r="J826" s="20"/>
      <c r="K826" s="20"/>
      <c r="L826" s="20"/>
      <c r="M826" s="20"/>
      <c r="N826" s="20"/>
      <c r="O826" s="20"/>
      <c r="P826" s="20"/>
      <c r="Q826" s="20"/>
      <c r="R826" s="20"/>
      <c r="S826" s="20"/>
    </row>
    <row r="827">
      <c r="A827" s="20"/>
      <c r="B827" s="20"/>
      <c r="C827" s="20"/>
      <c r="D827" s="20"/>
      <c r="E827" s="20"/>
      <c r="F827" s="20"/>
      <c r="G827" s="20"/>
      <c r="H827" s="20"/>
      <c r="I827" s="20"/>
      <c r="J827" s="20"/>
      <c r="K827" s="20"/>
      <c r="L827" s="20"/>
      <c r="M827" s="20"/>
      <c r="N827" s="20"/>
      <c r="O827" s="20"/>
      <c r="P827" s="20"/>
      <c r="Q827" s="20"/>
      <c r="R827" s="20"/>
      <c r="S827" s="20"/>
    </row>
    <row r="828">
      <c r="A828" s="20"/>
      <c r="B828" s="20"/>
      <c r="C828" s="20"/>
      <c r="D828" s="20"/>
      <c r="E828" s="20"/>
      <c r="F828" s="20"/>
      <c r="G828" s="20"/>
      <c r="H828" s="20"/>
      <c r="I828" s="20"/>
      <c r="J828" s="20"/>
      <c r="K828" s="20"/>
      <c r="L828" s="20"/>
      <c r="M828" s="20"/>
      <c r="N828" s="20"/>
      <c r="O828" s="20"/>
      <c r="P828" s="20"/>
      <c r="Q828" s="20"/>
      <c r="R828" s="20"/>
      <c r="S828" s="20"/>
    </row>
    <row r="829">
      <c r="A829" s="20"/>
      <c r="B829" s="20"/>
      <c r="C829" s="20"/>
      <c r="D829" s="20"/>
      <c r="E829" s="20"/>
      <c r="F829" s="20"/>
      <c r="G829" s="20"/>
      <c r="H829" s="20"/>
      <c r="I829" s="20"/>
      <c r="J829" s="20"/>
      <c r="K829" s="20"/>
      <c r="L829" s="20"/>
      <c r="M829" s="20"/>
      <c r="N829" s="20"/>
      <c r="O829" s="20"/>
      <c r="P829" s="20"/>
      <c r="Q829" s="20"/>
      <c r="R829" s="20"/>
      <c r="S829" s="20"/>
    </row>
    <row r="830">
      <c r="A830" s="20"/>
      <c r="B830" s="20"/>
      <c r="C830" s="20"/>
      <c r="D830" s="20"/>
      <c r="E830" s="20"/>
      <c r="F830" s="20"/>
      <c r="G830" s="20"/>
      <c r="H830" s="20"/>
      <c r="I830" s="20"/>
      <c r="J830" s="20"/>
      <c r="K830" s="20"/>
      <c r="L830" s="20"/>
      <c r="M830" s="20"/>
      <c r="N830" s="20"/>
      <c r="O830" s="20"/>
      <c r="P830" s="20"/>
      <c r="Q830" s="20"/>
      <c r="R830" s="20"/>
      <c r="S830" s="20"/>
    </row>
    <row r="831">
      <c r="A831" s="20"/>
      <c r="B831" s="20"/>
      <c r="C831" s="20"/>
      <c r="D831" s="20"/>
      <c r="E831" s="20"/>
      <c r="F831" s="20"/>
      <c r="G831" s="20"/>
      <c r="H831" s="20"/>
      <c r="I831" s="20"/>
      <c r="J831" s="20"/>
      <c r="K831" s="20"/>
      <c r="L831" s="20"/>
      <c r="M831" s="20"/>
      <c r="N831" s="20"/>
      <c r="O831" s="20"/>
      <c r="P831" s="20"/>
      <c r="Q831" s="20"/>
      <c r="R831" s="20"/>
      <c r="S831" s="20"/>
    </row>
    <row r="832">
      <c r="A832" s="20"/>
      <c r="B832" s="20"/>
      <c r="C832" s="20"/>
      <c r="D832" s="20"/>
      <c r="E832" s="20"/>
      <c r="F832" s="20"/>
      <c r="G832" s="20"/>
      <c r="H832" s="20"/>
      <c r="I832" s="20"/>
      <c r="J832" s="20"/>
      <c r="K832" s="20"/>
      <c r="L832" s="20"/>
      <c r="M832" s="20"/>
      <c r="N832" s="20"/>
      <c r="O832" s="20"/>
      <c r="P832" s="20"/>
      <c r="Q832" s="20"/>
      <c r="R832" s="20"/>
      <c r="S832" s="20"/>
    </row>
    <row r="833">
      <c r="A833" s="20"/>
      <c r="B833" s="20"/>
      <c r="C833" s="20"/>
      <c r="D833" s="20"/>
      <c r="E833" s="20"/>
      <c r="F833" s="20"/>
      <c r="G833" s="20"/>
      <c r="H833" s="20"/>
      <c r="I833" s="20"/>
      <c r="J833" s="20"/>
      <c r="K833" s="20"/>
      <c r="L833" s="20"/>
      <c r="M833" s="20"/>
      <c r="N833" s="20"/>
      <c r="O833" s="20"/>
      <c r="P833" s="20"/>
      <c r="Q833" s="20"/>
      <c r="R833" s="20"/>
      <c r="S833" s="20"/>
    </row>
    <row r="834">
      <c r="A834" s="20"/>
      <c r="B834" s="20"/>
      <c r="C834" s="20"/>
      <c r="D834" s="20"/>
      <c r="E834" s="20"/>
      <c r="F834" s="20"/>
      <c r="G834" s="20"/>
      <c r="H834" s="20"/>
      <c r="I834" s="20"/>
      <c r="J834" s="20"/>
      <c r="K834" s="20"/>
      <c r="L834" s="20"/>
      <c r="M834" s="20"/>
      <c r="N834" s="20"/>
      <c r="O834" s="20"/>
      <c r="P834" s="20"/>
      <c r="Q834" s="20"/>
      <c r="R834" s="20"/>
      <c r="S834" s="20"/>
    </row>
    <row r="835">
      <c r="A835" s="20"/>
      <c r="B835" s="20"/>
      <c r="C835" s="20"/>
      <c r="D835" s="20"/>
      <c r="E835" s="20"/>
      <c r="F835" s="20"/>
      <c r="G835" s="20"/>
      <c r="H835" s="20"/>
      <c r="I835" s="20"/>
      <c r="J835" s="20"/>
      <c r="K835" s="20"/>
      <c r="L835" s="20"/>
      <c r="M835" s="20"/>
      <c r="N835" s="20"/>
      <c r="O835" s="20"/>
      <c r="P835" s="20"/>
      <c r="Q835" s="20"/>
      <c r="R835" s="20"/>
      <c r="S835" s="20"/>
    </row>
    <row r="836">
      <c r="A836" s="20"/>
      <c r="B836" s="20"/>
      <c r="C836" s="20"/>
      <c r="D836" s="20"/>
      <c r="E836" s="20"/>
      <c r="F836" s="20"/>
      <c r="G836" s="20"/>
      <c r="H836" s="20"/>
      <c r="I836" s="20"/>
      <c r="J836" s="20"/>
      <c r="K836" s="20"/>
      <c r="L836" s="20"/>
      <c r="M836" s="20"/>
      <c r="N836" s="20"/>
      <c r="O836" s="20"/>
      <c r="P836" s="20"/>
      <c r="Q836" s="20"/>
      <c r="R836" s="20"/>
      <c r="S836" s="20"/>
    </row>
    <row r="837">
      <c r="A837" s="20"/>
      <c r="B837" s="20"/>
      <c r="C837" s="20"/>
      <c r="D837" s="20"/>
      <c r="E837" s="20"/>
      <c r="F837" s="20"/>
      <c r="G837" s="20"/>
      <c r="H837" s="20"/>
      <c r="I837" s="20"/>
      <c r="J837" s="20"/>
      <c r="K837" s="20"/>
      <c r="L837" s="20"/>
      <c r="M837" s="20"/>
      <c r="N837" s="20"/>
      <c r="O837" s="20"/>
      <c r="P837" s="20"/>
      <c r="Q837" s="20"/>
      <c r="R837" s="20"/>
      <c r="S837" s="20"/>
    </row>
    <row r="838">
      <c r="A838" s="20"/>
      <c r="B838" s="20"/>
      <c r="C838" s="20"/>
      <c r="D838" s="20"/>
      <c r="E838" s="20"/>
      <c r="F838" s="20"/>
      <c r="G838" s="20"/>
      <c r="H838" s="20"/>
      <c r="I838" s="20"/>
      <c r="J838" s="20"/>
      <c r="K838" s="20"/>
      <c r="L838" s="20"/>
      <c r="M838" s="20"/>
      <c r="N838" s="20"/>
      <c r="O838" s="20"/>
      <c r="P838" s="20"/>
      <c r="Q838" s="20"/>
      <c r="R838" s="20"/>
      <c r="S838" s="20"/>
    </row>
    <row r="839">
      <c r="A839" s="20"/>
      <c r="B839" s="20"/>
      <c r="C839" s="20"/>
      <c r="D839" s="20"/>
      <c r="E839" s="20"/>
      <c r="F839" s="20"/>
      <c r="G839" s="20"/>
      <c r="H839" s="20"/>
      <c r="I839" s="20"/>
      <c r="J839" s="20"/>
      <c r="K839" s="20"/>
      <c r="L839" s="20"/>
      <c r="M839" s="20"/>
      <c r="N839" s="20"/>
      <c r="O839" s="20"/>
      <c r="P839" s="20"/>
      <c r="Q839" s="20"/>
      <c r="R839" s="20"/>
      <c r="S839" s="20"/>
    </row>
    <row r="840">
      <c r="A840" s="20"/>
      <c r="B840" s="20"/>
      <c r="C840" s="20"/>
      <c r="D840" s="20"/>
      <c r="E840" s="20"/>
      <c r="F840" s="20"/>
      <c r="G840" s="20"/>
      <c r="H840" s="20"/>
      <c r="I840" s="20"/>
      <c r="J840" s="20"/>
      <c r="K840" s="20"/>
      <c r="L840" s="20"/>
      <c r="M840" s="20"/>
      <c r="N840" s="20"/>
      <c r="O840" s="20"/>
      <c r="P840" s="20"/>
      <c r="Q840" s="20"/>
      <c r="R840" s="20"/>
      <c r="S840" s="20"/>
    </row>
    <row r="841">
      <c r="A841" s="20"/>
      <c r="B841" s="20"/>
      <c r="C841" s="20"/>
      <c r="D841" s="20"/>
      <c r="E841" s="20"/>
      <c r="F841" s="20"/>
      <c r="G841" s="20"/>
      <c r="H841" s="20"/>
      <c r="I841" s="20"/>
      <c r="J841" s="20"/>
      <c r="K841" s="20"/>
      <c r="L841" s="20"/>
      <c r="M841" s="20"/>
      <c r="N841" s="20"/>
      <c r="O841" s="20"/>
      <c r="P841" s="20"/>
      <c r="Q841" s="20"/>
      <c r="R841" s="20"/>
      <c r="S841" s="20"/>
    </row>
    <row r="842">
      <c r="A842" s="20"/>
      <c r="B842" s="20"/>
      <c r="C842" s="20"/>
      <c r="D842" s="20"/>
      <c r="E842" s="20"/>
      <c r="F842" s="20"/>
      <c r="G842" s="20"/>
      <c r="H842" s="20"/>
      <c r="I842" s="20"/>
      <c r="J842" s="20"/>
      <c r="K842" s="20"/>
      <c r="L842" s="20"/>
      <c r="M842" s="20"/>
      <c r="N842" s="20"/>
      <c r="O842" s="20"/>
      <c r="P842" s="20"/>
      <c r="Q842" s="20"/>
      <c r="R842" s="20"/>
      <c r="S842" s="20"/>
    </row>
    <row r="843">
      <c r="A843" s="20"/>
      <c r="B843" s="20"/>
      <c r="C843" s="20"/>
      <c r="D843" s="20"/>
      <c r="E843" s="20"/>
      <c r="F843" s="20"/>
      <c r="G843" s="20"/>
      <c r="H843" s="20"/>
      <c r="I843" s="20"/>
      <c r="J843" s="20"/>
      <c r="K843" s="20"/>
      <c r="L843" s="20"/>
      <c r="M843" s="20"/>
      <c r="N843" s="20"/>
      <c r="O843" s="20"/>
      <c r="P843" s="20"/>
      <c r="Q843" s="20"/>
      <c r="R843" s="20"/>
      <c r="S843" s="20"/>
    </row>
    <row r="844">
      <c r="A844" s="20"/>
      <c r="B844" s="20"/>
      <c r="C844" s="20"/>
      <c r="D844" s="20"/>
      <c r="E844" s="20"/>
      <c r="F844" s="20"/>
      <c r="G844" s="20"/>
      <c r="H844" s="20"/>
      <c r="I844" s="20"/>
      <c r="J844" s="20"/>
      <c r="K844" s="20"/>
      <c r="L844" s="20"/>
      <c r="M844" s="20"/>
      <c r="N844" s="20"/>
      <c r="O844" s="20"/>
      <c r="P844" s="20"/>
      <c r="Q844" s="20"/>
      <c r="R844" s="20"/>
      <c r="S844" s="20"/>
    </row>
    <row r="845">
      <c r="A845" s="20"/>
      <c r="B845" s="20"/>
      <c r="C845" s="20"/>
      <c r="D845" s="20"/>
      <c r="E845" s="20"/>
      <c r="F845" s="20"/>
      <c r="G845" s="20"/>
      <c r="H845" s="20"/>
      <c r="I845" s="20"/>
      <c r="J845" s="20"/>
      <c r="K845" s="20"/>
      <c r="L845" s="20"/>
      <c r="M845" s="20"/>
      <c r="N845" s="20"/>
      <c r="O845" s="20"/>
      <c r="P845" s="20"/>
      <c r="Q845" s="20"/>
      <c r="R845" s="20"/>
      <c r="S845" s="20"/>
    </row>
    <row r="846">
      <c r="A846" s="20"/>
      <c r="B846" s="20"/>
      <c r="C846" s="20"/>
      <c r="D846" s="20"/>
      <c r="E846" s="20"/>
      <c r="F846" s="20"/>
      <c r="G846" s="20"/>
      <c r="H846" s="20"/>
      <c r="I846" s="20"/>
      <c r="J846" s="20"/>
      <c r="K846" s="20"/>
      <c r="L846" s="20"/>
      <c r="M846" s="20"/>
      <c r="N846" s="20"/>
      <c r="O846" s="20"/>
      <c r="P846" s="20"/>
      <c r="Q846" s="20"/>
      <c r="R846" s="20"/>
      <c r="S846" s="20"/>
    </row>
    <row r="847">
      <c r="A847" s="20"/>
      <c r="B847" s="20"/>
      <c r="C847" s="20"/>
      <c r="D847" s="20"/>
      <c r="E847" s="20"/>
      <c r="F847" s="20"/>
      <c r="G847" s="20"/>
      <c r="H847" s="20"/>
      <c r="I847" s="20"/>
      <c r="J847" s="20"/>
      <c r="K847" s="20"/>
      <c r="L847" s="20"/>
      <c r="M847" s="20"/>
      <c r="N847" s="20"/>
      <c r="O847" s="20"/>
      <c r="P847" s="20"/>
      <c r="Q847" s="20"/>
      <c r="R847" s="20"/>
      <c r="S847" s="20"/>
    </row>
    <row r="848">
      <c r="A848" s="20"/>
      <c r="B848" s="20"/>
      <c r="C848" s="20"/>
      <c r="D848" s="20"/>
      <c r="E848" s="20"/>
      <c r="F848" s="20"/>
      <c r="G848" s="20"/>
      <c r="H848" s="20"/>
      <c r="I848" s="20"/>
      <c r="J848" s="20"/>
      <c r="K848" s="20"/>
      <c r="L848" s="20"/>
      <c r="M848" s="20"/>
      <c r="N848" s="20"/>
      <c r="O848" s="20"/>
      <c r="P848" s="20"/>
      <c r="Q848" s="20"/>
      <c r="R848" s="20"/>
      <c r="S848" s="20"/>
    </row>
    <row r="849">
      <c r="A849" s="20"/>
      <c r="B849" s="20"/>
      <c r="C849" s="20"/>
      <c r="D849" s="20"/>
      <c r="E849" s="20"/>
      <c r="F849" s="20"/>
      <c r="G849" s="20"/>
      <c r="H849" s="20"/>
      <c r="I849" s="20"/>
      <c r="J849" s="20"/>
      <c r="K849" s="20"/>
      <c r="L849" s="20"/>
      <c r="M849" s="20"/>
      <c r="N849" s="20"/>
      <c r="O849" s="20"/>
      <c r="P849" s="20"/>
      <c r="Q849" s="20"/>
      <c r="R849" s="20"/>
      <c r="S849" s="20"/>
    </row>
    <row r="850">
      <c r="A850" s="20"/>
      <c r="B850" s="20"/>
      <c r="C850" s="20"/>
      <c r="D850" s="20"/>
      <c r="E850" s="20"/>
      <c r="F850" s="20"/>
      <c r="G850" s="20"/>
      <c r="H850" s="20"/>
      <c r="I850" s="20"/>
      <c r="J850" s="20"/>
      <c r="K850" s="20"/>
      <c r="L850" s="20"/>
      <c r="M850" s="20"/>
      <c r="N850" s="20"/>
      <c r="O850" s="20"/>
      <c r="P850" s="20"/>
      <c r="Q850" s="20"/>
      <c r="R850" s="20"/>
      <c r="S850" s="20"/>
    </row>
    <row r="851">
      <c r="A851" s="20"/>
      <c r="B851" s="20"/>
      <c r="C851" s="20"/>
      <c r="D851" s="20"/>
      <c r="E851" s="20"/>
      <c r="F851" s="20"/>
      <c r="G851" s="20"/>
      <c r="H851" s="20"/>
      <c r="I851" s="20"/>
      <c r="J851" s="20"/>
      <c r="K851" s="20"/>
      <c r="L851" s="20"/>
      <c r="M851" s="20"/>
      <c r="N851" s="20"/>
      <c r="O851" s="20"/>
      <c r="P851" s="20"/>
      <c r="Q851" s="20"/>
      <c r="R851" s="20"/>
      <c r="S851" s="20"/>
    </row>
    <row r="852">
      <c r="A852" s="20"/>
      <c r="B852" s="20"/>
      <c r="C852" s="20"/>
      <c r="D852" s="20"/>
      <c r="E852" s="20"/>
      <c r="F852" s="20"/>
      <c r="G852" s="20"/>
      <c r="H852" s="20"/>
      <c r="I852" s="20"/>
      <c r="J852" s="20"/>
      <c r="K852" s="20"/>
      <c r="L852" s="20"/>
      <c r="M852" s="20"/>
      <c r="N852" s="20"/>
      <c r="O852" s="20"/>
      <c r="P852" s="20"/>
      <c r="Q852" s="20"/>
      <c r="R852" s="20"/>
      <c r="S852" s="20"/>
    </row>
    <row r="853">
      <c r="A853" s="20"/>
      <c r="B853" s="20"/>
      <c r="C853" s="20"/>
      <c r="D853" s="20"/>
      <c r="E853" s="20"/>
      <c r="F853" s="20"/>
      <c r="G853" s="20"/>
      <c r="H853" s="20"/>
      <c r="I853" s="20"/>
      <c r="J853" s="20"/>
      <c r="K853" s="20"/>
      <c r="L853" s="20"/>
      <c r="M853" s="20"/>
      <c r="N853" s="20"/>
      <c r="O853" s="20"/>
      <c r="P853" s="20"/>
      <c r="Q853" s="20"/>
      <c r="R853" s="20"/>
      <c r="S853" s="20"/>
    </row>
    <row r="854">
      <c r="A854" s="20"/>
      <c r="B854" s="20"/>
      <c r="C854" s="20"/>
      <c r="D854" s="20"/>
      <c r="E854" s="20"/>
      <c r="F854" s="20"/>
      <c r="G854" s="20"/>
      <c r="H854" s="20"/>
      <c r="I854" s="20"/>
      <c r="J854" s="20"/>
      <c r="K854" s="20"/>
      <c r="L854" s="20"/>
      <c r="M854" s="20"/>
      <c r="N854" s="20"/>
      <c r="O854" s="20"/>
      <c r="P854" s="20"/>
      <c r="Q854" s="20"/>
      <c r="R854" s="20"/>
      <c r="S854" s="20"/>
    </row>
    <row r="855">
      <c r="A855" s="20"/>
      <c r="B855" s="20"/>
      <c r="C855" s="20"/>
      <c r="D855" s="20"/>
      <c r="E855" s="20"/>
      <c r="F855" s="20"/>
      <c r="G855" s="20"/>
      <c r="H855" s="20"/>
      <c r="I855" s="20"/>
      <c r="J855" s="20"/>
      <c r="K855" s="20"/>
      <c r="L855" s="20"/>
      <c r="M855" s="20"/>
      <c r="N855" s="20"/>
      <c r="O855" s="20"/>
      <c r="P855" s="20"/>
      <c r="Q855" s="20"/>
      <c r="R855" s="20"/>
      <c r="S855" s="20"/>
    </row>
    <row r="856">
      <c r="A856" s="20"/>
      <c r="B856" s="20"/>
      <c r="C856" s="20"/>
      <c r="D856" s="20"/>
      <c r="E856" s="20"/>
      <c r="F856" s="20"/>
      <c r="G856" s="20"/>
      <c r="H856" s="20"/>
      <c r="I856" s="20"/>
      <c r="J856" s="20"/>
      <c r="K856" s="20"/>
      <c r="L856" s="20"/>
      <c r="M856" s="20"/>
      <c r="N856" s="20"/>
      <c r="O856" s="20"/>
      <c r="P856" s="20"/>
      <c r="Q856" s="20"/>
      <c r="R856" s="20"/>
      <c r="S856" s="20"/>
    </row>
    <row r="857">
      <c r="A857" s="20"/>
      <c r="B857" s="20"/>
      <c r="C857" s="20"/>
      <c r="D857" s="20"/>
      <c r="E857" s="20"/>
      <c r="F857" s="20"/>
      <c r="G857" s="20"/>
      <c r="H857" s="20"/>
      <c r="I857" s="20"/>
      <c r="J857" s="20"/>
      <c r="K857" s="20"/>
      <c r="L857" s="20"/>
      <c r="M857" s="20"/>
      <c r="N857" s="20"/>
      <c r="O857" s="20"/>
      <c r="P857" s="20"/>
      <c r="Q857" s="20"/>
      <c r="R857" s="20"/>
      <c r="S857" s="20"/>
    </row>
    <row r="858">
      <c r="A858" s="20"/>
      <c r="B858" s="20"/>
      <c r="C858" s="20"/>
      <c r="D858" s="20"/>
      <c r="E858" s="20"/>
      <c r="F858" s="20"/>
      <c r="G858" s="20"/>
      <c r="H858" s="20"/>
      <c r="I858" s="20"/>
      <c r="J858" s="20"/>
      <c r="K858" s="20"/>
      <c r="L858" s="20"/>
      <c r="M858" s="20"/>
      <c r="N858" s="20"/>
      <c r="O858" s="20"/>
      <c r="P858" s="20"/>
      <c r="Q858" s="20"/>
      <c r="R858" s="20"/>
      <c r="S858" s="20"/>
    </row>
    <row r="859">
      <c r="A859" s="20"/>
      <c r="B859" s="20"/>
      <c r="C859" s="20"/>
      <c r="D859" s="20"/>
      <c r="E859" s="20"/>
      <c r="F859" s="20"/>
      <c r="G859" s="20"/>
      <c r="H859" s="20"/>
      <c r="I859" s="20"/>
      <c r="J859" s="20"/>
      <c r="K859" s="20"/>
      <c r="L859" s="20"/>
      <c r="M859" s="20"/>
      <c r="N859" s="20"/>
      <c r="O859" s="20"/>
      <c r="P859" s="20"/>
      <c r="Q859" s="20"/>
      <c r="R859" s="20"/>
      <c r="S859" s="20"/>
    </row>
    <row r="860">
      <c r="A860" s="20"/>
      <c r="B860" s="20"/>
      <c r="C860" s="20"/>
      <c r="D860" s="20"/>
      <c r="E860" s="20"/>
      <c r="F860" s="20"/>
      <c r="G860" s="20"/>
      <c r="H860" s="20"/>
      <c r="I860" s="20"/>
      <c r="J860" s="20"/>
      <c r="K860" s="20"/>
      <c r="L860" s="20"/>
      <c r="M860" s="20"/>
      <c r="N860" s="20"/>
      <c r="O860" s="20"/>
      <c r="P860" s="20"/>
      <c r="Q860" s="20"/>
      <c r="R860" s="20"/>
      <c r="S860" s="20"/>
    </row>
    <row r="861">
      <c r="A861" s="20"/>
      <c r="B861" s="20"/>
      <c r="C861" s="20"/>
      <c r="D861" s="20"/>
      <c r="E861" s="20"/>
      <c r="F861" s="20"/>
      <c r="G861" s="20"/>
      <c r="H861" s="20"/>
      <c r="I861" s="20"/>
      <c r="J861" s="20"/>
      <c r="K861" s="20"/>
      <c r="L861" s="20"/>
      <c r="M861" s="20"/>
      <c r="N861" s="20"/>
      <c r="O861" s="20"/>
      <c r="P861" s="20"/>
      <c r="Q861" s="20"/>
      <c r="R861" s="20"/>
      <c r="S861" s="20"/>
    </row>
    <row r="862">
      <c r="A862" s="20"/>
      <c r="B862" s="20"/>
      <c r="C862" s="20"/>
      <c r="D862" s="20"/>
      <c r="E862" s="20"/>
      <c r="F862" s="20"/>
      <c r="G862" s="20"/>
      <c r="H862" s="20"/>
      <c r="I862" s="20"/>
      <c r="J862" s="20"/>
      <c r="K862" s="20"/>
      <c r="L862" s="20"/>
      <c r="M862" s="20"/>
      <c r="N862" s="20"/>
      <c r="O862" s="20"/>
      <c r="P862" s="20"/>
      <c r="Q862" s="20"/>
      <c r="R862" s="20"/>
      <c r="S862" s="20"/>
    </row>
    <row r="863">
      <c r="A863" s="20"/>
      <c r="B863" s="20"/>
      <c r="C863" s="20"/>
      <c r="D863" s="20"/>
      <c r="E863" s="20"/>
      <c r="F863" s="20"/>
      <c r="G863" s="20"/>
      <c r="H863" s="20"/>
      <c r="I863" s="20"/>
      <c r="J863" s="20"/>
      <c r="K863" s="20"/>
      <c r="L863" s="20"/>
      <c r="M863" s="20"/>
      <c r="N863" s="20"/>
      <c r="O863" s="20"/>
      <c r="P863" s="20"/>
      <c r="Q863" s="20"/>
      <c r="R863" s="20"/>
      <c r="S863" s="20"/>
    </row>
    <row r="864">
      <c r="A864" s="20"/>
      <c r="B864" s="20"/>
      <c r="C864" s="20"/>
      <c r="D864" s="20"/>
      <c r="E864" s="20"/>
      <c r="F864" s="20"/>
      <c r="G864" s="20"/>
      <c r="H864" s="20"/>
      <c r="I864" s="20"/>
      <c r="J864" s="20"/>
      <c r="K864" s="20"/>
      <c r="L864" s="20"/>
      <c r="M864" s="20"/>
      <c r="N864" s="20"/>
      <c r="O864" s="20"/>
      <c r="P864" s="20"/>
      <c r="Q864" s="20"/>
      <c r="R864" s="20"/>
      <c r="S864" s="20"/>
    </row>
    <row r="865">
      <c r="A865" s="20"/>
      <c r="B865" s="20"/>
      <c r="C865" s="20"/>
      <c r="D865" s="20"/>
      <c r="E865" s="20"/>
      <c r="F865" s="20"/>
      <c r="G865" s="20"/>
      <c r="H865" s="20"/>
      <c r="I865" s="20"/>
      <c r="J865" s="20"/>
      <c r="K865" s="20"/>
      <c r="L865" s="20"/>
      <c r="M865" s="20"/>
      <c r="N865" s="20"/>
      <c r="O865" s="20"/>
      <c r="P865" s="20"/>
      <c r="Q865" s="20"/>
      <c r="R865" s="20"/>
      <c r="S865" s="20"/>
    </row>
    <row r="866">
      <c r="A866" s="20"/>
      <c r="B866" s="20"/>
      <c r="C866" s="20"/>
      <c r="D866" s="20"/>
      <c r="E866" s="20"/>
      <c r="F866" s="20"/>
      <c r="G866" s="20"/>
      <c r="H866" s="20"/>
      <c r="I866" s="20"/>
      <c r="J866" s="20"/>
      <c r="K866" s="20"/>
      <c r="L866" s="20"/>
      <c r="M866" s="20"/>
      <c r="N866" s="20"/>
      <c r="O866" s="20"/>
      <c r="P866" s="20"/>
      <c r="Q866" s="20"/>
      <c r="R866" s="20"/>
      <c r="S866" s="20"/>
    </row>
    <row r="867">
      <c r="A867" s="20"/>
      <c r="B867" s="20"/>
      <c r="C867" s="20"/>
      <c r="D867" s="20"/>
      <c r="E867" s="20"/>
      <c r="F867" s="20"/>
      <c r="G867" s="20"/>
      <c r="H867" s="20"/>
      <c r="I867" s="20"/>
      <c r="J867" s="20"/>
      <c r="K867" s="20"/>
      <c r="L867" s="20"/>
      <c r="M867" s="20"/>
      <c r="N867" s="20"/>
      <c r="O867" s="20"/>
      <c r="P867" s="20"/>
      <c r="Q867" s="20"/>
      <c r="R867" s="20"/>
      <c r="S867" s="20"/>
    </row>
    <row r="868">
      <c r="A868" s="20"/>
      <c r="B868" s="20"/>
      <c r="C868" s="20"/>
      <c r="D868" s="20"/>
      <c r="E868" s="20"/>
      <c r="F868" s="20"/>
      <c r="G868" s="20"/>
      <c r="H868" s="20"/>
      <c r="I868" s="20"/>
      <c r="J868" s="20"/>
      <c r="K868" s="20"/>
      <c r="L868" s="20"/>
      <c r="M868" s="20"/>
      <c r="N868" s="20"/>
      <c r="O868" s="20"/>
      <c r="P868" s="20"/>
      <c r="Q868" s="20"/>
      <c r="R868" s="20"/>
      <c r="S868" s="20"/>
    </row>
    <row r="869">
      <c r="A869" s="20"/>
      <c r="B869" s="20"/>
      <c r="C869" s="20"/>
      <c r="D869" s="20"/>
      <c r="E869" s="20"/>
      <c r="F869" s="20"/>
      <c r="G869" s="20"/>
      <c r="H869" s="20"/>
      <c r="I869" s="20"/>
      <c r="J869" s="20"/>
      <c r="K869" s="20"/>
      <c r="L869" s="20"/>
      <c r="M869" s="20"/>
      <c r="N869" s="20"/>
      <c r="O869" s="20"/>
      <c r="P869" s="20"/>
      <c r="Q869" s="20"/>
      <c r="R869" s="20"/>
      <c r="S869" s="20"/>
    </row>
    <row r="870">
      <c r="A870" s="20"/>
      <c r="B870" s="20"/>
      <c r="C870" s="20"/>
      <c r="D870" s="20"/>
      <c r="E870" s="20"/>
      <c r="F870" s="20"/>
      <c r="G870" s="20"/>
      <c r="H870" s="20"/>
      <c r="I870" s="20"/>
      <c r="J870" s="20"/>
      <c r="K870" s="20"/>
      <c r="L870" s="20"/>
      <c r="M870" s="20"/>
      <c r="N870" s="20"/>
      <c r="O870" s="20"/>
      <c r="P870" s="20"/>
      <c r="Q870" s="20"/>
      <c r="R870" s="20"/>
      <c r="S870" s="20"/>
    </row>
    <row r="871">
      <c r="A871" s="20"/>
      <c r="B871" s="20"/>
      <c r="C871" s="20"/>
      <c r="D871" s="20"/>
      <c r="E871" s="20"/>
      <c r="F871" s="20"/>
      <c r="G871" s="20"/>
      <c r="H871" s="20"/>
      <c r="I871" s="20"/>
      <c r="J871" s="20"/>
      <c r="K871" s="20"/>
      <c r="L871" s="20"/>
      <c r="M871" s="20"/>
      <c r="N871" s="20"/>
      <c r="O871" s="20"/>
      <c r="P871" s="20"/>
      <c r="Q871" s="20"/>
      <c r="R871" s="20"/>
      <c r="S871" s="20"/>
    </row>
    <row r="872">
      <c r="A872" s="20"/>
      <c r="B872" s="20"/>
      <c r="C872" s="20"/>
      <c r="D872" s="20"/>
      <c r="E872" s="20"/>
      <c r="F872" s="20"/>
      <c r="G872" s="20"/>
      <c r="H872" s="20"/>
      <c r="I872" s="20"/>
      <c r="J872" s="20"/>
      <c r="K872" s="20"/>
      <c r="L872" s="20"/>
      <c r="M872" s="20"/>
      <c r="N872" s="20"/>
      <c r="O872" s="20"/>
      <c r="P872" s="20"/>
      <c r="Q872" s="20"/>
      <c r="R872" s="20"/>
      <c r="S872" s="20"/>
    </row>
    <row r="873">
      <c r="A873" s="20"/>
      <c r="B873" s="20"/>
      <c r="C873" s="20"/>
      <c r="D873" s="20"/>
      <c r="E873" s="20"/>
      <c r="F873" s="20"/>
      <c r="G873" s="20"/>
      <c r="H873" s="20"/>
      <c r="I873" s="20"/>
      <c r="J873" s="20"/>
      <c r="K873" s="20"/>
      <c r="L873" s="20"/>
      <c r="M873" s="20"/>
      <c r="N873" s="20"/>
      <c r="O873" s="20"/>
      <c r="P873" s="20"/>
      <c r="Q873" s="20"/>
      <c r="R873" s="20"/>
      <c r="S873" s="20"/>
    </row>
    <row r="874">
      <c r="A874" s="20"/>
      <c r="B874" s="20"/>
      <c r="C874" s="20"/>
      <c r="D874" s="20"/>
      <c r="E874" s="20"/>
      <c r="F874" s="20"/>
      <c r="G874" s="20"/>
      <c r="H874" s="20"/>
      <c r="I874" s="20"/>
      <c r="J874" s="20"/>
      <c r="K874" s="20"/>
      <c r="L874" s="20"/>
      <c r="M874" s="20"/>
      <c r="N874" s="20"/>
      <c r="O874" s="20"/>
      <c r="P874" s="20"/>
      <c r="Q874" s="20"/>
      <c r="R874" s="20"/>
      <c r="S874" s="20"/>
    </row>
    <row r="875">
      <c r="A875" s="20"/>
      <c r="B875" s="20"/>
      <c r="C875" s="20"/>
      <c r="D875" s="20"/>
      <c r="E875" s="20"/>
      <c r="F875" s="20"/>
      <c r="G875" s="20"/>
      <c r="H875" s="20"/>
      <c r="I875" s="20"/>
      <c r="J875" s="20"/>
      <c r="K875" s="20"/>
      <c r="L875" s="20"/>
      <c r="M875" s="20"/>
      <c r="N875" s="20"/>
      <c r="O875" s="20"/>
      <c r="P875" s="20"/>
      <c r="Q875" s="20"/>
      <c r="R875" s="20"/>
      <c r="S875" s="20"/>
    </row>
    <row r="876">
      <c r="A876" s="20"/>
      <c r="B876" s="20"/>
      <c r="C876" s="20"/>
      <c r="D876" s="20"/>
      <c r="E876" s="20"/>
      <c r="F876" s="20"/>
      <c r="G876" s="20"/>
      <c r="H876" s="20"/>
      <c r="I876" s="20"/>
      <c r="J876" s="20"/>
      <c r="K876" s="20"/>
      <c r="L876" s="20"/>
      <c r="M876" s="20"/>
      <c r="N876" s="20"/>
      <c r="O876" s="20"/>
      <c r="P876" s="20"/>
      <c r="Q876" s="20"/>
      <c r="R876" s="20"/>
      <c r="S876" s="20"/>
    </row>
    <row r="877">
      <c r="A877" s="20"/>
      <c r="B877" s="20"/>
      <c r="C877" s="20"/>
      <c r="D877" s="20"/>
      <c r="E877" s="20"/>
      <c r="F877" s="20"/>
      <c r="G877" s="20"/>
      <c r="H877" s="20"/>
      <c r="I877" s="20"/>
      <c r="J877" s="20"/>
      <c r="K877" s="20"/>
      <c r="L877" s="20"/>
      <c r="M877" s="20"/>
      <c r="N877" s="20"/>
      <c r="O877" s="20"/>
      <c r="P877" s="20"/>
      <c r="Q877" s="20"/>
      <c r="R877" s="20"/>
      <c r="S877" s="20"/>
    </row>
    <row r="878">
      <c r="A878" s="20"/>
      <c r="B878" s="20"/>
      <c r="C878" s="20"/>
      <c r="D878" s="20"/>
      <c r="E878" s="20"/>
      <c r="F878" s="20"/>
      <c r="G878" s="20"/>
      <c r="H878" s="20"/>
      <c r="I878" s="20"/>
      <c r="J878" s="20"/>
      <c r="K878" s="20"/>
      <c r="L878" s="20"/>
      <c r="M878" s="20"/>
      <c r="N878" s="20"/>
      <c r="O878" s="20"/>
      <c r="P878" s="20"/>
      <c r="Q878" s="20"/>
      <c r="R878" s="20"/>
      <c r="S878" s="20"/>
    </row>
    <row r="879">
      <c r="A879" s="20"/>
      <c r="B879" s="20"/>
      <c r="C879" s="20"/>
      <c r="D879" s="20"/>
      <c r="E879" s="20"/>
      <c r="F879" s="20"/>
      <c r="G879" s="20"/>
      <c r="H879" s="20"/>
      <c r="I879" s="20"/>
      <c r="J879" s="20"/>
      <c r="K879" s="20"/>
      <c r="L879" s="20"/>
      <c r="M879" s="20"/>
      <c r="N879" s="20"/>
      <c r="O879" s="20"/>
      <c r="P879" s="20"/>
      <c r="Q879" s="20"/>
      <c r="R879" s="20"/>
      <c r="S879" s="20"/>
    </row>
    <row r="880">
      <c r="A880" s="20"/>
      <c r="B880" s="20"/>
      <c r="C880" s="20"/>
      <c r="D880" s="20"/>
      <c r="E880" s="20"/>
      <c r="F880" s="20"/>
      <c r="G880" s="20"/>
      <c r="H880" s="20"/>
      <c r="I880" s="20"/>
      <c r="J880" s="20"/>
      <c r="K880" s="20"/>
      <c r="L880" s="20"/>
      <c r="M880" s="20"/>
      <c r="N880" s="20"/>
      <c r="O880" s="20"/>
      <c r="P880" s="20"/>
      <c r="Q880" s="20"/>
      <c r="R880" s="20"/>
      <c r="S880" s="20"/>
    </row>
    <row r="881">
      <c r="A881" s="20"/>
      <c r="B881" s="20"/>
      <c r="C881" s="20"/>
      <c r="D881" s="20"/>
      <c r="E881" s="20"/>
      <c r="F881" s="20"/>
      <c r="G881" s="20"/>
      <c r="H881" s="20"/>
      <c r="I881" s="20"/>
      <c r="J881" s="20"/>
      <c r="K881" s="20"/>
      <c r="L881" s="20"/>
      <c r="M881" s="20"/>
      <c r="N881" s="20"/>
      <c r="O881" s="20"/>
      <c r="P881" s="20"/>
      <c r="Q881" s="20"/>
      <c r="R881" s="20"/>
      <c r="S881" s="20"/>
    </row>
    <row r="882">
      <c r="A882" s="20"/>
      <c r="B882" s="20"/>
      <c r="C882" s="20"/>
      <c r="D882" s="20"/>
      <c r="E882" s="20"/>
      <c r="F882" s="20"/>
      <c r="G882" s="20"/>
      <c r="H882" s="20"/>
      <c r="I882" s="20"/>
      <c r="J882" s="20"/>
      <c r="K882" s="20"/>
      <c r="L882" s="20"/>
      <c r="M882" s="20"/>
      <c r="N882" s="20"/>
      <c r="O882" s="20"/>
      <c r="P882" s="20"/>
      <c r="Q882" s="20"/>
      <c r="R882" s="20"/>
      <c r="S882" s="20"/>
    </row>
    <row r="883">
      <c r="A883" s="20"/>
      <c r="B883" s="20"/>
      <c r="C883" s="20"/>
      <c r="D883" s="20"/>
      <c r="E883" s="20"/>
      <c r="F883" s="20"/>
      <c r="G883" s="20"/>
      <c r="H883" s="20"/>
      <c r="I883" s="20"/>
      <c r="J883" s="20"/>
      <c r="K883" s="20"/>
      <c r="L883" s="20"/>
      <c r="M883" s="20"/>
      <c r="N883" s="20"/>
      <c r="O883" s="20"/>
      <c r="P883" s="20"/>
      <c r="Q883" s="20"/>
      <c r="R883" s="20"/>
      <c r="S883" s="20"/>
    </row>
    <row r="884">
      <c r="A884" s="20"/>
      <c r="B884" s="20"/>
      <c r="C884" s="20"/>
      <c r="D884" s="20"/>
      <c r="E884" s="20"/>
      <c r="F884" s="20"/>
      <c r="G884" s="20"/>
      <c r="H884" s="20"/>
      <c r="I884" s="20"/>
      <c r="J884" s="20"/>
      <c r="K884" s="20"/>
      <c r="L884" s="20"/>
      <c r="M884" s="20"/>
      <c r="N884" s="20"/>
      <c r="O884" s="20"/>
      <c r="P884" s="20"/>
      <c r="Q884" s="20"/>
      <c r="R884" s="20"/>
      <c r="S884" s="20"/>
    </row>
    <row r="885">
      <c r="A885" s="20"/>
      <c r="B885" s="20"/>
      <c r="C885" s="20"/>
      <c r="D885" s="20"/>
      <c r="E885" s="20"/>
      <c r="F885" s="20"/>
      <c r="G885" s="20"/>
      <c r="H885" s="20"/>
      <c r="I885" s="20"/>
      <c r="J885" s="20"/>
      <c r="K885" s="20"/>
      <c r="L885" s="20"/>
      <c r="M885" s="20"/>
      <c r="N885" s="20"/>
      <c r="O885" s="20"/>
      <c r="P885" s="20"/>
      <c r="Q885" s="20"/>
      <c r="R885" s="20"/>
      <c r="S885" s="20"/>
    </row>
    <row r="886">
      <c r="A886" s="20"/>
      <c r="B886" s="20"/>
      <c r="C886" s="20"/>
      <c r="D886" s="20"/>
      <c r="E886" s="20"/>
      <c r="F886" s="20"/>
      <c r="G886" s="20"/>
      <c r="H886" s="20"/>
      <c r="I886" s="20"/>
      <c r="J886" s="20"/>
      <c r="K886" s="20"/>
      <c r="L886" s="20"/>
      <c r="M886" s="20"/>
      <c r="N886" s="20"/>
      <c r="O886" s="20"/>
      <c r="P886" s="20"/>
      <c r="Q886" s="20"/>
      <c r="R886" s="20"/>
      <c r="S886" s="20"/>
    </row>
    <row r="887">
      <c r="A887" s="20"/>
      <c r="B887" s="20"/>
      <c r="C887" s="20"/>
      <c r="D887" s="20"/>
      <c r="E887" s="20"/>
      <c r="F887" s="20"/>
      <c r="G887" s="20"/>
      <c r="H887" s="20"/>
      <c r="I887" s="20"/>
      <c r="J887" s="20"/>
      <c r="K887" s="20"/>
      <c r="L887" s="20"/>
      <c r="M887" s="20"/>
      <c r="N887" s="20"/>
      <c r="O887" s="20"/>
      <c r="P887" s="20"/>
      <c r="Q887" s="20"/>
      <c r="R887" s="20"/>
      <c r="S887" s="20"/>
    </row>
    <row r="888">
      <c r="A888" s="20"/>
      <c r="B888" s="20"/>
      <c r="C888" s="20"/>
      <c r="D888" s="20"/>
      <c r="E888" s="20"/>
      <c r="F888" s="20"/>
      <c r="G888" s="20"/>
      <c r="H888" s="20"/>
      <c r="I888" s="20"/>
      <c r="J888" s="20"/>
      <c r="K888" s="20"/>
      <c r="L888" s="20"/>
      <c r="M888" s="20"/>
      <c r="N888" s="20"/>
      <c r="O888" s="20"/>
      <c r="P888" s="20"/>
      <c r="Q888" s="20"/>
      <c r="R888" s="20"/>
      <c r="S888" s="20"/>
    </row>
    <row r="889">
      <c r="A889" s="20"/>
      <c r="B889" s="20"/>
      <c r="C889" s="20"/>
      <c r="D889" s="20"/>
      <c r="E889" s="20"/>
      <c r="F889" s="20"/>
      <c r="G889" s="20"/>
      <c r="H889" s="20"/>
      <c r="I889" s="20"/>
      <c r="J889" s="20"/>
      <c r="K889" s="20"/>
      <c r="L889" s="20"/>
      <c r="M889" s="20"/>
      <c r="N889" s="20"/>
      <c r="O889" s="20"/>
      <c r="P889" s="20"/>
      <c r="Q889" s="20"/>
      <c r="R889" s="20"/>
      <c r="S889" s="20"/>
    </row>
    <row r="890">
      <c r="A890" s="20"/>
      <c r="B890" s="20"/>
      <c r="C890" s="20"/>
      <c r="D890" s="20"/>
      <c r="E890" s="20"/>
      <c r="F890" s="20"/>
      <c r="G890" s="20"/>
      <c r="H890" s="20"/>
      <c r="I890" s="20"/>
      <c r="J890" s="20"/>
      <c r="K890" s="20"/>
      <c r="L890" s="20"/>
      <c r="M890" s="20"/>
      <c r="N890" s="20"/>
      <c r="O890" s="20"/>
      <c r="P890" s="20"/>
      <c r="Q890" s="20"/>
      <c r="R890" s="20"/>
      <c r="S890" s="20"/>
    </row>
    <row r="891">
      <c r="A891" s="20"/>
      <c r="B891" s="20"/>
      <c r="C891" s="20"/>
      <c r="D891" s="20"/>
      <c r="E891" s="20"/>
      <c r="F891" s="20"/>
      <c r="G891" s="20"/>
      <c r="H891" s="20"/>
      <c r="I891" s="20"/>
      <c r="J891" s="20"/>
      <c r="K891" s="20"/>
      <c r="L891" s="20"/>
      <c r="M891" s="20"/>
      <c r="N891" s="20"/>
      <c r="O891" s="20"/>
      <c r="P891" s="20"/>
      <c r="Q891" s="20"/>
      <c r="R891" s="20"/>
      <c r="S891" s="20"/>
    </row>
    <row r="892">
      <c r="A892" s="20"/>
      <c r="B892" s="20"/>
      <c r="C892" s="20"/>
      <c r="D892" s="20"/>
      <c r="E892" s="20"/>
      <c r="F892" s="20"/>
      <c r="G892" s="20"/>
      <c r="H892" s="20"/>
      <c r="I892" s="20"/>
      <c r="J892" s="20"/>
      <c r="K892" s="20"/>
      <c r="L892" s="20"/>
      <c r="M892" s="20"/>
      <c r="N892" s="20"/>
      <c r="O892" s="20"/>
      <c r="P892" s="20"/>
      <c r="Q892" s="20"/>
      <c r="R892" s="20"/>
      <c r="S892" s="20"/>
    </row>
    <row r="893">
      <c r="A893" s="20"/>
      <c r="B893" s="20"/>
      <c r="C893" s="20"/>
      <c r="D893" s="20"/>
      <c r="E893" s="20"/>
      <c r="F893" s="20"/>
      <c r="G893" s="20"/>
      <c r="H893" s="20"/>
      <c r="I893" s="20"/>
      <c r="J893" s="20"/>
      <c r="K893" s="20"/>
      <c r="L893" s="20"/>
      <c r="M893" s="20"/>
      <c r="N893" s="20"/>
      <c r="O893" s="20"/>
      <c r="P893" s="20"/>
      <c r="Q893" s="20"/>
      <c r="R893" s="20"/>
      <c r="S893" s="20"/>
    </row>
    <row r="894">
      <c r="A894" s="20"/>
      <c r="B894" s="20"/>
      <c r="C894" s="20"/>
      <c r="D894" s="20"/>
      <c r="E894" s="20"/>
      <c r="F894" s="20"/>
      <c r="G894" s="20"/>
      <c r="H894" s="20"/>
      <c r="I894" s="20"/>
      <c r="J894" s="20"/>
      <c r="K894" s="20"/>
      <c r="L894" s="20"/>
      <c r="M894" s="20"/>
      <c r="N894" s="20"/>
      <c r="O894" s="20"/>
      <c r="P894" s="20"/>
      <c r="Q894" s="20"/>
      <c r="R894" s="20"/>
      <c r="S894" s="20"/>
    </row>
    <row r="895">
      <c r="A895" s="20"/>
      <c r="B895" s="20"/>
      <c r="C895" s="20"/>
      <c r="D895" s="20"/>
      <c r="E895" s="20"/>
      <c r="F895" s="20"/>
      <c r="G895" s="20"/>
      <c r="H895" s="20"/>
      <c r="I895" s="20"/>
      <c r="J895" s="20"/>
      <c r="K895" s="20"/>
      <c r="L895" s="20"/>
      <c r="M895" s="20"/>
      <c r="N895" s="20"/>
      <c r="O895" s="20"/>
      <c r="P895" s="20"/>
      <c r="Q895" s="20"/>
      <c r="R895" s="20"/>
      <c r="S895" s="20"/>
    </row>
    <row r="896">
      <c r="A896" s="20"/>
      <c r="B896" s="20"/>
      <c r="C896" s="20"/>
      <c r="D896" s="20"/>
      <c r="E896" s="20"/>
      <c r="F896" s="20"/>
      <c r="G896" s="20"/>
      <c r="H896" s="20"/>
      <c r="I896" s="20"/>
      <c r="J896" s="20"/>
      <c r="K896" s="20"/>
      <c r="L896" s="20"/>
      <c r="M896" s="20"/>
      <c r="N896" s="20"/>
      <c r="O896" s="20"/>
      <c r="P896" s="20"/>
      <c r="Q896" s="20"/>
      <c r="R896" s="20"/>
      <c r="S896" s="20"/>
    </row>
    <row r="897">
      <c r="A897" s="20"/>
      <c r="B897" s="20"/>
      <c r="C897" s="20"/>
      <c r="D897" s="20"/>
      <c r="E897" s="20"/>
      <c r="F897" s="20"/>
      <c r="G897" s="20"/>
      <c r="H897" s="20"/>
      <c r="I897" s="20"/>
      <c r="J897" s="20"/>
      <c r="K897" s="20"/>
      <c r="L897" s="20"/>
      <c r="M897" s="20"/>
      <c r="N897" s="20"/>
      <c r="O897" s="20"/>
      <c r="P897" s="20"/>
      <c r="Q897" s="20"/>
      <c r="R897" s="20"/>
      <c r="S897" s="20"/>
    </row>
    <row r="898">
      <c r="A898" s="20"/>
      <c r="B898" s="20"/>
      <c r="C898" s="20"/>
      <c r="D898" s="20"/>
      <c r="E898" s="20"/>
      <c r="F898" s="20"/>
      <c r="G898" s="20"/>
      <c r="H898" s="20"/>
      <c r="I898" s="20"/>
      <c r="J898" s="20"/>
      <c r="K898" s="20"/>
      <c r="L898" s="20"/>
      <c r="M898" s="20"/>
      <c r="N898" s="20"/>
      <c r="O898" s="20"/>
      <c r="P898" s="20"/>
      <c r="Q898" s="20"/>
      <c r="R898" s="20"/>
      <c r="S898" s="20"/>
    </row>
    <row r="899">
      <c r="A899" s="20"/>
      <c r="B899" s="20"/>
      <c r="C899" s="20"/>
      <c r="D899" s="20"/>
      <c r="E899" s="20"/>
      <c r="F899" s="20"/>
      <c r="G899" s="20"/>
      <c r="H899" s="20"/>
      <c r="I899" s="20"/>
      <c r="J899" s="20"/>
      <c r="K899" s="20"/>
      <c r="L899" s="20"/>
      <c r="M899" s="20"/>
      <c r="N899" s="20"/>
      <c r="O899" s="20"/>
      <c r="P899" s="20"/>
      <c r="Q899" s="20"/>
      <c r="R899" s="20"/>
      <c r="S899" s="20"/>
    </row>
    <row r="900">
      <c r="A900" s="20"/>
      <c r="B900" s="20"/>
      <c r="C900" s="20"/>
      <c r="D900" s="20"/>
      <c r="E900" s="20"/>
      <c r="F900" s="20"/>
      <c r="G900" s="20"/>
      <c r="H900" s="20"/>
      <c r="I900" s="20"/>
      <c r="J900" s="20"/>
      <c r="K900" s="20"/>
      <c r="L900" s="20"/>
      <c r="M900" s="20"/>
      <c r="N900" s="20"/>
      <c r="O900" s="20"/>
      <c r="P900" s="20"/>
      <c r="Q900" s="20"/>
      <c r="R900" s="20"/>
      <c r="S900" s="20"/>
    </row>
    <row r="901">
      <c r="A901" s="20"/>
      <c r="B901" s="20"/>
      <c r="C901" s="20"/>
      <c r="D901" s="20"/>
      <c r="E901" s="20"/>
      <c r="F901" s="20"/>
      <c r="G901" s="20"/>
      <c r="H901" s="20"/>
      <c r="I901" s="20"/>
      <c r="J901" s="20"/>
      <c r="K901" s="20"/>
      <c r="L901" s="20"/>
      <c r="M901" s="20"/>
      <c r="N901" s="20"/>
      <c r="O901" s="20"/>
      <c r="P901" s="20"/>
      <c r="Q901" s="20"/>
      <c r="R901" s="20"/>
      <c r="S901" s="20"/>
    </row>
    <row r="902">
      <c r="A902" s="20"/>
      <c r="B902" s="20"/>
      <c r="C902" s="20"/>
      <c r="D902" s="20"/>
      <c r="E902" s="20"/>
      <c r="F902" s="20"/>
      <c r="G902" s="20"/>
      <c r="H902" s="20"/>
      <c r="I902" s="20"/>
      <c r="J902" s="20"/>
      <c r="K902" s="20"/>
      <c r="L902" s="20"/>
      <c r="M902" s="20"/>
      <c r="N902" s="20"/>
      <c r="O902" s="20"/>
      <c r="P902" s="20"/>
      <c r="Q902" s="20"/>
      <c r="R902" s="20"/>
      <c r="S902" s="20"/>
    </row>
    <row r="903">
      <c r="A903" s="20"/>
      <c r="B903" s="20"/>
      <c r="C903" s="20"/>
      <c r="D903" s="20"/>
      <c r="E903" s="20"/>
      <c r="F903" s="20"/>
      <c r="G903" s="20"/>
      <c r="H903" s="20"/>
      <c r="I903" s="20"/>
      <c r="J903" s="20"/>
      <c r="K903" s="20"/>
      <c r="L903" s="20"/>
      <c r="M903" s="20"/>
      <c r="N903" s="20"/>
      <c r="O903" s="20"/>
      <c r="P903" s="20"/>
      <c r="Q903" s="20"/>
      <c r="R903" s="20"/>
      <c r="S903" s="20"/>
    </row>
    <row r="904">
      <c r="A904" s="20"/>
      <c r="B904" s="20"/>
      <c r="C904" s="20"/>
      <c r="D904" s="20"/>
      <c r="E904" s="20"/>
      <c r="F904" s="20"/>
      <c r="G904" s="20"/>
      <c r="H904" s="20"/>
      <c r="I904" s="20"/>
      <c r="J904" s="20"/>
      <c r="K904" s="20"/>
      <c r="L904" s="20"/>
      <c r="M904" s="20"/>
      <c r="N904" s="20"/>
      <c r="O904" s="20"/>
      <c r="P904" s="20"/>
      <c r="Q904" s="20"/>
      <c r="R904" s="20"/>
      <c r="S904" s="20"/>
    </row>
    <row r="905">
      <c r="A905" s="20"/>
      <c r="B905" s="20"/>
      <c r="C905" s="20"/>
      <c r="D905" s="20"/>
      <c r="E905" s="20"/>
      <c r="F905" s="20"/>
      <c r="G905" s="20"/>
      <c r="H905" s="20"/>
      <c r="I905" s="20"/>
      <c r="J905" s="20"/>
      <c r="K905" s="20"/>
      <c r="L905" s="20"/>
      <c r="M905" s="20"/>
      <c r="N905" s="20"/>
      <c r="O905" s="20"/>
      <c r="P905" s="20"/>
      <c r="Q905" s="20"/>
      <c r="R905" s="20"/>
      <c r="S905" s="20"/>
    </row>
    <row r="906">
      <c r="A906" s="20"/>
      <c r="B906" s="20"/>
      <c r="C906" s="20"/>
      <c r="D906" s="20"/>
      <c r="E906" s="20"/>
      <c r="F906" s="20"/>
      <c r="G906" s="20"/>
      <c r="H906" s="20"/>
      <c r="I906" s="20"/>
      <c r="J906" s="20"/>
      <c r="K906" s="20"/>
      <c r="L906" s="20"/>
      <c r="M906" s="20"/>
      <c r="N906" s="20"/>
      <c r="O906" s="20"/>
      <c r="P906" s="20"/>
      <c r="Q906" s="20"/>
      <c r="R906" s="20"/>
      <c r="S906" s="20"/>
    </row>
    <row r="907">
      <c r="A907" s="20"/>
      <c r="B907" s="20"/>
      <c r="C907" s="20"/>
      <c r="D907" s="20"/>
      <c r="E907" s="20"/>
      <c r="F907" s="20"/>
      <c r="G907" s="20"/>
      <c r="H907" s="20"/>
      <c r="I907" s="20"/>
      <c r="J907" s="20"/>
      <c r="K907" s="20"/>
      <c r="L907" s="20"/>
      <c r="M907" s="20"/>
      <c r="N907" s="20"/>
      <c r="O907" s="20"/>
      <c r="P907" s="20"/>
      <c r="Q907" s="20"/>
      <c r="R907" s="20"/>
      <c r="S907" s="20"/>
    </row>
    <row r="908">
      <c r="A908" s="20"/>
      <c r="B908" s="20"/>
      <c r="C908" s="20"/>
      <c r="D908" s="20"/>
      <c r="E908" s="20"/>
      <c r="F908" s="20"/>
      <c r="G908" s="20"/>
      <c r="H908" s="20"/>
      <c r="I908" s="20"/>
      <c r="J908" s="20"/>
      <c r="K908" s="20"/>
      <c r="L908" s="20"/>
      <c r="M908" s="20"/>
      <c r="N908" s="20"/>
      <c r="O908" s="20"/>
      <c r="P908" s="20"/>
      <c r="Q908" s="20"/>
      <c r="R908" s="20"/>
      <c r="S908" s="20"/>
    </row>
    <row r="909">
      <c r="A909" s="20"/>
      <c r="B909" s="20"/>
      <c r="C909" s="20"/>
      <c r="D909" s="20"/>
      <c r="E909" s="20"/>
      <c r="F909" s="20"/>
      <c r="G909" s="20"/>
      <c r="H909" s="20"/>
      <c r="I909" s="20"/>
      <c r="J909" s="20"/>
      <c r="K909" s="20"/>
      <c r="L909" s="20"/>
      <c r="M909" s="20"/>
      <c r="N909" s="20"/>
      <c r="O909" s="20"/>
      <c r="P909" s="20"/>
      <c r="Q909" s="20"/>
      <c r="R909" s="20"/>
      <c r="S909" s="20"/>
    </row>
    <row r="910">
      <c r="A910" s="20"/>
      <c r="B910" s="20"/>
      <c r="C910" s="20"/>
      <c r="D910" s="20"/>
      <c r="E910" s="20"/>
      <c r="F910" s="20"/>
      <c r="G910" s="20"/>
      <c r="H910" s="20"/>
      <c r="I910" s="20"/>
      <c r="J910" s="20"/>
      <c r="K910" s="20"/>
      <c r="L910" s="20"/>
      <c r="M910" s="20"/>
      <c r="N910" s="20"/>
      <c r="O910" s="20"/>
      <c r="P910" s="20"/>
      <c r="Q910" s="20"/>
      <c r="R910" s="20"/>
      <c r="S910" s="20"/>
    </row>
    <row r="911">
      <c r="A911" s="20"/>
      <c r="B911" s="20"/>
      <c r="C911" s="20"/>
      <c r="D911" s="20"/>
      <c r="E911" s="20"/>
      <c r="F911" s="20"/>
      <c r="G911" s="20"/>
      <c r="H911" s="20"/>
      <c r="I911" s="20"/>
      <c r="J911" s="20"/>
      <c r="K911" s="20"/>
      <c r="L911" s="20"/>
      <c r="M911" s="20"/>
      <c r="N911" s="20"/>
      <c r="O911" s="20"/>
      <c r="P911" s="20"/>
      <c r="Q911" s="20"/>
      <c r="R911" s="20"/>
      <c r="S911" s="20"/>
    </row>
    <row r="912">
      <c r="A912" s="20"/>
      <c r="B912" s="20"/>
      <c r="C912" s="20"/>
      <c r="D912" s="20"/>
      <c r="E912" s="20"/>
      <c r="F912" s="20"/>
      <c r="G912" s="20"/>
      <c r="H912" s="20"/>
      <c r="I912" s="20"/>
      <c r="J912" s="20"/>
      <c r="K912" s="20"/>
      <c r="L912" s="20"/>
      <c r="M912" s="20"/>
      <c r="N912" s="20"/>
      <c r="O912" s="20"/>
      <c r="P912" s="20"/>
      <c r="Q912" s="20"/>
      <c r="R912" s="20"/>
      <c r="S912" s="20"/>
    </row>
    <row r="913">
      <c r="A913" s="20"/>
      <c r="B913" s="20"/>
      <c r="C913" s="20"/>
      <c r="D913" s="20"/>
      <c r="E913" s="20"/>
      <c r="F913" s="20"/>
      <c r="G913" s="20"/>
      <c r="H913" s="20"/>
      <c r="I913" s="20"/>
      <c r="J913" s="20"/>
      <c r="K913" s="20"/>
      <c r="L913" s="20"/>
      <c r="M913" s="20"/>
      <c r="N913" s="20"/>
      <c r="O913" s="20"/>
      <c r="P913" s="20"/>
      <c r="Q913" s="20"/>
      <c r="R913" s="20"/>
      <c r="S913" s="20"/>
    </row>
    <row r="914">
      <c r="A914" s="20"/>
      <c r="B914" s="20"/>
      <c r="C914" s="20"/>
      <c r="D914" s="20"/>
      <c r="E914" s="20"/>
      <c r="F914" s="20"/>
      <c r="G914" s="20"/>
      <c r="H914" s="20"/>
      <c r="I914" s="20"/>
      <c r="J914" s="20"/>
      <c r="K914" s="20"/>
      <c r="L914" s="20"/>
      <c r="M914" s="20"/>
      <c r="N914" s="20"/>
      <c r="O914" s="20"/>
      <c r="P914" s="20"/>
      <c r="Q914" s="20"/>
      <c r="R914" s="20"/>
      <c r="S914" s="20"/>
    </row>
    <row r="915">
      <c r="A915" s="20"/>
      <c r="B915" s="20"/>
      <c r="C915" s="20"/>
      <c r="D915" s="20"/>
      <c r="E915" s="20"/>
      <c r="F915" s="20"/>
      <c r="G915" s="20"/>
      <c r="H915" s="20"/>
      <c r="I915" s="20"/>
      <c r="J915" s="20"/>
      <c r="K915" s="20"/>
      <c r="L915" s="20"/>
      <c r="M915" s="20"/>
      <c r="N915" s="20"/>
      <c r="O915" s="20"/>
      <c r="P915" s="20"/>
      <c r="Q915" s="20"/>
      <c r="R915" s="20"/>
      <c r="S915" s="20"/>
    </row>
    <row r="916">
      <c r="A916" s="20"/>
      <c r="B916" s="20"/>
      <c r="C916" s="20"/>
      <c r="D916" s="20"/>
      <c r="E916" s="20"/>
      <c r="F916" s="20"/>
      <c r="G916" s="20"/>
      <c r="H916" s="20"/>
      <c r="I916" s="20"/>
      <c r="J916" s="20"/>
      <c r="K916" s="20"/>
      <c r="L916" s="20"/>
      <c r="M916" s="20"/>
      <c r="N916" s="20"/>
      <c r="O916" s="20"/>
      <c r="P916" s="20"/>
      <c r="Q916" s="20"/>
      <c r="R916" s="20"/>
      <c r="S916" s="20"/>
    </row>
    <row r="917">
      <c r="A917" s="20"/>
      <c r="B917" s="20"/>
      <c r="C917" s="20"/>
      <c r="D917" s="20"/>
      <c r="E917" s="20"/>
      <c r="F917" s="20"/>
      <c r="G917" s="20"/>
      <c r="H917" s="20"/>
      <c r="I917" s="20"/>
      <c r="J917" s="20"/>
      <c r="K917" s="20"/>
      <c r="L917" s="20"/>
      <c r="M917" s="20"/>
      <c r="N917" s="20"/>
      <c r="O917" s="20"/>
      <c r="P917" s="20"/>
      <c r="Q917" s="20"/>
      <c r="R917" s="20"/>
      <c r="S917" s="20"/>
    </row>
    <row r="918">
      <c r="A918" s="20"/>
      <c r="B918" s="20"/>
      <c r="C918" s="20"/>
      <c r="D918" s="20"/>
      <c r="E918" s="20"/>
      <c r="F918" s="20"/>
      <c r="G918" s="20"/>
      <c r="H918" s="20"/>
      <c r="I918" s="20"/>
      <c r="J918" s="20"/>
      <c r="K918" s="20"/>
      <c r="L918" s="20"/>
      <c r="M918" s="20"/>
      <c r="N918" s="20"/>
      <c r="O918" s="20"/>
      <c r="P918" s="20"/>
      <c r="Q918" s="20"/>
      <c r="R918" s="20"/>
      <c r="S918" s="20"/>
    </row>
    <row r="919">
      <c r="A919" s="20"/>
      <c r="B919" s="20"/>
      <c r="C919" s="20"/>
      <c r="D919" s="20"/>
      <c r="E919" s="20"/>
      <c r="F919" s="20"/>
      <c r="G919" s="20"/>
      <c r="H919" s="20"/>
      <c r="I919" s="20"/>
      <c r="J919" s="20"/>
      <c r="K919" s="20"/>
      <c r="L919" s="20"/>
      <c r="M919" s="20"/>
      <c r="N919" s="20"/>
      <c r="O919" s="20"/>
      <c r="P919" s="20"/>
      <c r="Q919" s="20"/>
      <c r="R919" s="20"/>
      <c r="S919" s="20"/>
    </row>
    <row r="920">
      <c r="A920" s="20"/>
      <c r="B920" s="20"/>
      <c r="C920" s="20"/>
      <c r="D920" s="20"/>
      <c r="E920" s="20"/>
      <c r="F920" s="20"/>
      <c r="G920" s="20"/>
      <c r="H920" s="20"/>
      <c r="I920" s="20"/>
      <c r="J920" s="20"/>
      <c r="K920" s="20"/>
      <c r="L920" s="20"/>
      <c r="M920" s="20"/>
      <c r="N920" s="20"/>
      <c r="O920" s="20"/>
      <c r="P920" s="20"/>
      <c r="Q920" s="20"/>
      <c r="R920" s="20"/>
      <c r="S920" s="20"/>
    </row>
    <row r="921">
      <c r="A921" s="20"/>
      <c r="B921" s="20"/>
      <c r="C921" s="20"/>
      <c r="D921" s="20"/>
      <c r="E921" s="20"/>
      <c r="F921" s="20"/>
      <c r="G921" s="20"/>
      <c r="H921" s="20"/>
      <c r="I921" s="20"/>
      <c r="J921" s="20"/>
      <c r="K921" s="20"/>
      <c r="L921" s="20"/>
      <c r="M921" s="20"/>
      <c r="N921" s="20"/>
      <c r="O921" s="20"/>
      <c r="P921" s="20"/>
      <c r="Q921" s="20"/>
      <c r="R921" s="20"/>
      <c r="S921" s="20"/>
    </row>
    <row r="922">
      <c r="A922" s="20"/>
      <c r="B922" s="20"/>
      <c r="C922" s="20"/>
      <c r="D922" s="20"/>
      <c r="E922" s="20"/>
      <c r="F922" s="20"/>
      <c r="G922" s="20"/>
      <c r="H922" s="20"/>
      <c r="I922" s="20"/>
      <c r="J922" s="20"/>
      <c r="K922" s="20"/>
      <c r="L922" s="20"/>
      <c r="M922" s="20"/>
      <c r="N922" s="20"/>
      <c r="O922" s="20"/>
      <c r="P922" s="20"/>
      <c r="Q922" s="20"/>
      <c r="R922" s="20"/>
      <c r="S922" s="20"/>
    </row>
    <row r="923">
      <c r="A923" s="20"/>
      <c r="B923" s="20"/>
      <c r="C923" s="20"/>
      <c r="D923" s="20"/>
      <c r="E923" s="20"/>
      <c r="F923" s="20"/>
      <c r="G923" s="20"/>
      <c r="H923" s="20"/>
      <c r="I923" s="20"/>
      <c r="J923" s="20"/>
      <c r="K923" s="20"/>
      <c r="L923" s="20"/>
      <c r="M923" s="20"/>
      <c r="N923" s="20"/>
      <c r="O923" s="20"/>
      <c r="P923" s="20"/>
      <c r="Q923" s="20"/>
      <c r="R923" s="20"/>
      <c r="S923" s="20"/>
    </row>
    <row r="924">
      <c r="A924" s="20"/>
      <c r="B924" s="20"/>
      <c r="C924" s="20"/>
      <c r="D924" s="20"/>
      <c r="E924" s="20"/>
      <c r="F924" s="20"/>
      <c r="G924" s="20"/>
      <c r="H924" s="20"/>
      <c r="I924" s="20"/>
      <c r="J924" s="20"/>
      <c r="K924" s="20"/>
      <c r="L924" s="20"/>
      <c r="M924" s="20"/>
      <c r="N924" s="20"/>
      <c r="O924" s="20"/>
      <c r="P924" s="20"/>
      <c r="Q924" s="20"/>
      <c r="R924" s="20"/>
      <c r="S924" s="20"/>
    </row>
    <row r="925">
      <c r="A925" s="20"/>
      <c r="B925" s="20"/>
      <c r="C925" s="20"/>
      <c r="D925" s="20"/>
      <c r="E925" s="20"/>
      <c r="F925" s="20"/>
      <c r="G925" s="20"/>
      <c r="H925" s="20"/>
      <c r="I925" s="20"/>
      <c r="J925" s="20"/>
      <c r="K925" s="20"/>
      <c r="L925" s="20"/>
      <c r="M925" s="20"/>
      <c r="N925" s="20"/>
      <c r="O925" s="20"/>
      <c r="P925" s="20"/>
      <c r="Q925" s="20"/>
      <c r="R925" s="20"/>
      <c r="S925" s="20"/>
    </row>
    <row r="926">
      <c r="A926" s="20"/>
      <c r="B926" s="20"/>
      <c r="C926" s="20"/>
      <c r="D926" s="20"/>
      <c r="E926" s="20"/>
      <c r="F926" s="20"/>
      <c r="G926" s="20"/>
      <c r="H926" s="20"/>
      <c r="I926" s="20"/>
      <c r="J926" s="20"/>
      <c r="K926" s="20"/>
      <c r="L926" s="20"/>
      <c r="M926" s="20"/>
      <c r="N926" s="20"/>
      <c r="O926" s="20"/>
      <c r="P926" s="20"/>
      <c r="Q926" s="20"/>
      <c r="R926" s="20"/>
      <c r="S926" s="20"/>
    </row>
    <row r="927">
      <c r="A927" s="20"/>
      <c r="B927" s="20"/>
      <c r="C927" s="20"/>
      <c r="D927" s="20"/>
      <c r="E927" s="20"/>
      <c r="F927" s="20"/>
      <c r="G927" s="20"/>
      <c r="H927" s="20"/>
      <c r="I927" s="20"/>
      <c r="J927" s="20"/>
      <c r="K927" s="20"/>
      <c r="L927" s="20"/>
      <c r="M927" s="20"/>
      <c r="N927" s="20"/>
      <c r="O927" s="20"/>
      <c r="P927" s="20"/>
      <c r="Q927" s="20"/>
      <c r="R927" s="20"/>
      <c r="S927" s="20"/>
    </row>
    <row r="928">
      <c r="A928" s="20"/>
      <c r="B928" s="20"/>
      <c r="C928" s="20"/>
      <c r="D928" s="20"/>
      <c r="E928" s="20"/>
      <c r="F928" s="20"/>
      <c r="G928" s="20"/>
      <c r="H928" s="20"/>
      <c r="I928" s="20"/>
      <c r="J928" s="20"/>
      <c r="K928" s="20"/>
      <c r="L928" s="20"/>
      <c r="M928" s="20"/>
      <c r="N928" s="20"/>
      <c r="O928" s="20"/>
      <c r="P928" s="20"/>
      <c r="Q928" s="20"/>
      <c r="R928" s="20"/>
      <c r="S928" s="20"/>
    </row>
    <row r="929">
      <c r="A929" s="20"/>
      <c r="B929" s="20"/>
      <c r="C929" s="20"/>
      <c r="D929" s="20"/>
      <c r="E929" s="20"/>
      <c r="F929" s="20"/>
      <c r="G929" s="20"/>
      <c r="H929" s="20"/>
      <c r="I929" s="20"/>
      <c r="J929" s="20"/>
      <c r="K929" s="20"/>
      <c r="L929" s="20"/>
      <c r="M929" s="20"/>
      <c r="N929" s="20"/>
      <c r="O929" s="20"/>
      <c r="P929" s="20"/>
      <c r="Q929" s="20"/>
      <c r="R929" s="20"/>
      <c r="S929" s="20"/>
    </row>
    <row r="930">
      <c r="A930" s="20"/>
      <c r="B930" s="20"/>
      <c r="C930" s="20"/>
      <c r="D930" s="20"/>
      <c r="E930" s="20"/>
      <c r="F930" s="20"/>
      <c r="G930" s="20"/>
      <c r="H930" s="20"/>
      <c r="I930" s="20"/>
      <c r="J930" s="20"/>
      <c r="K930" s="20"/>
      <c r="L930" s="20"/>
      <c r="M930" s="20"/>
      <c r="N930" s="20"/>
      <c r="O930" s="20"/>
      <c r="P930" s="20"/>
      <c r="Q930" s="20"/>
      <c r="R930" s="20"/>
      <c r="S930" s="20"/>
    </row>
    <row r="931">
      <c r="A931" s="20"/>
      <c r="B931" s="20"/>
      <c r="C931" s="20"/>
      <c r="D931" s="20"/>
      <c r="E931" s="20"/>
      <c r="F931" s="20"/>
      <c r="G931" s="20"/>
      <c r="H931" s="20"/>
      <c r="I931" s="20"/>
      <c r="J931" s="20"/>
      <c r="K931" s="20"/>
      <c r="L931" s="20"/>
      <c r="M931" s="20"/>
      <c r="N931" s="20"/>
      <c r="O931" s="20"/>
      <c r="P931" s="20"/>
      <c r="Q931" s="20"/>
      <c r="R931" s="20"/>
      <c r="S931" s="20"/>
    </row>
    <row r="932">
      <c r="A932" s="20"/>
      <c r="B932" s="20"/>
      <c r="C932" s="20"/>
      <c r="D932" s="20"/>
      <c r="E932" s="20"/>
      <c r="F932" s="20"/>
      <c r="G932" s="20"/>
      <c r="H932" s="20"/>
      <c r="I932" s="20"/>
      <c r="J932" s="20"/>
      <c r="K932" s="20"/>
      <c r="L932" s="20"/>
      <c r="M932" s="20"/>
      <c r="N932" s="20"/>
      <c r="O932" s="20"/>
      <c r="P932" s="20"/>
      <c r="Q932" s="20"/>
      <c r="R932" s="20"/>
      <c r="S932" s="20"/>
    </row>
    <row r="933">
      <c r="A933" s="20"/>
      <c r="B933" s="20"/>
      <c r="C933" s="20"/>
      <c r="D933" s="20"/>
      <c r="E933" s="20"/>
      <c r="F933" s="20"/>
      <c r="G933" s="20"/>
      <c r="H933" s="20"/>
      <c r="I933" s="20"/>
      <c r="J933" s="20"/>
      <c r="K933" s="20"/>
      <c r="L933" s="20"/>
      <c r="M933" s="20"/>
      <c r="N933" s="20"/>
      <c r="O933" s="20"/>
      <c r="P933" s="20"/>
      <c r="Q933" s="20"/>
      <c r="R933" s="20"/>
      <c r="S933" s="20"/>
    </row>
    <row r="934">
      <c r="A934" s="20"/>
      <c r="B934" s="20"/>
      <c r="C934" s="20"/>
      <c r="D934" s="20"/>
      <c r="E934" s="20"/>
      <c r="F934" s="20"/>
      <c r="G934" s="20"/>
      <c r="H934" s="20"/>
      <c r="I934" s="20"/>
      <c r="J934" s="20"/>
      <c r="K934" s="20"/>
      <c r="L934" s="20"/>
      <c r="M934" s="20"/>
      <c r="N934" s="20"/>
      <c r="O934" s="20"/>
      <c r="P934" s="20"/>
      <c r="Q934" s="20"/>
      <c r="R934" s="20"/>
      <c r="S934" s="20"/>
    </row>
    <row r="935">
      <c r="A935" s="20"/>
      <c r="B935" s="20"/>
      <c r="C935" s="20"/>
      <c r="D935" s="20"/>
      <c r="E935" s="20"/>
      <c r="F935" s="20"/>
      <c r="G935" s="20"/>
      <c r="H935" s="20"/>
      <c r="I935" s="20"/>
      <c r="J935" s="20"/>
      <c r="K935" s="20"/>
      <c r="L935" s="20"/>
      <c r="M935" s="20"/>
      <c r="N935" s="20"/>
      <c r="O935" s="20"/>
      <c r="P935" s="20"/>
      <c r="Q935" s="20"/>
      <c r="R935" s="20"/>
      <c r="S935" s="20"/>
    </row>
    <row r="936">
      <c r="A936" s="20"/>
      <c r="B936" s="20"/>
      <c r="C936" s="20"/>
      <c r="D936" s="20"/>
      <c r="E936" s="20"/>
      <c r="F936" s="20"/>
      <c r="G936" s="20"/>
      <c r="H936" s="20"/>
      <c r="I936" s="20"/>
      <c r="J936" s="20"/>
      <c r="K936" s="20"/>
      <c r="L936" s="20"/>
      <c r="M936" s="20"/>
      <c r="N936" s="20"/>
      <c r="O936" s="20"/>
      <c r="P936" s="20"/>
      <c r="Q936" s="20"/>
      <c r="R936" s="20"/>
      <c r="S936" s="20"/>
    </row>
    <row r="937">
      <c r="A937" s="20"/>
      <c r="B937" s="20"/>
      <c r="C937" s="20"/>
      <c r="D937" s="20"/>
      <c r="E937" s="20"/>
      <c r="F937" s="20"/>
      <c r="G937" s="20"/>
      <c r="H937" s="20"/>
      <c r="I937" s="20"/>
      <c r="J937" s="20"/>
      <c r="K937" s="20"/>
      <c r="L937" s="20"/>
      <c r="M937" s="20"/>
      <c r="N937" s="20"/>
      <c r="O937" s="20"/>
      <c r="P937" s="20"/>
      <c r="Q937" s="20"/>
      <c r="R937" s="20"/>
      <c r="S937" s="20"/>
    </row>
    <row r="938">
      <c r="A938" s="20"/>
      <c r="B938" s="20"/>
      <c r="C938" s="20"/>
      <c r="D938" s="20"/>
      <c r="E938" s="20"/>
      <c r="F938" s="20"/>
      <c r="G938" s="20"/>
      <c r="H938" s="20"/>
      <c r="I938" s="20"/>
      <c r="J938" s="20"/>
      <c r="K938" s="20"/>
      <c r="L938" s="20"/>
      <c r="M938" s="20"/>
      <c r="N938" s="20"/>
      <c r="O938" s="20"/>
      <c r="P938" s="20"/>
      <c r="Q938" s="20"/>
      <c r="R938" s="20"/>
      <c r="S938" s="20"/>
    </row>
    <row r="939">
      <c r="A939" s="20"/>
      <c r="B939" s="20"/>
      <c r="C939" s="20"/>
      <c r="D939" s="20"/>
      <c r="E939" s="20"/>
      <c r="F939" s="20"/>
      <c r="G939" s="20"/>
      <c r="H939" s="20"/>
      <c r="I939" s="20"/>
      <c r="J939" s="20"/>
      <c r="K939" s="20"/>
      <c r="L939" s="20"/>
      <c r="M939" s="20"/>
      <c r="N939" s="20"/>
      <c r="O939" s="20"/>
      <c r="P939" s="20"/>
      <c r="Q939" s="20"/>
      <c r="R939" s="20"/>
      <c r="S939" s="20"/>
    </row>
    <row r="940">
      <c r="A940" s="20"/>
      <c r="B940" s="20"/>
      <c r="C940" s="20"/>
      <c r="D940" s="20"/>
      <c r="E940" s="20"/>
      <c r="F940" s="20"/>
      <c r="G940" s="20"/>
      <c r="H940" s="20"/>
      <c r="I940" s="20"/>
      <c r="J940" s="20"/>
      <c r="K940" s="20"/>
      <c r="L940" s="20"/>
      <c r="M940" s="20"/>
      <c r="N940" s="20"/>
      <c r="O940" s="20"/>
      <c r="P940" s="20"/>
      <c r="Q940" s="20"/>
      <c r="R940" s="20"/>
      <c r="S940" s="20"/>
    </row>
    <row r="941">
      <c r="A941" s="20"/>
      <c r="B941" s="20"/>
      <c r="C941" s="20"/>
      <c r="D941" s="20"/>
      <c r="E941" s="20"/>
      <c r="F941" s="20"/>
      <c r="G941" s="20"/>
      <c r="H941" s="20"/>
      <c r="I941" s="20"/>
      <c r="J941" s="20"/>
      <c r="K941" s="20"/>
      <c r="L941" s="20"/>
      <c r="M941" s="20"/>
      <c r="N941" s="20"/>
      <c r="O941" s="20"/>
      <c r="P941" s="20"/>
      <c r="Q941" s="20"/>
      <c r="R941" s="20"/>
      <c r="S941" s="20"/>
    </row>
    <row r="942">
      <c r="A942" s="20"/>
      <c r="B942" s="20"/>
      <c r="C942" s="20"/>
      <c r="D942" s="20"/>
      <c r="E942" s="20"/>
      <c r="F942" s="20"/>
      <c r="G942" s="20"/>
      <c r="H942" s="20"/>
      <c r="I942" s="20"/>
      <c r="J942" s="20"/>
      <c r="K942" s="20"/>
      <c r="L942" s="20"/>
      <c r="M942" s="20"/>
      <c r="N942" s="20"/>
      <c r="O942" s="20"/>
      <c r="P942" s="20"/>
      <c r="Q942" s="20"/>
      <c r="R942" s="20"/>
      <c r="S942" s="20"/>
    </row>
    <row r="943">
      <c r="A943" s="20"/>
      <c r="B943" s="20"/>
      <c r="C943" s="20"/>
      <c r="D943" s="20"/>
      <c r="E943" s="20"/>
      <c r="F943" s="20"/>
      <c r="G943" s="20"/>
      <c r="H943" s="20"/>
      <c r="I943" s="20"/>
      <c r="J943" s="20"/>
      <c r="K943" s="20"/>
      <c r="L943" s="20"/>
      <c r="M943" s="20"/>
      <c r="N943" s="20"/>
      <c r="O943" s="20"/>
      <c r="P943" s="20"/>
      <c r="Q943" s="20"/>
      <c r="R943" s="20"/>
      <c r="S943" s="20"/>
    </row>
    <row r="944">
      <c r="A944" s="20"/>
      <c r="B944" s="20"/>
      <c r="C944" s="20"/>
      <c r="D944" s="20"/>
      <c r="E944" s="20"/>
      <c r="F944" s="20"/>
      <c r="G944" s="20"/>
      <c r="H944" s="20"/>
      <c r="I944" s="20"/>
      <c r="J944" s="20"/>
      <c r="K944" s="20"/>
      <c r="L944" s="20"/>
      <c r="M944" s="20"/>
      <c r="N944" s="20"/>
      <c r="O944" s="20"/>
      <c r="P944" s="20"/>
      <c r="Q944" s="20"/>
      <c r="R944" s="20"/>
      <c r="S944" s="20"/>
    </row>
    <row r="945">
      <c r="A945" s="20"/>
      <c r="B945" s="20"/>
      <c r="C945" s="20"/>
      <c r="D945" s="20"/>
      <c r="E945" s="20"/>
      <c r="F945" s="20"/>
      <c r="G945" s="20"/>
      <c r="H945" s="20"/>
      <c r="I945" s="20"/>
      <c r="J945" s="20"/>
      <c r="K945" s="20"/>
      <c r="L945" s="20"/>
      <c r="M945" s="20"/>
      <c r="N945" s="20"/>
      <c r="O945" s="20"/>
      <c r="P945" s="20"/>
      <c r="Q945" s="20"/>
      <c r="R945" s="20"/>
      <c r="S945" s="20"/>
    </row>
    <row r="946">
      <c r="A946" s="20"/>
      <c r="B946" s="20"/>
      <c r="C946" s="20"/>
      <c r="D946" s="20"/>
      <c r="E946" s="20"/>
      <c r="F946" s="20"/>
      <c r="G946" s="20"/>
      <c r="H946" s="20"/>
      <c r="I946" s="20"/>
      <c r="J946" s="20"/>
      <c r="K946" s="20"/>
      <c r="L946" s="20"/>
      <c r="M946" s="20"/>
      <c r="N946" s="20"/>
      <c r="O946" s="20"/>
      <c r="P946" s="20"/>
      <c r="Q946" s="20"/>
      <c r="R946" s="20"/>
      <c r="S946" s="20"/>
    </row>
    <row r="947">
      <c r="A947" s="20"/>
      <c r="B947" s="20"/>
      <c r="C947" s="20"/>
      <c r="D947" s="20"/>
      <c r="E947" s="20"/>
      <c r="F947" s="20"/>
      <c r="G947" s="20"/>
      <c r="H947" s="20"/>
      <c r="I947" s="20"/>
      <c r="J947" s="20"/>
      <c r="K947" s="20"/>
      <c r="L947" s="20"/>
      <c r="M947" s="20"/>
      <c r="N947" s="20"/>
      <c r="O947" s="20"/>
      <c r="P947" s="20"/>
      <c r="Q947" s="20"/>
      <c r="R947" s="20"/>
      <c r="S947" s="20"/>
    </row>
    <row r="948">
      <c r="A948" s="20"/>
      <c r="B948" s="20"/>
      <c r="C948" s="20"/>
      <c r="D948" s="20"/>
      <c r="E948" s="20"/>
      <c r="F948" s="20"/>
      <c r="G948" s="20"/>
      <c r="H948" s="20"/>
      <c r="I948" s="20"/>
      <c r="J948" s="20"/>
      <c r="K948" s="20"/>
      <c r="L948" s="20"/>
      <c r="M948" s="20"/>
      <c r="N948" s="20"/>
      <c r="O948" s="20"/>
      <c r="P948" s="20"/>
      <c r="Q948" s="20"/>
      <c r="R948" s="20"/>
      <c r="S948" s="20"/>
    </row>
    <row r="949">
      <c r="A949" s="20"/>
      <c r="B949" s="20"/>
      <c r="C949" s="20"/>
      <c r="D949" s="20"/>
      <c r="E949" s="20"/>
      <c r="F949" s="20"/>
      <c r="G949" s="20"/>
      <c r="H949" s="20"/>
      <c r="I949" s="20"/>
      <c r="J949" s="20"/>
      <c r="K949" s="20"/>
      <c r="L949" s="20"/>
      <c r="M949" s="20"/>
      <c r="N949" s="20"/>
      <c r="O949" s="20"/>
      <c r="P949" s="20"/>
      <c r="Q949" s="20"/>
      <c r="R949" s="20"/>
      <c r="S949" s="20"/>
    </row>
    <row r="950">
      <c r="A950" s="20"/>
      <c r="B950" s="20"/>
      <c r="C950" s="20"/>
      <c r="D950" s="20"/>
      <c r="E950" s="20"/>
      <c r="F950" s="20"/>
      <c r="G950" s="20"/>
      <c r="H950" s="20"/>
      <c r="I950" s="20"/>
      <c r="J950" s="20"/>
      <c r="K950" s="20"/>
      <c r="L950" s="20"/>
      <c r="M950" s="20"/>
      <c r="N950" s="20"/>
      <c r="O950" s="20"/>
      <c r="P950" s="20"/>
      <c r="Q950" s="20"/>
      <c r="R950" s="20"/>
      <c r="S950" s="20"/>
    </row>
    <row r="951">
      <c r="A951" s="20"/>
      <c r="B951" s="20"/>
      <c r="C951" s="20"/>
      <c r="D951" s="20"/>
      <c r="E951" s="20"/>
      <c r="F951" s="20"/>
      <c r="G951" s="20"/>
      <c r="H951" s="20"/>
      <c r="I951" s="20"/>
      <c r="J951" s="20"/>
      <c r="K951" s="20"/>
      <c r="L951" s="20"/>
      <c r="M951" s="20"/>
      <c r="N951" s="20"/>
      <c r="O951" s="20"/>
      <c r="P951" s="20"/>
      <c r="Q951" s="20"/>
      <c r="R951" s="20"/>
      <c r="S951" s="20"/>
    </row>
    <row r="952">
      <c r="A952" s="20"/>
      <c r="B952" s="20"/>
      <c r="C952" s="20"/>
      <c r="D952" s="20"/>
      <c r="E952" s="20"/>
      <c r="F952" s="20"/>
      <c r="G952" s="20"/>
      <c r="H952" s="20"/>
      <c r="I952" s="20"/>
      <c r="J952" s="20"/>
      <c r="K952" s="20"/>
      <c r="L952" s="20"/>
      <c r="M952" s="20"/>
      <c r="N952" s="20"/>
      <c r="O952" s="20"/>
      <c r="P952" s="20"/>
      <c r="Q952" s="20"/>
      <c r="R952" s="20"/>
      <c r="S952" s="20"/>
    </row>
    <row r="953">
      <c r="A953" s="20"/>
      <c r="B953" s="20"/>
      <c r="C953" s="20"/>
      <c r="D953" s="20"/>
      <c r="E953" s="20"/>
      <c r="F953" s="20"/>
      <c r="G953" s="20"/>
      <c r="H953" s="20"/>
      <c r="I953" s="20"/>
      <c r="J953" s="20"/>
      <c r="K953" s="20"/>
      <c r="L953" s="20"/>
      <c r="M953" s="20"/>
      <c r="N953" s="20"/>
      <c r="O953" s="20"/>
      <c r="P953" s="20"/>
      <c r="Q953" s="20"/>
      <c r="R953" s="20"/>
      <c r="S953" s="20"/>
    </row>
    <row r="954">
      <c r="A954" s="20"/>
      <c r="B954" s="20"/>
      <c r="C954" s="20"/>
      <c r="D954" s="20"/>
      <c r="E954" s="20"/>
      <c r="F954" s="20"/>
      <c r="G954" s="20"/>
      <c r="H954" s="20"/>
      <c r="I954" s="20"/>
      <c r="J954" s="20"/>
      <c r="K954" s="20"/>
      <c r="L954" s="20"/>
      <c r="M954" s="20"/>
      <c r="N954" s="20"/>
      <c r="O954" s="20"/>
      <c r="P954" s="20"/>
      <c r="Q954" s="20"/>
      <c r="R954" s="20"/>
      <c r="S954" s="20"/>
    </row>
    <row r="955">
      <c r="A955" s="20"/>
      <c r="B955" s="20"/>
      <c r="C955" s="20"/>
      <c r="D955" s="20"/>
      <c r="E955" s="20"/>
      <c r="F955" s="20"/>
      <c r="G955" s="20"/>
      <c r="H955" s="20"/>
      <c r="I955" s="20"/>
      <c r="J955" s="20"/>
      <c r="K955" s="20"/>
      <c r="L955" s="20"/>
      <c r="M955" s="20"/>
      <c r="N955" s="20"/>
      <c r="O955" s="20"/>
      <c r="P955" s="20"/>
      <c r="Q955" s="20"/>
      <c r="R955" s="20"/>
      <c r="S955" s="20"/>
    </row>
    <row r="956">
      <c r="A956" s="20"/>
      <c r="B956" s="20"/>
      <c r="C956" s="20"/>
      <c r="D956" s="20"/>
      <c r="E956" s="20"/>
      <c r="F956" s="20"/>
      <c r="G956" s="20"/>
      <c r="H956" s="20"/>
      <c r="I956" s="20"/>
      <c r="J956" s="20"/>
      <c r="K956" s="20"/>
      <c r="L956" s="20"/>
      <c r="M956" s="20"/>
      <c r="N956" s="20"/>
      <c r="O956" s="20"/>
      <c r="P956" s="20"/>
      <c r="Q956" s="20"/>
      <c r="R956" s="20"/>
      <c r="S956" s="20"/>
    </row>
    <row r="957">
      <c r="A957" s="20"/>
      <c r="B957" s="20"/>
      <c r="C957" s="20"/>
      <c r="D957" s="20"/>
      <c r="E957" s="20"/>
      <c r="F957" s="20"/>
      <c r="G957" s="20"/>
      <c r="H957" s="20"/>
      <c r="I957" s="20"/>
      <c r="J957" s="20"/>
      <c r="K957" s="20"/>
      <c r="L957" s="20"/>
      <c r="M957" s="20"/>
      <c r="N957" s="20"/>
      <c r="O957" s="20"/>
      <c r="P957" s="20"/>
      <c r="Q957" s="20"/>
      <c r="R957" s="20"/>
      <c r="S957" s="20"/>
    </row>
    <row r="958">
      <c r="A958" s="20"/>
      <c r="B958" s="20"/>
      <c r="C958" s="20"/>
      <c r="D958" s="20"/>
      <c r="E958" s="20"/>
      <c r="F958" s="20"/>
      <c r="G958" s="20"/>
      <c r="H958" s="20"/>
      <c r="I958" s="20"/>
      <c r="J958" s="20"/>
      <c r="K958" s="20"/>
      <c r="L958" s="20"/>
      <c r="M958" s="20"/>
      <c r="N958" s="20"/>
      <c r="O958" s="20"/>
      <c r="P958" s="20"/>
      <c r="Q958" s="20"/>
      <c r="R958" s="20"/>
      <c r="S958" s="20"/>
    </row>
    <row r="959">
      <c r="A959" s="20"/>
      <c r="B959" s="20"/>
      <c r="C959" s="20"/>
      <c r="D959" s="20"/>
      <c r="E959" s="20"/>
      <c r="F959" s="20"/>
      <c r="G959" s="20"/>
      <c r="H959" s="20"/>
      <c r="I959" s="20"/>
      <c r="J959" s="20"/>
      <c r="K959" s="20"/>
      <c r="L959" s="20"/>
      <c r="M959" s="20"/>
      <c r="N959" s="20"/>
      <c r="O959" s="20"/>
      <c r="P959" s="20"/>
      <c r="Q959" s="20"/>
      <c r="R959" s="20"/>
      <c r="S959" s="20"/>
    </row>
    <row r="960">
      <c r="A960" s="20"/>
      <c r="B960" s="20"/>
      <c r="C960" s="20"/>
      <c r="D960" s="20"/>
      <c r="E960" s="20"/>
      <c r="F960" s="20"/>
      <c r="G960" s="20"/>
      <c r="H960" s="20"/>
      <c r="I960" s="20"/>
      <c r="J960" s="20"/>
      <c r="K960" s="20"/>
      <c r="L960" s="20"/>
      <c r="M960" s="20"/>
      <c r="N960" s="20"/>
      <c r="O960" s="20"/>
      <c r="P960" s="20"/>
      <c r="Q960" s="20"/>
      <c r="R960" s="20"/>
      <c r="S960" s="20"/>
    </row>
    <row r="961">
      <c r="A961" s="20"/>
      <c r="B961" s="20"/>
      <c r="C961" s="20"/>
      <c r="D961" s="20"/>
      <c r="E961" s="20"/>
      <c r="F961" s="20"/>
      <c r="G961" s="20"/>
      <c r="H961" s="20"/>
      <c r="I961" s="20"/>
      <c r="J961" s="20"/>
      <c r="K961" s="20"/>
      <c r="L961" s="20"/>
      <c r="M961" s="20"/>
      <c r="N961" s="20"/>
      <c r="O961" s="20"/>
      <c r="P961" s="20"/>
      <c r="Q961" s="20"/>
      <c r="R961" s="20"/>
      <c r="S961" s="20"/>
    </row>
    <row r="962">
      <c r="A962" s="20"/>
      <c r="B962" s="20"/>
      <c r="C962" s="20"/>
      <c r="D962" s="20"/>
      <c r="E962" s="20"/>
      <c r="F962" s="20"/>
      <c r="G962" s="20"/>
      <c r="H962" s="20"/>
      <c r="I962" s="20"/>
      <c r="J962" s="20"/>
      <c r="K962" s="20"/>
      <c r="L962" s="20"/>
      <c r="M962" s="20"/>
      <c r="N962" s="20"/>
      <c r="O962" s="20"/>
      <c r="P962" s="20"/>
      <c r="Q962" s="20"/>
      <c r="R962" s="20"/>
      <c r="S962" s="20"/>
    </row>
    <row r="963">
      <c r="A963" s="20"/>
      <c r="B963" s="20"/>
      <c r="C963" s="20"/>
      <c r="D963" s="20"/>
      <c r="E963" s="20"/>
      <c r="F963" s="20"/>
      <c r="G963" s="20"/>
      <c r="H963" s="20"/>
      <c r="I963" s="20"/>
      <c r="J963" s="20"/>
      <c r="K963" s="20"/>
      <c r="L963" s="20"/>
      <c r="M963" s="20"/>
      <c r="N963" s="20"/>
      <c r="O963" s="20"/>
      <c r="P963" s="20"/>
      <c r="Q963" s="20"/>
      <c r="R963" s="20"/>
      <c r="S963" s="20"/>
    </row>
    <row r="964">
      <c r="A964" s="20"/>
      <c r="B964" s="20"/>
      <c r="C964" s="20"/>
      <c r="D964" s="20"/>
      <c r="E964" s="20"/>
      <c r="F964" s="20"/>
      <c r="G964" s="20"/>
      <c r="H964" s="20"/>
      <c r="I964" s="20"/>
      <c r="J964" s="20"/>
      <c r="K964" s="20"/>
      <c r="L964" s="20"/>
      <c r="M964" s="20"/>
      <c r="N964" s="20"/>
      <c r="O964" s="20"/>
      <c r="P964" s="20"/>
      <c r="Q964" s="20"/>
      <c r="R964" s="20"/>
      <c r="S964" s="20"/>
    </row>
    <row r="965">
      <c r="A965" s="20"/>
      <c r="B965" s="20"/>
      <c r="C965" s="20"/>
      <c r="D965" s="20"/>
      <c r="E965" s="20"/>
      <c r="F965" s="20"/>
      <c r="G965" s="20"/>
      <c r="H965" s="20"/>
      <c r="I965" s="20"/>
      <c r="J965" s="20"/>
      <c r="K965" s="20"/>
      <c r="L965" s="20"/>
      <c r="M965" s="20"/>
      <c r="N965" s="20"/>
      <c r="O965" s="20"/>
      <c r="P965" s="20"/>
      <c r="Q965" s="20"/>
      <c r="R965" s="20"/>
      <c r="S965" s="20"/>
    </row>
    <row r="966">
      <c r="A966" s="20"/>
      <c r="B966" s="20"/>
      <c r="C966" s="20"/>
      <c r="D966" s="20"/>
      <c r="E966" s="20"/>
      <c r="F966" s="20"/>
      <c r="G966" s="20"/>
      <c r="H966" s="20"/>
      <c r="I966" s="20"/>
      <c r="J966" s="20"/>
      <c r="K966" s="20"/>
      <c r="L966" s="20"/>
      <c r="M966" s="20"/>
      <c r="N966" s="20"/>
      <c r="O966" s="20"/>
      <c r="P966" s="20"/>
      <c r="Q966" s="20"/>
      <c r="R966" s="20"/>
      <c r="S966" s="20"/>
    </row>
    <row r="967">
      <c r="A967" s="20"/>
      <c r="B967" s="20"/>
      <c r="C967" s="20"/>
      <c r="D967" s="20"/>
      <c r="E967" s="20"/>
      <c r="F967" s="20"/>
      <c r="G967" s="20"/>
      <c r="H967" s="20"/>
      <c r="I967" s="20"/>
      <c r="J967" s="20"/>
      <c r="K967" s="20"/>
      <c r="L967" s="20"/>
      <c r="M967" s="20"/>
      <c r="N967" s="20"/>
      <c r="O967" s="20"/>
      <c r="P967" s="20"/>
      <c r="Q967" s="20"/>
      <c r="R967" s="20"/>
      <c r="S967" s="20"/>
    </row>
    <row r="968">
      <c r="A968" s="20"/>
      <c r="B968" s="20"/>
      <c r="C968" s="20"/>
      <c r="D968" s="20"/>
      <c r="E968" s="20"/>
      <c r="F968" s="20"/>
      <c r="G968" s="20"/>
      <c r="H968" s="20"/>
      <c r="I968" s="20"/>
      <c r="J968" s="20"/>
      <c r="K968" s="20"/>
      <c r="L968" s="20"/>
      <c r="M968" s="20"/>
      <c r="N968" s="20"/>
      <c r="O968" s="20"/>
      <c r="P968" s="20"/>
      <c r="Q968" s="20"/>
      <c r="R968" s="20"/>
      <c r="S968" s="20"/>
    </row>
    <row r="969">
      <c r="A969" s="20"/>
      <c r="B969" s="20"/>
      <c r="C969" s="20"/>
      <c r="D969" s="20"/>
      <c r="E969" s="20"/>
      <c r="F969" s="20"/>
      <c r="G969" s="20"/>
      <c r="H969" s="20"/>
      <c r="I969" s="20"/>
      <c r="J969" s="20"/>
      <c r="K969" s="20"/>
      <c r="L969" s="20"/>
      <c r="M969" s="20"/>
      <c r="N969" s="20"/>
      <c r="O969" s="20"/>
      <c r="P969" s="20"/>
      <c r="Q969" s="20"/>
      <c r="R969" s="20"/>
      <c r="S969" s="20"/>
    </row>
    <row r="970">
      <c r="A970" s="20"/>
      <c r="B970" s="20"/>
      <c r="C970" s="20"/>
      <c r="D970" s="20"/>
      <c r="E970" s="20"/>
      <c r="F970" s="20"/>
      <c r="G970" s="20"/>
      <c r="H970" s="20"/>
      <c r="I970" s="20"/>
      <c r="J970" s="20"/>
      <c r="K970" s="20"/>
      <c r="L970" s="20"/>
      <c r="M970" s="20"/>
      <c r="N970" s="20"/>
      <c r="O970" s="20"/>
      <c r="P970" s="20"/>
      <c r="Q970" s="20"/>
      <c r="R970" s="20"/>
      <c r="S970" s="20"/>
    </row>
    <row r="971">
      <c r="A971" s="20"/>
      <c r="B971" s="20"/>
      <c r="C971" s="20"/>
      <c r="D971" s="20"/>
      <c r="E971" s="20"/>
      <c r="F971" s="20"/>
      <c r="G971" s="20"/>
      <c r="H971" s="20"/>
      <c r="I971" s="20"/>
      <c r="J971" s="20"/>
      <c r="K971" s="20"/>
      <c r="L971" s="20"/>
      <c r="M971" s="20"/>
      <c r="N971" s="20"/>
      <c r="O971" s="20"/>
      <c r="P971" s="20"/>
      <c r="Q971" s="20"/>
      <c r="R971" s="20"/>
      <c r="S971" s="20"/>
    </row>
    <row r="972">
      <c r="A972" s="20"/>
      <c r="B972" s="20"/>
      <c r="C972" s="20"/>
      <c r="D972" s="20"/>
      <c r="E972" s="20"/>
      <c r="F972" s="20"/>
      <c r="G972" s="20"/>
      <c r="H972" s="20"/>
      <c r="I972" s="20"/>
      <c r="J972" s="20"/>
      <c r="K972" s="20"/>
      <c r="L972" s="20"/>
      <c r="M972" s="20"/>
      <c r="N972" s="20"/>
      <c r="O972" s="20"/>
      <c r="P972" s="20"/>
      <c r="Q972" s="20"/>
      <c r="R972" s="20"/>
      <c r="S972" s="20"/>
    </row>
    <row r="973">
      <c r="A973" s="20"/>
      <c r="B973" s="20"/>
      <c r="C973" s="20"/>
      <c r="D973" s="20"/>
      <c r="E973" s="20"/>
      <c r="F973" s="20"/>
      <c r="G973" s="20"/>
      <c r="H973" s="20"/>
      <c r="I973" s="20"/>
      <c r="J973" s="20"/>
      <c r="K973" s="20"/>
      <c r="L973" s="20"/>
      <c r="M973" s="20"/>
      <c r="N973" s="20"/>
      <c r="O973" s="20"/>
      <c r="P973" s="20"/>
      <c r="Q973" s="20"/>
      <c r="R973" s="20"/>
      <c r="S973" s="20"/>
    </row>
    <row r="974">
      <c r="A974" s="20"/>
      <c r="B974" s="20"/>
      <c r="C974" s="20"/>
      <c r="D974" s="20"/>
      <c r="E974" s="20"/>
      <c r="F974" s="20"/>
      <c r="G974" s="20"/>
      <c r="H974" s="20"/>
      <c r="I974" s="20"/>
      <c r="J974" s="20"/>
      <c r="K974" s="20"/>
      <c r="L974" s="20"/>
      <c r="M974" s="20"/>
      <c r="N974" s="20"/>
      <c r="O974" s="20"/>
      <c r="P974" s="20"/>
      <c r="Q974" s="20"/>
      <c r="R974" s="20"/>
      <c r="S974" s="20"/>
    </row>
    <row r="975">
      <c r="A975" s="20"/>
      <c r="B975" s="20"/>
      <c r="C975" s="20"/>
      <c r="D975" s="20"/>
      <c r="E975" s="20"/>
      <c r="F975" s="20"/>
      <c r="G975" s="20"/>
      <c r="H975" s="20"/>
      <c r="I975" s="20"/>
      <c r="J975" s="20"/>
      <c r="K975" s="20"/>
      <c r="L975" s="20"/>
      <c r="M975" s="20"/>
      <c r="N975" s="20"/>
      <c r="O975" s="20"/>
      <c r="P975" s="20"/>
      <c r="Q975" s="20"/>
      <c r="R975" s="20"/>
      <c r="S975" s="20"/>
    </row>
    <row r="976">
      <c r="A976" s="20"/>
      <c r="B976" s="20"/>
      <c r="C976" s="20"/>
      <c r="D976" s="20"/>
      <c r="E976" s="20"/>
      <c r="F976" s="20"/>
      <c r="G976" s="20"/>
      <c r="H976" s="20"/>
      <c r="I976" s="20"/>
      <c r="J976" s="20"/>
      <c r="K976" s="20"/>
      <c r="L976" s="20"/>
      <c r="M976" s="20"/>
      <c r="N976" s="20"/>
      <c r="O976" s="20"/>
      <c r="P976" s="20"/>
      <c r="Q976" s="20"/>
      <c r="R976" s="20"/>
      <c r="S976" s="20"/>
    </row>
    <row r="977">
      <c r="A977" s="20"/>
      <c r="B977" s="20"/>
      <c r="C977" s="20"/>
      <c r="D977" s="20"/>
      <c r="E977" s="20"/>
      <c r="F977" s="20"/>
      <c r="G977" s="20"/>
      <c r="H977" s="20"/>
      <c r="I977" s="20"/>
      <c r="J977" s="20"/>
      <c r="K977" s="20"/>
      <c r="L977" s="20"/>
      <c r="M977" s="20"/>
      <c r="N977" s="20"/>
      <c r="O977" s="20"/>
      <c r="P977" s="20"/>
      <c r="Q977" s="20"/>
      <c r="R977" s="20"/>
      <c r="S977" s="20"/>
    </row>
    <row r="978">
      <c r="A978" s="20"/>
      <c r="B978" s="20"/>
      <c r="C978" s="20"/>
      <c r="D978" s="20"/>
      <c r="E978" s="20"/>
      <c r="F978" s="20"/>
      <c r="G978" s="20"/>
      <c r="H978" s="20"/>
      <c r="I978" s="20"/>
      <c r="J978" s="20"/>
      <c r="K978" s="20"/>
      <c r="L978" s="20"/>
      <c r="M978" s="20"/>
      <c r="N978" s="20"/>
      <c r="O978" s="20"/>
      <c r="P978" s="20"/>
      <c r="Q978" s="20"/>
      <c r="R978" s="20"/>
      <c r="S978" s="20"/>
    </row>
    <row r="979">
      <c r="A979" s="20"/>
      <c r="B979" s="20"/>
      <c r="C979" s="20"/>
      <c r="D979" s="20"/>
      <c r="E979" s="20"/>
      <c r="F979" s="20"/>
      <c r="G979" s="20"/>
      <c r="H979" s="20"/>
      <c r="I979" s="20"/>
      <c r="J979" s="20"/>
      <c r="K979" s="20"/>
      <c r="L979" s="20"/>
      <c r="M979" s="20"/>
      <c r="N979" s="20"/>
      <c r="O979" s="20"/>
      <c r="P979" s="20"/>
      <c r="Q979" s="20"/>
      <c r="R979" s="20"/>
      <c r="S979" s="20"/>
    </row>
    <row r="980">
      <c r="A980" s="20"/>
      <c r="B980" s="20"/>
      <c r="C980" s="20"/>
      <c r="D980" s="20"/>
      <c r="E980" s="20"/>
      <c r="F980" s="20"/>
      <c r="G980" s="20"/>
      <c r="H980" s="20"/>
      <c r="I980" s="20"/>
      <c r="J980" s="20"/>
      <c r="K980" s="20"/>
      <c r="L980" s="20"/>
      <c r="M980" s="20"/>
      <c r="N980" s="20"/>
      <c r="O980" s="20"/>
      <c r="P980" s="20"/>
      <c r="Q980" s="20"/>
      <c r="R980" s="20"/>
      <c r="S980" s="20"/>
    </row>
    <row r="981">
      <c r="A981" s="20"/>
      <c r="B981" s="20"/>
      <c r="C981" s="20"/>
      <c r="D981" s="20"/>
      <c r="E981" s="20"/>
      <c r="F981" s="20"/>
      <c r="G981" s="20"/>
      <c r="H981" s="20"/>
      <c r="I981" s="20"/>
      <c r="J981" s="20"/>
      <c r="K981" s="20"/>
      <c r="L981" s="20"/>
      <c r="M981" s="20"/>
      <c r="N981" s="20"/>
      <c r="O981" s="20"/>
      <c r="P981" s="20"/>
      <c r="Q981" s="20"/>
      <c r="R981" s="20"/>
      <c r="S981" s="20"/>
    </row>
    <row r="982">
      <c r="A982" s="20"/>
      <c r="B982" s="20"/>
      <c r="C982" s="20"/>
      <c r="D982" s="20"/>
      <c r="E982" s="20"/>
      <c r="F982" s="20"/>
      <c r="G982" s="20"/>
      <c r="H982" s="20"/>
      <c r="I982" s="20"/>
      <c r="J982" s="20"/>
      <c r="K982" s="20"/>
      <c r="L982" s="20"/>
      <c r="M982" s="20"/>
      <c r="N982" s="20"/>
      <c r="O982" s="20"/>
      <c r="P982" s="20"/>
      <c r="Q982" s="20"/>
      <c r="R982" s="20"/>
      <c r="S982" s="20"/>
    </row>
    <row r="983">
      <c r="A983" s="20"/>
      <c r="B983" s="20"/>
      <c r="C983" s="20"/>
      <c r="D983" s="20"/>
      <c r="E983" s="20"/>
      <c r="F983" s="20"/>
      <c r="G983" s="20"/>
      <c r="H983" s="20"/>
      <c r="I983" s="20"/>
      <c r="J983" s="20"/>
      <c r="K983" s="20"/>
      <c r="L983" s="20"/>
      <c r="M983" s="20"/>
      <c r="N983" s="20"/>
      <c r="O983" s="20"/>
      <c r="P983" s="20"/>
      <c r="Q983" s="20"/>
      <c r="R983" s="20"/>
      <c r="S983" s="20"/>
    </row>
    <row r="984">
      <c r="A984" s="20"/>
      <c r="B984" s="20"/>
      <c r="C984" s="20"/>
      <c r="D984" s="20"/>
      <c r="E984" s="20"/>
      <c r="F984" s="20"/>
      <c r="G984" s="20"/>
      <c r="H984" s="20"/>
      <c r="I984" s="20"/>
      <c r="J984" s="20"/>
      <c r="K984" s="20"/>
      <c r="L984" s="20"/>
      <c r="M984" s="20"/>
      <c r="N984" s="20"/>
      <c r="O984" s="20"/>
      <c r="P984" s="20"/>
      <c r="Q984" s="20"/>
      <c r="R984" s="20"/>
      <c r="S984" s="20"/>
    </row>
    <row r="985">
      <c r="A985" s="20"/>
      <c r="B985" s="20"/>
      <c r="C985" s="20"/>
      <c r="D985" s="20"/>
      <c r="E985" s="20"/>
      <c r="F985" s="20"/>
      <c r="G985" s="20"/>
      <c r="H985" s="20"/>
      <c r="I985" s="20"/>
      <c r="J985" s="20"/>
      <c r="K985" s="20"/>
      <c r="L985" s="20"/>
      <c r="M985" s="20"/>
      <c r="N985" s="20"/>
      <c r="O985" s="20"/>
      <c r="P985" s="20"/>
      <c r="Q985" s="20"/>
      <c r="R985" s="20"/>
      <c r="S985" s="20"/>
    </row>
    <row r="986">
      <c r="A986" s="20"/>
      <c r="B986" s="20"/>
      <c r="C986" s="20"/>
      <c r="D986" s="20"/>
      <c r="E986" s="20"/>
      <c r="F986" s="20"/>
      <c r="G986" s="20"/>
      <c r="H986" s="20"/>
      <c r="I986" s="20"/>
      <c r="J986" s="20"/>
      <c r="K986" s="20"/>
      <c r="L986" s="20"/>
      <c r="M986" s="20"/>
      <c r="N986" s="20"/>
      <c r="O986" s="20"/>
      <c r="P986" s="20"/>
      <c r="Q986" s="20"/>
      <c r="R986" s="20"/>
      <c r="S986" s="20"/>
    </row>
    <row r="987">
      <c r="A987" s="20"/>
      <c r="B987" s="20"/>
      <c r="C987" s="20"/>
      <c r="D987" s="20"/>
      <c r="E987" s="20"/>
      <c r="F987" s="20"/>
      <c r="G987" s="20"/>
      <c r="H987" s="20"/>
      <c r="I987" s="20"/>
      <c r="J987" s="20"/>
      <c r="K987" s="20"/>
      <c r="L987" s="20"/>
      <c r="M987" s="20"/>
      <c r="N987" s="20"/>
      <c r="O987" s="20"/>
      <c r="P987" s="20"/>
      <c r="Q987" s="20"/>
      <c r="R987" s="20"/>
      <c r="S987" s="20"/>
    </row>
    <row r="988">
      <c r="A988" s="20"/>
      <c r="B988" s="20"/>
      <c r="C988" s="20"/>
      <c r="D988" s="20"/>
      <c r="E988" s="20"/>
      <c r="F988" s="20"/>
      <c r="G988" s="20"/>
      <c r="H988" s="20"/>
      <c r="I988" s="20"/>
      <c r="J988" s="20"/>
      <c r="K988" s="20"/>
      <c r="L988" s="20"/>
      <c r="M988" s="20"/>
      <c r="N988" s="20"/>
      <c r="O988" s="20"/>
      <c r="P988" s="20"/>
      <c r="Q988" s="20"/>
      <c r="R988" s="20"/>
      <c r="S988" s="20"/>
    </row>
    <row r="989">
      <c r="A989" s="20"/>
      <c r="B989" s="20"/>
      <c r="C989" s="20"/>
      <c r="D989" s="20"/>
      <c r="E989" s="20"/>
      <c r="F989" s="20"/>
      <c r="G989" s="20"/>
      <c r="H989" s="20"/>
      <c r="I989" s="20"/>
      <c r="J989" s="20"/>
      <c r="K989" s="20"/>
      <c r="L989" s="20"/>
      <c r="M989" s="20"/>
      <c r="N989" s="20"/>
      <c r="O989" s="20"/>
      <c r="P989" s="20"/>
      <c r="Q989" s="20"/>
      <c r="R989" s="20"/>
      <c r="S989" s="20"/>
    </row>
    <row r="990">
      <c r="A990" s="20"/>
      <c r="B990" s="20"/>
      <c r="C990" s="20"/>
      <c r="D990" s="20"/>
      <c r="E990" s="20"/>
      <c r="F990" s="20"/>
      <c r="G990" s="20"/>
      <c r="H990" s="20"/>
      <c r="I990" s="20"/>
      <c r="J990" s="20"/>
      <c r="K990" s="20"/>
      <c r="L990" s="20"/>
      <c r="M990" s="20"/>
      <c r="N990" s="20"/>
      <c r="O990" s="20"/>
      <c r="P990" s="20"/>
      <c r="Q990" s="20"/>
      <c r="R990" s="20"/>
      <c r="S990" s="20"/>
    </row>
    <row r="991">
      <c r="A991" s="20"/>
      <c r="B991" s="20"/>
      <c r="C991" s="20"/>
      <c r="D991" s="20"/>
      <c r="E991" s="20"/>
      <c r="F991" s="20"/>
      <c r="G991" s="20"/>
      <c r="H991" s="20"/>
      <c r="I991" s="20"/>
      <c r="J991" s="20"/>
      <c r="K991" s="20"/>
      <c r="L991" s="20"/>
      <c r="M991" s="20"/>
      <c r="N991" s="20"/>
      <c r="O991" s="20"/>
      <c r="P991" s="20"/>
      <c r="Q991" s="20"/>
      <c r="R991" s="20"/>
      <c r="S991" s="20"/>
    </row>
    <row r="992">
      <c r="A992" s="20"/>
      <c r="B992" s="20"/>
      <c r="C992" s="20"/>
      <c r="D992" s="20"/>
      <c r="E992" s="20"/>
      <c r="F992" s="20"/>
      <c r="G992" s="20"/>
      <c r="H992" s="20"/>
      <c r="I992" s="20"/>
      <c r="J992" s="20"/>
      <c r="K992" s="20"/>
      <c r="L992" s="20"/>
      <c r="M992" s="20"/>
      <c r="N992" s="20"/>
      <c r="O992" s="20"/>
      <c r="P992" s="20"/>
      <c r="Q992" s="20"/>
      <c r="R992" s="20"/>
      <c r="S992" s="20"/>
    </row>
    <row r="993">
      <c r="A993" s="20"/>
      <c r="B993" s="20"/>
      <c r="C993" s="20"/>
      <c r="D993" s="20"/>
      <c r="E993" s="20"/>
      <c r="F993" s="20"/>
      <c r="G993" s="20"/>
      <c r="H993" s="20"/>
      <c r="I993" s="20"/>
      <c r="J993" s="20"/>
      <c r="K993" s="20"/>
      <c r="L993" s="20"/>
      <c r="M993" s="20"/>
      <c r="N993" s="20"/>
      <c r="O993" s="20"/>
      <c r="P993" s="20"/>
      <c r="Q993" s="20"/>
      <c r="R993" s="20"/>
      <c r="S993" s="20"/>
    </row>
    <row r="994">
      <c r="A994" s="20"/>
      <c r="B994" s="20"/>
      <c r="C994" s="20"/>
      <c r="D994" s="20"/>
      <c r="E994" s="20"/>
      <c r="F994" s="20"/>
      <c r="G994" s="20"/>
      <c r="H994" s="20"/>
      <c r="I994" s="20"/>
      <c r="J994" s="20"/>
      <c r="K994" s="20"/>
      <c r="L994" s="20"/>
      <c r="M994" s="20"/>
      <c r="N994" s="20"/>
      <c r="O994" s="20"/>
      <c r="P994" s="20"/>
      <c r="Q994" s="20"/>
      <c r="R994" s="20"/>
      <c r="S994" s="2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0"/>
    <col customWidth="1" min="2" max="2" width="25.13"/>
  </cols>
  <sheetData>
    <row r="1">
      <c r="A1" s="151" t="s">
        <v>276</v>
      </c>
      <c r="B1" s="151" t="s">
        <v>7</v>
      </c>
      <c r="C1" s="151" t="s">
        <v>548</v>
      </c>
      <c r="D1" s="151" t="s">
        <v>660</v>
      </c>
      <c r="E1" s="151" t="s">
        <v>661</v>
      </c>
      <c r="F1" s="151" t="s">
        <v>662</v>
      </c>
      <c r="G1" s="151" t="s">
        <v>663</v>
      </c>
      <c r="H1" s="151" t="s">
        <v>664</v>
      </c>
      <c r="I1" s="151" t="s">
        <v>555</v>
      </c>
      <c r="J1" s="195" t="s">
        <v>665</v>
      </c>
      <c r="K1" s="43"/>
      <c r="L1" s="43"/>
      <c r="M1" s="43"/>
      <c r="N1" s="43"/>
      <c r="O1" s="43"/>
      <c r="P1" s="43"/>
      <c r="Q1" s="43"/>
      <c r="R1" s="43"/>
    </row>
    <row r="2">
      <c r="A2" s="5" t="s">
        <v>279</v>
      </c>
      <c r="B2" s="5" t="s">
        <v>280</v>
      </c>
      <c r="C2" s="5" t="s">
        <v>71</v>
      </c>
      <c r="D2" s="5" t="s">
        <v>108</v>
      </c>
      <c r="E2" s="5" t="s">
        <v>114</v>
      </c>
      <c r="F2" s="5" t="s">
        <v>666</v>
      </c>
      <c r="G2" s="5" t="s">
        <v>667</v>
      </c>
      <c r="H2" s="5" t="s">
        <v>127</v>
      </c>
      <c r="I2" s="5" t="s">
        <v>107</v>
      </c>
      <c r="J2" s="5" t="s">
        <v>668</v>
      </c>
      <c r="K2" s="20"/>
      <c r="L2" s="20"/>
      <c r="M2" s="20"/>
      <c r="N2" s="20"/>
      <c r="O2" s="20"/>
      <c r="P2" s="20"/>
      <c r="Q2" s="20"/>
      <c r="R2" s="20"/>
    </row>
    <row r="3">
      <c r="A3" s="5" t="s">
        <v>281</v>
      </c>
      <c r="B3" s="5" t="s">
        <v>406</v>
      </c>
      <c r="C3" s="5" t="s">
        <v>548</v>
      </c>
      <c r="D3" s="5" t="s">
        <v>550</v>
      </c>
      <c r="E3" s="5" t="s">
        <v>669</v>
      </c>
      <c r="F3" s="5" t="s">
        <v>670</v>
      </c>
      <c r="G3" s="5" t="s">
        <v>671</v>
      </c>
      <c r="H3" s="5" t="s">
        <v>672</v>
      </c>
      <c r="I3" s="5" t="s">
        <v>561</v>
      </c>
      <c r="J3" s="5" t="s">
        <v>673</v>
      </c>
      <c r="K3" s="134"/>
      <c r="L3" s="20"/>
      <c r="M3" s="20"/>
      <c r="N3" s="20"/>
      <c r="O3" s="20"/>
      <c r="P3" s="20"/>
      <c r="Q3" s="20"/>
      <c r="R3" s="20"/>
    </row>
    <row r="4">
      <c r="A4" s="5" t="s">
        <v>285</v>
      </c>
      <c r="B4" s="5" t="s">
        <v>286</v>
      </c>
      <c r="C4" s="5" t="s">
        <v>562</v>
      </c>
      <c r="D4" s="5" t="s">
        <v>564</v>
      </c>
      <c r="E4" s="5" t="s">
        <v>674</v>
      </c>
      <c r="F4" s="5" t="s">
        <v>675</v>
      </c>
      <c r="G4" s="5"/>
      <c r="H4" s="5"/>
      <c r="I4" s="5" t="s">
        <v>676</v>
      </c>
      <c r="J4" s="168"/>
      <c r="K4" s="134"/>
      <c r="L4" s="20"/>
      <c r="M4" s="20"/>
      <c r="N4" s="20"/>
      <c r="O4" s="20"/>
      <c r="P4" s="20"/>
      <c r="Q4" s="20"/>
      <c r="R4" s="20"/>
    </row>
    <row r="5">
      <c r="A5" s="5" t="s">
        <v>289</v>
      </c>
      <c r="B5" s="5" t="s">
        <v>290</v>
      </c>
      <c r="C5" s="5" t="s">
        <v>570</v>
      </c>
      <c r="D5" s="5" t="s">
        <v>677</v>
      </c>
      <c r="E5" s="5"/>
      <c r="F5" s="5" t="s">
        <v>678</v>
      </c>
      <c r="G5" s="5"/>
      <c r="H5" s="5"/>
      <c r="I5" s="5" t="s">
        <v>679</v>
      </c>
      <c r="J5" s="168"/>
      <c r="K5" s="134"/>
      <c r="L5" s="20"/>
      <c r="M5" s="20"/>
      <c r="N5" s="20"/>
      <c r="O5" s="20"/>
      <c r="P5" s="20"/>
      <c r="Q5" s="20"/>
      <c r="R5" s="20"/>
    </row>
    <row r="6">
      <c r="A6" s="152" t="s">
        <v>292</v>
      </c>
      <c r="B6" s="152"/>
      <c r="C6" s="114" t="s">
        <v>578</v>
      </c>
      <c r="D6" s="114" t="s">
        <v>680</v>
      </c>
      <c r="E6" s="114" t="s">
        <v>681</v>
      </c>
      <c r="F6" s="114" t="s">
        <v>682</v>
      </c>
      <c r="G6" s="114" t="s">
        <v>683</v>
      </c>
      <c r="H6" s="114" t="s">
        <v>684</v>
      </c>
      <c r="I6" s="114" t="s">
        <v>582</v>
      </c>
      <c r="J6" s="114" t="s">
        <v>685</v>
      </c>
      <c r="K6" s="161"/>
      <c r="L6" s="161"/>
      <c r="M6" s="161"/>
      <c r="N6" s="161"/>
      <c r="O6" s="161"/>
      <c r="P6" s="161"/>
      <c r="Q6" s="161"/>
      <c r="R6" s="161"/>
      <c r="S6" s="161"/>
      <c r="T6" s="161"/>
      <c r="U6" s="161"/>
      <c r="V6" s="161"/>
      <c r="W6" s="161"/>
      <c r="X6" s="161"/>
      <c r="Y6" s="161"/>
      <c r="Z6" s="163"/>
    </row>
    <row r="7">
      <c r="A7" s="154" t="s">
        <v>295</v>
      </c>
      <c r="B7" s="154"/>
      <c r="C7" s="11" t="s">
        <v>584</v>
      </c>
      <c r="D7" s="11" t="s">
        <v>686</v>
      </c>
      <c r="E7" s="11" t="s">
        <v>687</v>
      </c>
      <c r="F7" s="11" t="s">
        <v>688</v>
      </c>
      <c r="G7" s="11" t="s">
        <v>689</v>
      </c>
      <c r="H7" s="11" t="s">
        <v>690</v>
      </c>
      <c r="I7" s="11" t="s">
        <v>588</v>
      </c>
      <c r="J7" s="11" t="s">
        <v>691</v>
      </c>
      <c r="K7" s="163"/>
      <c r="L7" s="163"/>
      <c r="M7" s="163"/>
      <c r="N7" s="163"/>
      <c r="O7" s="163"/>
      <c r="P7" s="163"/>
      <c r="Q7" s="163"/>
      <c r="R7" s="163"/>
      <c r="S7" s="163"/>
      <c r="T7" s="163"/>
      <c r="U7" s="163"/>
      <c r="V7" s="163"/>
      <c r="W7" s="163"/>
      <c r="X7" s="163"/>
      <c r="Y7" s="163"/>
      <c r="Z7" s="163"/>
    </row>
    <row r="8">
      <c r="A8" s="11" t="s">
        <v>298</v>
      </c>
      <c r="B8" s="154" t="s">
        <v>299</v>
      </c>
      <c r="C8" s="5" t="s">
        <v>590</v>
      </c>
      <c r="D8" s="5" t="s">
        <v>592</v>
      </c>
      <c r="E8" s="5" t="s">
        <v>692</v>
      </c>
      <c r="F8" s="5" t="s">
        <v>693</v>
      </c>
      <c r="G8" s="5" t="s">
        <v>694</v>
      </c>
      <c r="H8" s="11" t="s">
        <v>695</v>
      </c>
      <c r="I8" s="11" t="s">
        <v>596</v>
      </c>
      <c r="J8" s="11" t="s">
        <v>696</v>
      </c>
      <c r="K8" s="164"/>
      <c r="L8" s="164"/>
      <c r="M8" s="20"/>
      <c r="N8" s="20"/>
      <c r="O8" s="20"/>
      <c r="P8" s="20"/>
      <c r="Q8" s="20"/>
      <c r="R8" s="20"/>
      <c r="S8" s="20"/>
      <c r="T8" s="20"/>
      <c r="U8" s="20"/>
      <c r="V8" s="20"/>
      <c r="W8" s="20"/>
      <c r="X8" s="20"/>
      <c r="Y8" s="20"/>
      <c r="Z8" s="20"/>
    </row>
    <row r="9">
      <c r="A9" s="11" t="s">
        <v>302</v>
      </c>
      <c r="B9" s="154"/>
      <c r="C9" s="5" t="s">
        <v>597</v>
      </c>
      <c r="D9" s="5" t="s">
        <v>697</v>
      </c>
      <c r="E9" s="69" t="s">
        <v>698</v>
      </c>
      <c r="F9" s="5" t="s">
        <v>699</v>
      </c>
      <c r="G9" s="5" t="s">
        <v>700</v>
      </c>
      <c r="H9" s="5" t="s">
        <v>701</v>
      </c>
      <c r="I9" s="20" t="s">
        <v>702</v>
      </c>
      <c r="J9" s="20" t="s">
        <v>703</v>
      </c>
      <c r="K9" s="20"/>
      <c r="L9" s="20"/>
      <c r="M9" s="20"/>
      <c r="N9" s="20"/>
      <c r="O9" s="20"/>
      <c r="P9" s="20"/>
      <c r="Q9" s="20"/>
      <c r="R9" s="20"/>
      <c r="S9" s="20"/>
      <c r="T9" s="20"/>
    </row>
    <row r="10">
      <c r="A10" s="154" t="s">
        <v>305</v>
      </c>
      <c r="B10" s="154" t="s">
        <v>306</v>
      </c>
      <c r="C10" s="165">
        <v>0.001</v>
      </c>
      <c r="D10" s="196">
        <f>(0.3*1/(0.3/2.7+0.7/1)/10^3)</f>
        <v>0.0003698630137</v>
      </c>
      <c r="E10" s="183">
        <f t="shared" ref="E10:F10" si="1">0.6/(0.6/2.7+0.4/1)/1000</f>
        <v>0.0009642857143</v>
      </c>
      <c r="F10" s="183">
        <f t="shared" si="1"/>
        <v>0.0009642857143</v>
      </c>
      <c r="G10" s="196">
        <f>0.8/G18/1000</f>
        <v>0.0005</v>
      </c>
      <c r="H10" s="183">
        <f>0.2/(0.2/2.7+0.8/1)*(0.8/(0.8+0.265+0.15))/1000</f>
        <v>0.0001506591337</v>
      </c>
      <c r="I10" s="183">
        <f t="shared" ref="I10:J10" si="2">0.2/(0.2/2.7+0.8/1)/1000</f>
        <v>0.0002288135593</v>
      </c>
      <c r="J10" s="183">
        <f t="shared" si="2"/>
        <v>0.0002288135593</v>
      </c>
      <c r="K10" s="163"/>
      <c r="L10" s="163"/>
      <c r="M10" s="163"/>
      <c r="N10" s="163"/>
      <c r="O10" s="163"/>
      <c r="P10" s="163"/>
      <c r="Q10" s="163"/>
      <c r="R10" s="163"/>
      <c r="S10" s="163"/>
      <c r="T10" s="163"/>
      <c r="U10" s="163"/>
      <c r="V10" s="163"/>
      <c r="W10" s="163"/>
      <c r="X10" s="163"/>
      <c r="Y10" s="163"/>
      <c r="Z10" s="20"/>
    </row>
    <row r="11">
      <c r="A11" s="156" t="s">
        <v>307</v>
      </c>
      <c r="B11" s="156" t="s">
        <v>308</v>
      </c>
      <c r="C11" s="107" t="s">
        <v>419</v>
      </c>
      <c r="D11" s="107" t="s">
        <v>419</v>
      </c>
      <c r="E11" s="107" t="s">
        <v>704</v>
      </c>
      <c r="F11" s="107" t="s">
        <v>704</v>
      </c>
      <c r="G11" s="107" t="s">
        <v>705</v>
      </c>
      <c r="H11" s="107" t="s">
        <v>706</v>
      </c>
      <c r="I11" s="107" t="s">
        <v>706</v>
      </c>
      <c r="J11" s="107" t="s">
        <v>706</v>
      </c>
      <c r="K11" s="167"/>
      <c r="L11" s="167"/>
      <c r="M11" s="167"/>
      <c r="N11" s="167"/>
      <c r="O11" s="167"/>
      <c r="P11" s="167"/>
      <c r="Q11" s="167"/>
      <c r="R11" s="167"/>
      <c r="S11" s="167"/>
      <c r="T11" s="167"/>
      <c r="U11" s="167"/>
      <c r="V11" s="167"/>
      <c r="W11" s="167"/>
      <c r="X11" s="167"/>
      <c r="Y11" s="167"/>
      <c r="Z11" s="20"/>
    </row>
    <row r="12">
      <c r="A12" s="154" t="s">
        <v>311</v>
      </c>
      <c r="B12" s="154" t="s">
        <v>312</v>
      </c>
      <c r="C12" s="5" t="s">
        <v>590</v>
      </c>
      <c r="D12" s="5" t="s">
        <v>313</v>
      </c>
      <c r="E12" s="5" t="s">
        <v>692</v>
      </c>
      <c r="F12" s="5" t="s">
        <v>693</v>
      </c>
      <c r="G12" s="5" t="s">
        <v>694</v>
      </c>
      <c r="H12" s="5" t="s">
        <v>313</v>
      </c>
      <c r="I12" s="5" t="s">
        <v>596</v>
      </c>
      <c r="J12" s="5" t="s">
        <v>696</v>
      </c>
      <c r="K12" s="20"/>
      <c r="L12" s="20"/>
      <c r="M12" s="20"/>
      <c r="N12" s="20"/>
      <c r="O12" s="20"/>
      <c r="P12" s="20"/>
      <c r="Q12" s="20"/>
      <c r="R12" s="20"/>
    </row>
    <row r="13">
      <c r="A13" s="154" t="s">
        <v>314</v>
      </c>
      <c r="B13" s="154" t="s">
        <v>315</v>
      </c>
      <c r="C13" s="5" t="s">
        <v>422</v>
      </c>
      <c r="D13" s="5" t="s">
        <v>707</v>
      </c>
      <c r="E13" s="5" t="s">
        <v>698</v>
      </c>
      <c r="F13" s="5" t="s">
        <v>699</v>
      </c>
      <c r="G13" s="5" t="s">
        <v>700</v>
      </c>
      <c r="H13" s="5" t="s">
        <v>707</v>
      </c>
      <c r="I13" s="20" t="s">
        <v>702</v>
      </c>
      <c r="J13" s="20" t="s">
        <v>703</v>
      </c>
      <c r="K13" s="20"/>
      <c r="L13" s="20"/>
      <c r="M13" s="20"/>
      <c r="N13" s="20"/>
      <c r="O13" s="20"/>
      <c r="P13" s="20"/>
      <c r="Q13" s="20"/>
      <c r="R13" s="20"/>
    </row>
    <row r="14">
      <c r="A14" s="154" t="s">
        <v>317</v>
      </c>
      <c r="B14" s="154" t="s">
        <v>318</v>
      </c>
      <c r="C14" s="5" t="str">
        <f>C43</f>
        <v>crushed_ore</v>
      </c>
      <c r="D14" s="5" t="s">
        <v>313</v>
      </c>
      <c r="E14" s="5" t="s">
        <v>708</v>
      </c>
      <c r="F14" s="5" t="s">
        <v>709</v>
      </c>
      <c r="G14" s="5" t="s">
        <v>710</v>
      </c>
      <c r="H14" s="5" t="s">
        <v>313</v>
      </c>
      <c r="I14" s="5" t="s">
        <v>617</v>
      </c>
      <c r="J14" s="5" t="s">
        <v>528</v>
      </c>
      <c r="K14" s="20"/>
      <c r="L14" s="20"/>
      <c r="M14" s="20"/>
      <c r="N14" s="20"/>
      <c r="O14" s="20"/>
      <c r="P14" s="20"/>
      <c r="Q14" s="20"/>
      <c r="R14" s="20"/>
    </row>
    <row r="15">
      <c r="A15" s="156" t="s">
        <v>320</v>
      </c>
      <c r="B15" s="156" t="s">
        <v>321</v>
      </c>
      <c r="C15" s="5" t="str">
        <f>C47</f>
        <v>tonnes crushed ore</v>
      </c>
      <c r="D15" s="5" t="s">
        <v>711</v>
      </c>
      <c r="E15" s="5" t="str">
        <f t="shared" ref="E15:G15" si="3">E47</f>
        <v>m^3 ground slurry (60wt%)</v>
      </c>
      <c r="F15" s="5" t="str">
        <f t="shared" si="3"/>
        <v>tonnes (80wt% solids cake to be dried, roasted, and cooled)</v>
      </c>
      <c r="G15" s="5" t="str">
        <f t="shared" si="3"/>
        <v>tonnes roasted sulfated ore mix</v>
      </c>
      <c r="H15" s="5" t="s">
        <v>711</v>
      </c>
      <c r="I15" s="5" t="str">
        <f t="shared" ref="I15:J15" si="4">I47</f>
        <v>m^3 pregant leach solution to be clarified</v>
      </c>
      <c r="J15" s="5" t="str">
        <f t="shared" si="4"/>
        <v>L clarified PLS</v>
      </c>
      <c r="K15" s="104"/>
      <c r="L15" s="104"/>
      <c r="M15" s="104"/>
      <c r="N15" s="104"/>
      <c r="O15" s="104"/>
      <c r="P15" s="104"/>
      <c r="Q15" s="104"/>
      <c r="R15" s="104"/>
    </row>
    <row r="16">
      <c r="A16" s="109" t="s">
        <v>323</v>
      </c>
      <c r="B16" s="109"/>
      <c r="C16" s="109" t="s">
        <v>424</v>
      </c>
      <c r="D16" s="109" t="s">
        <v>623</v>
      </c>
      <c r="E16" s="109" t="s">
        <v>625</v>
      </c>
      <c r="F16" s="109" t="s">
        <v>708</v>
      </c>
      <c r="G16" s="109" t="s">
        <v>709</v>
      </c>
      <c r="H16" s="109" t="s">
        <v>710</v>
      </c>
      <c r="I16" s="109" t="s">
        <v>712</v>
      </c>
      <c r="J16" s="109" t="s">
        <v>617</v>
      </c>
      <c r="K16" s="111"/>
      <c r="L16" s="111"/>
      <c r="M16" s="111"/>
      <c r="N16" s="111"/>
      <c r="O16" s="111"/>
      <c r="P16" s="111"/>
      <c r="Q16" s="111"/>
      <c r="R16" s="111"/>
    </row>
    <row r="17">
      <c r="A17" s="11" t="s">
        <v>325</v>
      </c>
      <c r="B17" s="11" t="s">
        <v>326</v>
      </c>
      <c r="C17" s="5" t="s">
        <v>713</v>
      </c>
      <c r="D17" s="5" t="s">
        <v>597</v>
      </c>
      <c r="E17" s="5" t="s">
        <v>698</v>
      </c>
      <c r="F17" s="5" t="s">
        <v>714</v>
      </c>
      <c r="G17" s="5" t="s">
        <v>715</v>
      </c>
      <c r="H17" s="5" t="s">
        <v>716</v>
      </c>
      <c r="I17" s="5" t="s">
        <v>717</v>
      </c>
      <c r="J17" s="5" t="s">
        <v>718</v>
      </c>
    </row>
    <row r="18">
      <c r="A18" s="5" t="s">
        <v>328</v>
      </c>
      <c r="B18" s="5" t="s">
        <v>329</v>
      </c>
      <c r="C18" s="71">
        <v>2.7</v>
      </c>
      <c r="D18" s="197">
        <f>1/(0.3*1/(0.3/2.7+0.7/1))</f>
        <v>2.703703704</v>
      </c>
      <c r="E18" s="169">
        <v>1.0</v>
      </c>
      <c r="F18" s="169">
        <v>1.0</v>
      </c>
      <c r="G18" s="71">
        <f>0.8*(1+0.5+0.15+0.1)+0.2</f>
        <v>1.6</v>
      </c>
      <c r="H18" s="198">
        <f>1/(0.2*1/(0.2/2.7+0.8/1))</f>
        <v>4.37037037</v>
      </c>
      <c r="I18" s="71">
        <v>1.0</v>
      </c>
      <c r="J18" s="71">
        <v>1.0</v>
      </c>
      <c r="K18" s="20"/>
      <c r="L18" s="20"/>
      <c r="M18" s="20"/>
      <c r="N18" s="20"/>
      <c r="O18" s="20"/>
      <c r="P18" s="20"/>
      <c r="Q18" s="20"/>
      <c r="R18" s="20"/>
    </row>
    <row r="19">
      <c r="A19" s="5" t="s">
        <v>330</v>
      </c>
      <c r="B19" s="5" t="s">
        <v>331</v>
      </c>
      <c r="C19" s="5" t="s">
        <v>313</v>
      </c>
      <c r="D19" s="5" t="s">
        <v>313</v>
      </c>
      <c r="E19" s="5" t="s">
        <v>313</v>
      </c>
      <c r="F19" s="5" t="s">
        <v>313</v>
      </c>
      <c r="G19" s="5" t="s">
        <v>313</v>
      </c>
      <c r="H19" s="5" t="s">
        <v>313</v>
      </c>
      <c r="I19" s="5" t="s">
        <v>313</v>
      </c>
      <c r="J19" s="5" t="s">
        <v>313</v>
      </c>
      <c r="K19" s="20"/>
      <c r="L19" s="20"/>
      <c r="M19" s="20"/>
      <c r="N19" s="20"/>
      <c r="O19" s="20"/>
      <c r="P19" s="20"/>
      <c r="Q19" s="20"/>
      <c r="R19" s="20"/>
    </row>
    <row r="20">
      <c r="A20" s="5" t="s">
        <v>334</v>
      </c>
      <c r="B20" s="5" t="s">
        <v>335</v>
      </c>
      <c r="C20" s="5"/>
      <c r="D20" s="5"/>
      <c r="E20" s="5"/>
      <c r="F20" s="5"/>
      <c r="G20" s="5"/>
      <c r="H20" s="5"/>
      <c r="I20" s="5"/>
      <c r="J20" s="20"/>
      <c r="K20" s="20"/>
      <c r="L20" s="20"/>
      <c r="M20" s="20"/>
      <c r="N20" s="20"/>
      <c r="O20" s="20"/>
      <c r="P20" s="20"/>
      <c r="Q20" s="20"/>
      <c r="R20" s="20"/>
    </row>
    <row r="21">
      <c r="A21" s="5" t="s">
        <v>336</v>
      </c>
      <c r="B21" s="5" t="s">
        <v>337</v>
      </c>
      <c r="C21" s="154" t="s">
        <v>506</v>
      </c>
      <c r="D21" s="11" t="s">
        <v>719</v>
      </c>
      <c r="E21" s="5" t="s">
        <v>506</v>
      </c>
      <c r="F21" s="5" t="s">
        <v>506</v>
      </c>
      <c r="G21" s="5" t="s">
        <v>506</v>
      </c>
      <c r="H21" s="5" t="s">
        <v>506</v>
      </c>
      <c r="I21" s="5" t="s">
        <v>506</v>
      </c>
      <c r="J21" s="5" t="s">
        <v>506</v>
      </c>
      <c r="K21" s="20"/>
      <c r="L21" s="20"/>
      <c r="M21" s="20"/>
      <c r="N21" s="20"/>
      <c r="O21" s="20"/>
      <c r="P21" s="20"/>
      <c r="Q21" s="20"/>
      <c r="R21" s="20"/>
    </row>
    <row r="22">
      <c r="A22" s="5" t="s">
        <v>339</v>
      </c>
      <c r="B22" s="5" t="s">
        <v>340</v>
      </c>
      <c r="C22" s="71">
        <f>1/1000*C18</f>
        <v>0.0027</v>
      </c>
      <c r="D22" s="71">
        <v>0.001</v>
      </c>
      <c r="E22" s="183">
        <f t="shared" ref="E22:F22" si="5">0.6/(0.6/2.7+0.4/1)/1000</f>
        <v>0.0009642857143</v>
      </c>
      <c r="F22" s="183">
        <f t="shared" si="5"/>
        <v>0.0009642857143</v>
      </c>
      <c r="G22" s="71">
        <f>0.8/10^3</f>
        <v>0.0008</v>
      </c>
      <c r="H22" s="183">
        <f>0.8/(0.8*(1+0.5+0.15))/10^3</f>
        <v>0.0006060606061</v>
      </c>
      <c r="I22" s="183">
        <f t="shared" ref="I22:J22" si="6">0.2/(0.2/2.7+0.8/1)/1000</f>
        <v>0.0002288135593</v>
      </c>
      <c r="J22" s="183">
        <f t="shared" si="6"/>
        <v>0.0002288135593</v>
      </c>
      <c r="K22" s="20"/>
      <c r="L22" s="20"/>
      <c r="M22" s="20"/>
      <c r="N22" s="20"/>
      <c r="O22" s="20"/>
      <c r="P22" s="20"/>
      <c r="Q22" s="20"/>
      <c r="R22" s="20"/>
      <c r="S22" s="20"/>
      <c r="T22" s="20"/>
      <c r="U22" s="20"/>
      <c r="V22" s="20"/>
      <c r="W22" s="20"/>
      <c r="X22" s="20"/>
      <c r="Y22" s="20"/>
    </row>
    <row r="23">
      <c r="A23" s="5" t="s">
        <v>341</v>
      </c>
      <c r="B23" s="5" t="s">
        <v>342</v>
      </c>
      <c r="C23" s="5" t="s">
        <v>419</v>
      </c>
      <c r="D23" s="5" t="s">
        <v>419</v>
      </c>
      <c r="E23" s="5" t="s">
        <v>704</v>
      </c>
      <c r="F23" s="5" t="s">
        <v>704</v>
      </c>
      <c r="G23" s="5" t="s">
        <v>720</v>
      </c>
      <c r="H23" s="5" t="s">
        <v>721</v>
      </c>
      <c r="I23" s="5" t="s">
        <v>706</v>
      </c>
      <c r="J23" s="5" t="s">
        <v>706</v>
      </c>
      <c r="K23" s="20"/>
      <c r="L23" s="20"/>
      <c r="M23" s="20"/>
      <c r="N23" s="20"/>
      <c r="O23" s="20"/>
      <c r="P23" s="20"/>
      <c r="Q23" s="20"/>
      <c r="R23" s="20"/>
      <c r="S23" s="20"/>
      <c r="T23" s="20"/>
      <c r="U23" s="20"/>
      <c r="V23" s="20"/>
      <c r="W23" s="20"/>
      <c r="X23" s="20"/>
      <c r="Y23" s="20"/>
    </row>
    <row r="24">
      <c r="A24" s="102" t="s">
        <v>343</v>
      </c>
      <c r="B24" s="102" t="s">
        <v>344</v>
      </c>
      <c r="C24" s="102" t="b">
        <v>0</v>
      </c>
      <c r="D24" s="102" t="b">
        <v>1</v>
      </c>
      <c r="E24" s="102" t="b">
        <v>1</v>
      </c>
      <c r="F24" s="102" t="b">
        <v>1</v>
      </c>
      <c r="G24" s="102" t="b">
        <v>1</v>
      </c>
      <c r="H24" s="102" t="b">
        <v>1</v>
      </c>
      <c r="I24" s="102" t="b">
        <v>1</v>
      </c>
      <c r="J24" s="102" t="b">
        <v>1</v>
      </c>
      <c r="K24" s="104"/>
      <c r="L24" s="104"/>
      <c r="M24" s="104"/>
      <c r="N24" s="104"/>
      <c r="O24" s="104"/>
      <c r="P24" s="104"/>
      <c r="Q24" s="104"/>
      <c r="R24" s="104"/>
    </row>
    <row r="25">
      <c r="A25" s="109" t="s">
        <v>345</v>
      </c>
      <c r="B25" s="109" t="s">
        <v>346</v>
      </c>
      <c r="C25" s="109"/>
      <c r="D25" s="109" t="s">
        <v>644</v>
      </c>
      <c r="E25" s="109"/>
      <c r="F25" s="109"/>
      <c r="G25" s="109" t="s">
        <v>722</v>
      </c>
      <c r="H25" s="109" t="s">
        <v>644</v>
      </c>
      <c r="I25" s="109" t="s">
        <v>723</v>
      </c>
      <c r="J25" s="109" t="s">
        <v>630</v>
      </c>
      <c r="K25" s="111"/>
      <c r="L25" s="111"/>
      <c r="M25" s="111"/>
      <c r="N25" s="111"/>
      <c r="O25" s="111"/>
      <c r="P25" s="111"/>
      <c r="Q25" s="111"/>
      <c r="R25" s="111"/>
    </row>
    <row r="26">
      <c r="A26" s="5" t="s">
        <v>347</v>
      </c>
      <c r="B26" s="5" t="s">
        <v>348</v>
      </c>
      <c r="C26" s="5"/>
      <c r="D26" s="5" t="s">
        <v>724</v>
      </c>
      <c r="E26" s="5"/>
      <c r="F26" s="5"/>
      <c r="G26" s="5" t="s">
        <v>725</v>
      </c>
      <c r="H26" s="5" t="s">
        <v>726</v>
      </c>
      <c r="I26" s="5" t="s">
        <v>727</v>
      </c>
      <c r="J26" s="5" t="s">
        <v>637</v>
      </c>
      <c r="K26" s="20"/>
      <c r="L26" s="20"/>
      <c r="M26" s="20"/>
      <c r="N26" s="20"/>
      <c r="O26" s="20"/>
      <c r="P26" s="20"/>
      <c r="Q26" s="20"/>
      <c r="R26" s="20"/>
    </row>
    <row r="27">
      <c r="A27" s="5" t="s">
        <v>349</v>
      </c>
      <c r="B27" s="20"/>
      <c r="C27" s="5"/>
      <c r="D27" s="5" t="s">
        <v>592</v>
      </c>
      <c r="E27" s="168"/>
      <c r="F27" s="168"/>
      <c r="G27" s="5" t="s">
        <v>694</v>
      </c>
      <c r="H27" s="5" t="s">
        <v>695</v>
      </c>
      <c r="I27" s="5" t="s">
        <v>596</v>
      </c>
      <c r="J27" s="5" t="s">
        <v>696</v>
      </c>
      <c r="K27" s="20"/>
      <c r="L27" s="20"/>
      <c r="M27" s="20"/>
      <c r="N27" s="20"/>
      <c r="O27" s="20"/>
      <c r="P27" s="20"/>
      <c r="Q27" s="20"/>
      <c r="R27" s="20"/>
    </row>
    <row r="28">
      <c r="A28" s="5" t="s">
        <v>350</v>
      </c>
      <c r="B28" s="5" t="s">
        <v>351</v>
      </c>
      <c r="C28" s="158"/>
      <c r="D28" s="169">
        <f>0.7*1/(0.3/2.7+0.7)</f>
        <v>0.8630136986</v>
      </c>
      <c r="E28" s="168"/>
      <c r="F28" s="168"/>
      <c r="G28" s="180">
        <f>0.5*0.8/G18*1000</f>
        <v>250</v>
      </c>
      <c r="H28" s="192">
        <f>0.8*1/(0.2/2.7+0.8)</f>
        <v>0.9152542373</v>
      </c>
      <c r="I28" s="176">
        <v>4.0</v>
      </c>
      <c r="J28" s="199">
        <v>0.005</v>
      </c>
      <c r="K28" s="20"/>
      <c r="L28" s="20"/>
      <c r="M28" s="20"/>
      <c r="N28" s="20"/>
      <c r="O28" s="20"/>
      <c r="P28" s="20"/>
      <c r="Q28" s="20"/>
      <c r="R28" s="20"/>
    </row>
    <row r="29">
      <c r="A29" s="5" t="s">
        <v>352</v>
      </c>
      <c r="B29" s="5" t="s">
        <v>353</v>
      </c>
      <c r="C29" s="5"/>
      <c r="D29" s="5">
        <v>0.0</v>
      </c>
      <c r="E29" s="168"/>
      <c r="F29" s="168"/>
      <c r="G29" s="5">
        <v>0.0</v>
      </c>
      <c r="H29" s="5">
        <v>0.0</v>
      </c>
      <c r="I29" s="5">
        <v>0.0</v>
      </c>
      <c r="J29" s="5">
        <v>0.0</v>
      </c>
      <c r="K29" s="20"/>
      <c r="L29" s="20"/>
      <c r="M29" s="20"/>
      <c r="N29" s="20"/>
      <c r="O29" s="20"/>
      <c r="P29" s="20"/>
      <c r="Q29" s="20"/>
      <c r="R29" s="20"/>
    </row>
    <row r="30">
      <c r="A30" s="5" t="s">
        <v>354</v>
      </c>
      <c r="B30" s="20"/>
      <c r="C30" s="5"/>
      <c r="D30" s="5" t="s">
        <v>728</v>
      </c>
      <c r="E30" s="168"/>
      <c r="F30" s="168"/>
      <c r="G30" s="5" t="s">
        <v>729</v>
      </c>
      <c r="H30" s="5" t="s">
        <v>728</v>
      </c>
      <c r="I30" s="5" t="s">
        <v>730</v>
      </c>
      <c r="J30" s="96" t="s">
        <v>639</v>
      </c>
      <c r="K30" s="20"/>
      <c r="L30" s="20"/>
      <c r="M30" s="20"/>
      <c r="N30" s="20"/>
      <c r="O30" s="20"/>
      <c r="P30" s="20"/>
      <c r="Q30" s="20"/>
      <c r="R30" s="20"/>
    </row>
    <row r="31">
      <c r="A31" s="5" t="s">
        <v>355</v>
      </c>
      <c r="B31" s="5" t="s">
        <v>346</v>
      </c>
      <c r="C31" s="6"/>
      <c r="D31" s="5" t="s">
        <v>731</v>
      </c>
      <c r="E31" s="168"/>
      <c r="F31" s="168"/>
      <c r="G31" s="5" t="s">
        <v>468</v>
      </c>
      <c r="H31" s="6"/>
      <c r="I31" s="5" t="s">
        <v>630</v>
      </c>
      <c r="J31" s="20"/>
      <c r="K31" s="20"/>
      <c r="L31" s="20"/>
      <c r="M31" s="20"/>
      <c r="N31" s="20"/>
      <c r="O31" s="20"/>
      <c r="P31" s="20"/>
      <c r="Q31" s="20"/>
      <c r="R31" s="20"/>
    </row>
    <row r="32">
      <c r="A32" s="5" t="s">
        <v>356</v>
      </c>
      <c r="B32" s="5" t="s">
        <v>348</v>
      </c>
      <c r="C32" s="6"/>
      <c r="D32" s="5" t="s">
        <v>732</v>
      </c>
      <c r="E32" s="5"/>
      <c r="F32" s="5"/>
      <c r="G32" s="5" t="s">
        <v>733</v>
      </c>
      <c r="H32" s="6"/>
      <c r="I32" s="5" t="s">
        <v>637</v>
      </c>
      <c r="J32" s="20"/>
      <c r="K32" s="20"/>
      <c r="L32" s="20"/>
      <c r="M32" s="20"/>
      <c r="N32" s="20"/>
      <c r="O32" s="20"/>
      <c r="P32" s="20"/>
      <c r="Q32" s="20"/>
      <c r="R32" s="20"/>
    </row>
    <row r="33">
      <c r="A33" s="5" t="s">
        <v>357</v>
      </c>
      <c r="B33" s="20"/>
      <c r="C33" s="5"/>
      <c r="D33" s="5" t="s">
        <v>592</v>
      </c>
      <c r="E33" s="5"/>
      <c r="F33" s="5"/>
      <c r="G33" s="5" t="s">
        <v>694</v>
      </c>
      <c r="H33" s="5"/>
      <c r="I33" s="5" t="s">
        <v>596</v>
      </c>
      <c r="J33" s="20"/>
      <c r="K33" s="20"/>
      <c r="L33" s="20"/>
      <c r="M33" s="20"/>
      <c r="N33" s="20"/>
      <c r="O33" s="20"/>
      <c r="P33" s="20"/>
      <c r="Q33" s="20"/>
      <c r="R33" s="20"/>
    </row>
    <row r="34">
      <c r="A34" s="5" t="s">
        <v>358</v>
      </c>
      <c r="B34" s="5" t="s">
        <v>351</v>
      </c>
      <c r="C34" s="20"/>
      <c r="D34" s="96">
        <v>0.1</v>
      </c>
      <c r="E34" s="5"/>
      <c r="F34" s="5"/>
      <c r="G34" s="180">
        <f>0.15*0.8/G18*1000</f>
        <v>75</v>
      </c>
      <c r="H34" s="20"/>
      <c r="I34" s="199">
        <v>0.005</v>
      </c>
      <c r="J34" s="20"/>
      <c r="K34" s="20"/>
      <c r="L34" s="20"/>
      <c r="M34" s="20"/>
      <c r="N34" s="20"/>
      <c r="O34" s="20"/>
      <c r="P34" s="20"/>
      <c r="Q34" s="20"/>
      <c r="R34" s="20"/>
    </row>
    <row r="35">
      <c r="A35" s="5" t="s">
        <v>359</v>
      </c>
      <c r="B35" s="5" t="s">
        <v>353</v>
      </c>
      <c r="C35" s="20"/>
      <c r="D35" s="5">
        <v>0.0</v>
      </c>
      <c r="E35" s="5"/>
      <c r="F35" s="5"/>
      <c r="G35" s="5">
        <v>0.0</v>
      </c>
      <c r="H35" s="20"/>
      <c r="I35" s="5">
        <v>0.0</v>
      </c>
      <c r="J35" s="20"/>
      <c r="K35" s="20"/>
      <c r="L35" s="20"/>
      <c r="M35" s="20"/>
      <c r="N35" s="20"/>
      <c r="O35" s="20"/>
      <c r="P35" s="20"/>
      <c r="Q35" s="20"/>
      <c r="R35" s="20"/>
    </row>
    <row r="36">
      <c r="A36" s="5" t="s">
        <v>360</v>
      </c>
      <c r="B36" s="20"/>
      <c r="C36" s="20"/>
      <c r="D36" s="5" t="s">
        <v>734</v>
      </c>
      <c r="E36" s="5"/>
      <c r="F36" s="5"/>
      <c r="G36" s="5" t="s">
        <v>729</v>
      </c>
      <c r="H36" s="20"/>
      <c r="I36" s="5" t="s">
        <v>639</v>
      </c>
      <c r="J36" s="20"/>
      <c r="K36" s="20"/>
      <c r="L36" s="20"/>
      <c r="M36" s="20"/>
      <c r="N36" s="20"/>
      <c r="O36" s="20"/>
      <c r="P36" s="20"/>
      <c r="Q36" s="20"/>
      <c r="R36" s="20"/>
    </row>
    <row r="37">
      <c r="A37" s="5" t="s">
        <v>361</v>
      </c>
      <c r="B37" s="5" t="s">
        <v>346</v>
      </c>
      <c r="C37" s="20"/>
      <c r="D37" s="5" t="s">
        <v>735</v>
      </c>
      <c r="E37" s="20"/>
      <c r="F37" s="20"/>
      <c r="G37" s="5" t="s">
        <v>736</v>
      </c>
      <c r="H37" s="20"/>
      <c r="I37" s="5" t="s">
        <v>631</v>
      </c>
      <c r="J37" s="20"/>
      <c r="K37" s="20"/>
      <c r="L37" s="20"/>
      <c r="M37" s="20"/>
      <c r="N37" s="20"/>
      <c r="O37" s="20"/>
      <c r="P37" s="20"/>
      <c r="Q37" s="20"/>
      <c r="R37" s="20"/>
    </row>
    <row r="38">
      <c r="A38" s="5" t="s">
        <v>362</v>
      </c>
      <c r="B38" s="5" t="s">
        <v>348</v>
      </c>
      <c r="C38" s="20"/>
      <c r="D38" s="5" t="s">
        <v>737</v>
      </c>
      <c r="E38" s="20"/>
      <c r="F38" s="20"/>
      <c r="G38" s="5" t="s">
        <v>738</v>
      </c>
      <c r="H38" s="20"/>
      <c r="I38" s="5" t="s">
        <v>739</v>
      </c>
      <c r="J38" s="20"/>
      <c r="K38" s="20"/>
      <c r="L38" s="20"/>
      <c r="M38" s="20"/>
      <c r="N38" s="20"/>
      <c r="O38" s="20"/>
      <c r="P38" s="20"/>
      <c r="Q38" s="20"/>
      <c r="R38" s="20"/>
    </row>
    <row r="39">
      <c r="A39" s="5" t="s">
        <v>363</v>
      </c>
      <c r="B39" s="20"/>
      <c r="C39" s="20"/>
      <c r="D39" s="5" t="s">
        <v>592</v>
      </c>
      <c r="E39" s="20"/>
      <c r="F39" s="20"/>
      <c r="G39" s="5" t="s">
        <v>694</v>
      </c>
      <c r="H39" s="20"/>
      <c r="I39" s="5" t="s">
        <v>596</v>
      </c>
      <c r="J39" s="20"/>
      <c r="K39" s="20"/>
      <c r="L39" s="20"/>
      <c r="M39" s="20"/>
      <c r="N39" s="20"/>
      <c r="O39" s="20"/>
      <c r="P39" s="20"/>
      <c r="Q39" s="20"/>
      <c r="R39" s="20"/>
    </row>
    <row r="40">
      <c r="A40" s="5" t="s">
        <v>364</v>
      </c>
      <c r="B40" s="5" t="s">
        <v>351</v>
      </c>
      <c r="C40" s="20"/>
      <c r="D40" s="96">
        <v>0.12</v>
      </c>
      <c r="E40" s="20"/>
      <c r="F40" s="20"/>
      <c r="G40" s="180">
        <f>0.1*0.8/G18*1000</f>
        <v>50</v>
      </c>
      <c r="H40" s="20"/>
      <c r="I40" s="69">
        <v>1.0</v>
      </c>
      <c r="J40" s="20"/>
      <c r="K40" s="20"/>
      <c r="L40" s="20"/>
      <c r="M40" s="20"/>
      <c r="N40" s="20"/>
      <c r="O40" s="20"/>
      <c r="P40" s="20"/>
      <c r="Q40" s="20"/>
      <c r="R40" s="20"/>
    </row>
    <row r="41">
      <c r="A41" s="5" t="s">
        <v>365</v>
      </c>
      <c r="B41" s="5" t="s">
        <v>353</v>
      </c>
      <c r="C41" s="20"/>
      <c r="D41" s="5">
        <v>0.0</v>
      </c>
      <c r="E41" s="20"/>
      <c r="F41" s="20"/>
      <c r="G41" s="5">
        <v>0.0</v>
      </c>
      <c r="H41" s="20"/>
      <c r="I41" s="5">
        <v>0.0</v>
      </c>
      <c r="J41" s="20"/>
      <c r="K41" s="20"/>
      <c r="L41" s="20"/>
      <c r="M41" s="20"/>
      <c r="N41" s="20"/>
      <c r="O41" s="20"/>
      <c r="P41" s="20"/>
      <c r="Q41" s="20"/>
      <c r="R41" s="20"/>
    </row>
    <row r="42">
      <c r="A42" s="102" t="s">
        <v>366</v>
      </c>
      <c r="B42" s="102"/>
      <c r="C42" s="102"/>
      <c r="D42" s="102" t="s">
        <v>734</v>
      </c>
      <c r="E42" s="102"/>
      <c r="F42" s="102"/>
      <c r="G42" s="102" t="s">
        <v>729</v>
      </c>
      <c r="H42" s="102"/>
      <c r="I42" s="102" t="s">
        <v>639</v>
      </c>
      <c r="J42" s="104"/>
      <c r="K42" s="104"/>
      <c r="L42" s="104"/>
      <c r="M42" s="104"/>
      <c r="N42" s="104"/>
      <c r="O42" s="104"/>
      <c r="P42" s="104"/>
      <c r="Q42" s="104"/>
      <c r="R42" s="104"/>
    </row>
    <row r="43">
      <c r="A43" s="109" t="s">
        <v>367</v>
      </c>
      <c r="B43" s="109" t="s">
        <v>368</v>
      </c>
      <c r="C43" s="5" t="s">
        <v>623</v>
      </c>
      <c r="D43" s="5" t="s">
        <v>625</v>
      </c>
      <c r="E43" s="5" t="s">
        <v>708</v>
      </c>
      <c r="F43" s="5" t="s">
        <v>709</v>
      </c>
      <c r="G43" s="5" t="s">
        <v>710</v>
      </c>
      <c r="H43" s="109" t="s">
        <v>712</v>
      </c>
      <c r="I43" s="109" t="s">
        <v>617</v>
      </c>
      <c r="J43" s="109" t="s">
        <v>528</v>
      </c>
      <c r="K43" s="111"/>
      <c r="L43" s="111"/>
      <c r="M43" s="111"/>
      <c r="N43" s="111"/>
      <c r="O43" s="111"/>
      <c r="P43" s="111"/>
      <c r="Q43" s="111"/>
      <c r="R43" s="111"/>
    </row>
    <row r="44">
      <c r="A44" s="5" t="s">
        <v>370</v>
      </c>
      <c r="B44" s="5" t="s">
        <v>371</v>
      </c>
      <c r="C44" s="5" t="s">
        <v>108</v>
      </c>
      <c r="D44" s="5" t="s">
        <v>114</v>
      </c>
      <c r="E44" s="5" t="s">
        <v>666</v>
      </c>
      <c r="F44" s="5" t="s">
        <v>667</v>
      </c>
      <c r="G44" s="5" t="s">
        <v>127</v>
      </c>
      <c r="H44" s="5" t="s">
        <v>107</v>
      </c>
      <c r="I44" s="5" t="s">
        <v>668</v>
      </c>
      <c r="J44" s="5" t="s">
        <v>372</v>
      </c>
      <c r="K44" s="20"/>
      <c r="L44" s="20"/>
      <c r="M44" s="20"/>
      <c r="N44" s="20"/>
      <c r="O44" s="20"/>
      <c r="P44" s="20"/>
      <c r="Q44" s="20"/>
      <c r="R44" s="20"/>
    </row>
    <row r="45">
      <c r="A45" s="5" t="s">
        <v>373</v>
      </c>
      <c r="B45" s="11" t="s">
        <v>374</v>
      </c>
      <c r="C45" s="181">
        <v>0.99</v>
      </c>
      <c r="D45" s="189">
        <v>0.7</v>
      </c>
      <c r="E45" s="191">
        <v>0.995</v>
      </c>
      <c r="F45" s="200">
        <v>1.0</v>
      </c>
      <c r="G45" s="191">
        <v>1.0</v>
      </c>
      <c r="H45" s="191">
        <v>0.95</v>
      </c>
      <c r="I45" s="200">
        <v>0.95</v>
      </c>
      <c r="J45" s="201">
        <v>0.995</v>
      </c>
      <c r="K45" s="20"/>
      <c r="L45" s="20"/>
      <c r="M45" s="20"/>
      <c r="N45" s="20"/>
      <c r="O45" s="20"/>
      <c r="P45" s="20"/>
      <c r="Q45" s="20"/>
      <c r="R45" s="20"/>
      <c r="S45" s="20"/>
      <c r="T45" s="20"/>
    </row>
    <row r="46">
      <c r="A46" s="154" t="s">
        <v>375</v>
      </c>
      <c r="B46" s="11" t="s">
        <v>376</v>
      </c>
      <c r="C46" s="71">
        <v>1.0</v>
      </c>
      <c r="D46" s="197">
        <f>0.3 * (1/(0.3/2.7 + 0.7/1)) / (0.6 * 1/(0.6/2.7+0.4/1))</f>
        <v>0.3835616438</v>
      </c>
      <c r="E46" s="165">
        <v>1.0</v>
      </c>
      <c r="F46" s="202">
        <f>0.6*(1/(0.6/2.7+0.4/1))/0.8</f>
        <v>1.205357143</v>
      </c>
      <c r="G46" s="197">
        <f>0.8*(1+0.5+0.15+0.1)/G18</f>
        <v>0.875</v>
      </c>
      <c r="H46" s="192">
        <f>H28*0.95</f>
        <v>0.8694915254</v>
      </c>
      <c r="I46" s="71">
        <v>1.0</v>
      </c>
      <c r="J46" s="71">
        <v>1000.0</v>
      </c>
      <c r="K46" s="163"/>
      <c r="L46" s="163"/>
      <c r="M46" s="163"/>
      <c r="N46" s="163"/>
      <c r="O46" s="163"/>
      <c r="P46" s="163"/>
      <c r="Q46" s="163"/>
      <c r="R46" s="163"/>
      <c r="S46" s="163"/>
      <c r="T46" s="163"/>
      <c r="U46" s="163"/>
      <c r="V46" s="163"/>
      <c r="W46" s="163"/>
      <c r="X46" s="163"/>
      <c r="Y46" s="163"/>
      <c r="Z46" s="163"/>
    </row>
    <row r="47">
      <c r="A47" s="5" t="s">
        <v>377</v>
      </c>
      <c r="B47" s="5" t="s">
        <v>378</v>
      </c>
      <c r="C47" s="5" t="str">
        <f t="shared" ref="C47:I47" si="7">D17</f>
        <v>tonnes crushed ore</v>
      </c>
      <c r="D47" s="5" t="str">
        <f t="shared" si="7"/>
        <v>m^3 slurry (60wt%)</v>
      </c>
      <c r="E47" s="5" t="str">
        <f t="shared" si="7"/>
        <v>m^3 ground slurry (60wt%)</v>
      </c>
      <c r="F47" s="5" t="str">
        <f t="shared" si="7"/>
        <v>tonnes (80wt% solids cake to be dried, roasted, and cooled)</v>
      </c>
      <c r="G47" s="5" t="str">
        <f t="shared" si="7"/>
        <v>tonnes roasted sulfated ore mix</v>
      </c>
      <c r="H47" s="5" t="str">
        <f t="shared" si="7"/>
        <v>m^3 PLS to be neutralized</v>
      </c>
      <c r="I47" s="5" t="str">
        <f t="shared" si="7"/>
        <v>m^3 pregant leach solution to be clarified</v>
      </c>
      <c r="J47" s="5" t="s">
        <v>740</v>
      </c>
      <c r="K47" s="20"/>
      <c r="L47" s="20"/>
      <c r="M47" s="20"/>
      <c r="N47" s="20"/>
      <c r="O47" s="20"/>
      <c r="P47" s="20"/>
      <c r="Q47" s="20"/>
      <c r="R47" s="20"/>
    </row>
    <row r="48">
      <c r="A48" s="5" t="s">
        <v>380</v>
      </c>
      <c r="B48" s="20"/>
      <c r="C48" s="5"/>
      <c r="D48" s="5" t="s">
        <v>313</v>
      </c>
      <c r="E48" s="5"/>
      <c r="F48" s="5"/>
      <c r="G48" s="5"/>
      <c r="H48" s="5" t="s">
        <v>313</v>
      </c>
      <c r="I48" s="5"/>
      <c r="J48" s="20"/>
      <c r="K48" s="20"/>
      <c r="L48" s="20"/>
      <c r="M48" s="20"/>
      <c r="N48" s="20"/>
      <c r="O48" s="20"/>
      <c r="P48" s="20"/>
      <c r="Q48" s="20"/>
      <c r="R48" s="20"/>
    </row>
    <row r="49">
      <c r="A49" s="5" t="s">
        <v>382</v>
      </c>
      <c r="B49" s="20"/>
      <c r="C49" s="5"/>
      <c r="D49" s="5"/>
      <c r="E49" s="5"/>
      <c r="F49" s="5"/>
      <c r="G49" s="5"/>
      <c r="H49" s="5"/>
      <c r="I49" s="5"/>
      <c r="J49" s="20"/>
      <c r="K49" s="20"/>
      <c r="L49" s="20"/>
      <c r="M49" s="20"/>
      <c r="N49" s="20"/>
      <c r="O49" s="20"/>
      <c r="P49" s="20"/>
      <c r="Q49" s="20"/>
      <c r="R49" s="20"/>
    </row>
    <row r="50">
      <c r="A50" s="154" t="s">
        <v>383</v>
      </c>
      <c r="B50" s="10"/>
      <c r="C50" s="154"/>
      <c r="D50" s="154"/>
      <c r="E50" s="154"/>
      <c r="F50" s="154"/>
      <c r="G50" s="154"/>
      <c r="H50" s="11" t="s">
        <v>133</v>
      </c>
      <c r="I50" s="154"/>
      <c r="J50" s="10"/>
      <c r="K50" s="163"/>
      <c r="L50" s="163"/>
      <c r="M50" s="163"/>
      <c r="N50" s="163"/>
      <c r="O50" s="163"/>
      <c r="P50" s="163"/>
      <c r="Q50" s="163"/>
      <c r="R50" s="163"/>
      <c r="S50" s="163"/>
      <c r="T50" s="163"/>
      <c r="U50" s="163"/>
      <c r="V50" s="163"/>
      <c r="W50" s="163"/>
      <c r="X50" s="163"/>
      <c r="Y50" s="163"/>
      <c r="Z50" s="163"/>
    </row>
    <row r="51">
      <c r="A51" s="5" t="s">
        <v>385</v>
      </c>
      <c r="B51" s="5" t="s">
        <v>340</v>
      </c>
      <c r="C51" s="71">
        <v>0.001</v>
      </c>
      <c r="D51" s="196">
        <f t="shared" ref="D51:E51" si="8">(0.6*1/(0.6/2.7+0.4/1)/10^3)</f>
        <v>0.0009642857143</v>
      </c>
      <c r="E51" s="196">
        <f t="shared" si="8"/>
        <v>0.0009642857143</v>
      </c>
      <c r="F51" s="71">
        <f>0.8/10^3</f>
        <v>0.0008</v>
      </c>
      <c r="G51" s="183">
        <f>0.8/(0.8*(1+0.5+0.15))/10^3</f>
        <v>0.0006060606061</v>
      </c>
      <c r="H51" s="183">
        <f t="shared" ref="H51:I51" si="9">0.2/(0.2/2.7+0.8/1)/1000</f>
        <v>0.0002288135593</v>
      </c>
      <c r="I51" s="183">
        <f t="shared" si="9"/>
        <v>0.0002288135593</v>
      </c>
      <c r="J51" s="203">
        <f>0.2/(0.2/2.7+0.8/1)/10^6</f>
        <v>0.0000002288135593</v>
      </c>
      <c r="K51" s="20"/>
      <c r="L51" s="20"/>
      <c r="M51" s="20"/>
      <c r="N51" s="20"/>
      <c r="O51" s="20"/>
      <c r="P51" s="20"/>
      <c r="Q51" s="20"/>
      <c r="R51" s="20"/>
      <c r="S51" s="20"/>
      <c r="T51" s="20"/>
      <c r="U51" s="20"/>
      <c r="V51" s="20"/>
      <c r="W51" s="20"/>
      <c r="X51" s="20"/>
      <c r="Y51" s="20"/>
    </row>
    <row r="52">
      <c r="A52" s="5" t="s">
        <v>386</v>
      </c>
      <c r="B52" s="5" t="s">
        <v>342</v>
      </c>
      <c r="C52" s="5" t="s">
        <v>419</v>
      </c>
      <c r="D52" s="5" t="s">
        <v>704</v>
      </c>
      <c r="E52" s="5" t="s">
        <v>704</v>
      </c>
      <c r="F52" s="5" t="s">
        <v>720</v>
      </c>
      <c r="G52" s="5" t="s">
        <v>721</v>
      </c>
      <c r="H52" s="5" t="s">
        <v>706</v>
      </c>
      <c r="I52" s="5" t="s">
        <v>706</v>
      </c>
      <c r="J52" s="5" t="s">
        <v>706</v>
      </c>
      <c r="K52" s="20"/>
      <c r="L52" s="20"/>
      <c r="M52" s="20"/>
      <c r="N52" s="20"/>
      <c r="O52" s="20"/>
      <c r="P52" s="20"/>
      <c r="Q52" s="20"/>
      <c r="R52" s="20"/>
      <c r="S52" s="20"/>
      <c r="T52" s="20"/>
      <c r="U52" s="20"/>
      <c r="V52" s="20"/>
      <c r="W52" s="20"/>
      <c r="X52" s="20"/>
      <c r="Y52" s="20"/>
    </row>
    <row r="53">
      <c r="A53" s="102" t="s">
        <v>387</v>
      </c>
      <c r="B53" s="102" t="s">
        <v>388</v>
      </c>
      <c r="C53" s="102" t="b">
        <v>1</v>
      </c>
      <c r="D53" s="102" t="b">
        <v>0</v>
      </c>
      <c r="E53" s="102" t="b">
        <v>1</v>
      </c>
      <c r="F53" s="102" t="b">
        <v>1</v>
      </c>
      <c r="G53" s="102" t="b">
        <v>1</v>
      </c>
      <c r="H53" s="102" t="b">
        <v>0</v>
      </c>
      <c r="I53" s="102" t="b">
        <v>1</v>
      </c>
      <c r="J53" s="102" t="b">
        <v>1</v>
      </c>
      <c r="K53" s="104"/>
      <c r="L53" s="104"/>
      <c r="M53" s="104"/>
      <c r="N53" s="104"/>
      <c r="O53" s="104"/>
      <c r="P53" s="104"/>
      <c r="Q53" s="104"/>
      <c r="R53" s="104"/>
    </row>
    <row r="54">
      <c r="A54" s="109" t="s">
        <v>389</v>
      </c>
      <c r="B54" s="109"/>
      <c r="C54" s="109"/>
      <c r="D54" s="109" t="s">
        <v>741</v>
      </c>
      <c r="E54" s="109"/>
      <c r="F54" s="109" t="s">
        <v>742</v>
      </c>
      <c r="G54" s="109" t="s">
        <v>743</v>
      </c>
      <c r="H54" s="109" t="s">
        <v>744</v>
      </c>
      <c r="I54" s="109" t="s">
        <v>651</v>
      </c>
      <c r="J54" s="109" t="s">
        <v>651</v>
      </c>
      <c r="K54" s="111"/>
      <c r="L54" s="111"/>
      <c r="M54" s="111"/>
      <c r="N54" s="111"/>
      <c r="O54" s="111"/>
      <c r="P54" s="111"/>
      <c r="Q54" s="111"/>
      <c r="R54" s="111"/>
    </row>
    <row r="55">
      <c r="A55" s="5" t="s">
        <v>390</v>
      </c>
      <c r="B55" s="20"/>
      <c r="C55" s="5"/>
      <c r="D55" s="5" t="s">
        <v>653</v>
      </c>
      <c r="E55" s="5"/>
      <c r="F55" s="5" t="s">
        <v>496</v>
      </c>
      <c r="G55" s="5" t="s">
        <v>745</v>
      </c>
      <c r="H55" s="5" t="s">
        <v>653</v>
      </c>
      <c r="I55" s="5" t="s">
        <v>746</v>
      </c>
      <c r="J55" s="5" t="s">
        <v>746</v>
      </c>
      <c r="K55" s="20"/>
      <c r="L55" s="20"/>
      <c r="M55" s="20"/>
      <c r="N55" s="20"/>
      <c r="O55" s="20"/>
      <c r="P55" s="20"/>
      <c r="Q55" s="20"/>
      <c r="R55" s="20"/>
    </row>
    <row r="56">
      <c r="A56" s="5" t="s">
        <v>392</v>
      </c>
      <c r="B56" s="20"/>
      <c r="C56" s="5"/>
      <c r="D56" s="71">
        <v>0.75</v>
      </c>
      <c r="E56" s="5"/>
      <c r="F56" s="69">
        <v>0.4</v>
      </c>
      <c r="G56" s="134">
        <v>0.0</v>
      </c>
      <c r="H56" s="169">
        <f>(1-H46)</f>
        <v>0.1305084746</v>
      </c>
      <c r="I56" s="69">
        <f>1-I45</f>
        <v>0.05</v>
      </c>
      <c r="J56" s="69">
        <v>0.005</v>
      </c>
      <c r="K56" s="20"/>
      <c r="L56" s="20"/>
      <c r="M56" s="20"/>
      <c r="N56" s="20"/>
      <c r="O56" s="20"/>
      <c r="P56" s="20"/>
      <c r="Q56" s="20"/>
      <c r="R56" s="20"/>
    </row>
    <row r="57">
      <c r="A57" s="5" t="s">
        <v>393</v>
      </c>
      <c r="B57" s="20"/>
      <c r="C57" s="5"/>
      <c r="D57" s="5" t="s">
        <v>747</v>
      </c>
      <c r="E57" s="5"/>
      <c r="F57" s="5" t="s">
        <v>656</v>
      </c>
      <c r="G57" s="5"/>
      <c r="H57" s="5" t="s">
        <v>656</v>
      </c>
      <c r="I57" s="5" t="s">
        <v>748</v>
      </c>
      <c r="J57" s="5" t="s">
        <v>748</v>
      </c>
      <c r="K57" s="20"/>
      <c r="L57" s="20"/>
      <c r="M57" s="20"/>
      <c r="N57" s="20"/>
      <c r="O57" s="20"/>
      <c r="P57" s="20"/>
      <c r="Q57" s="20"/>
      <c r="R57" s="20"/>
    </row>
    <row r="58">
      <c r="A58" s="5" t="s">
        <v>394</v>
      </c>
      <c r="B58" s="20"/>
      <c r="C58" s="5"/>
      <c r="D58" s="5"/>
      <c r="E58" s="5"/>
      <c r="F58" s="5"/>
      <c r="G58" s="5"/>
      <c r="H58" s="5" t="s">
        <v>749</v>
      </c>
      <c r="I58" s="5" t="s">
        <v>750</v>
      </c>
      <c r="J58" s="5" t="s">
        <v>750</v>
      </c>
      <c r="K58" s="20"/>
      <c r="L58" s="20"/>
      <c r="M58" s="20"/>
      <c r="N58" s="20"/>
      <c r="O58" s="20"/>
      <c r="P58" s="20"/>
      <c r="Q58" s="20"/>
      <c r="R58" s="20"/>
    </row>
    <row r="59">
      <c r="A59" s="5" t="s">
        <v>395</v>
      </c>
      <c r="B59" s="20"/>
      <c r="C59" s="5"/>
      <c r="D59" s="5"/>
      <c r="E59" s="5"/>
      <c r="F59" s="5"/>
      <c r="G59" s="5"/>
      <c r="H59" s="5"/>
      <c r="I59" s="20"/>
      <c r="J59" s="20"/>
      <c r="K59" s="20"/>
      <c r="L59" s="20"/>
      <c r="M59" s="20"/>
      <c r="N59" s="20"/>
      <c r="O59" s="20"/>
      <c r="P59" s="20"/>
      <c r="Q59" s="20"/>
      <c r="R59" s="20"/>
    </row>
    <row r="60">
      <c r="A60" s="5" t="s">
        <v>396</v>
      </c>
      <c r="B60" s="20"/>
      <c r="C60" s="5"/>
      <c r="D60" s="5" t="s">
        <v>649</v>
      </c>
      <c r="E60" s="5"/>
      <c r="F60" s="5"/>
      <c r="G60" s="5"/>
      <c r="H60" s="5"/>
      <c r="I60" s="5"/>
      <c r="J60" s="20"/>
      <c r="K60" s="20"/>
      <c r="L60" s="20"/>
      <c r="M60" s="20"/>
      <c r="N60" s="20"/>
      <c r="O60" s="20"/>
      <c r="P60" s="20"/>
      <c r="Q60" s="20"/>
      <c r="R60" s="20"/>
    </row>
    <row r="61">
      <c r="A61" s="5" t="s">
        <v>397</v>
      </c>
      <c r="B61" s="20"/>
      <c r="C61" s="5"/>
      <c r="D61" s="5" t="s">
        <v>496</v>
      </c>
      <c r="E61" s="5"/>
      <c r="F61" s="5"/>
      <c r="G61" s="5"/>
      <c r="H61" s="5"/>
      <c r="I61" s="5"/>
      <c r="J61" s="20"/>
      <c r="K61" s="20"/>
      <c r="L61" s="20"/>
      <c r="M61" s="20"/>
      <c r="N61" s="20"/>
      <c r="O61" s="20"/>
      <c r="P61" s="20"/>
      <c r="Q61" s="20"/>
      <c r="R61" s="20"/>
    </row>
    <row r="62">
      <c r="A62" s="5" t="s">
        <v>398</v>
      </c>
      <c r="B62" s="20"/>
      <c r="C62" s="5"/>
      <c r="D62" s="157"/>
      <c r="E62" s="5"/>
      <c r="F62" s="5"/>
      <c r="G62" s="5"/>
      <c r="H62" s="5"/>
      <c r="I62" s="5"/>
      <c r="J62" s="20"/>
      <c r="K62" s="20"/>
      <c r="L62" s="20"/>
      <c r="M62" s="20"/>
      <c r="N62" s="20"/>
      <c r="O62" s="20"/>
      <c r="P62" s="20"/>
      <c r="Q62" s="20"/>
      <c r="R62" s="20"/>
    </row>
    <row r="63">
      <c r="A63" s="5" t="s">
        <v>399</v>
      </c>
      <c r="B63" s="20"/>
      <c r="C63" s="5"/>
      <c r="D63" s="5" t="s">
        <v>747</v>
      </c>
      <c r="E63" s="5"/>
      <c r="F63" s="5"/>
      <c r="G63" s="5"/>
      <c r="H63" s="5"/>
      <c r="I63" s="5"/>
      <c r="J63" s="20"/>
      <c r="K63" s="20"/>
      <c r="L63" s="20"/>
      <c r="M63" s="20"/>
      <c r="N63" s="20"/>
      <c r="O63" s="20"/>
      <c r="P63" s="20"/>
      <c r="Q63" s="20"/>
      <c r="R63" s="20"/>
    </row>
    <row r="64">
      <c r="A64" s="5" t="s">
        <v>400</v>
      </c>
      <c r="B64" s="20"/>
      <c r="C64" s="5"/>
      <c r="D64" s="5"/>
      <c r="E64" s="5"/>
      <c r="F64" s="5"/>
      <c r="G64" s="5"/>
      <c r="H64" s="5"/>
      <c r="I64" s="5"/>
      <c r="J64" s="20"/>
      <c r="K64" s="20"/>
      <c r="L64" s="20"/>
      <c r="M64" s="20"/>
      <c r="N64" s="20"/>
      <c r="O64" s="20"/>
      <c r="P64" s="20"/>
      <c r="Q64" s="20"/>
      <c r="R64" s="20"/>
    </row>
    <row r="65">
      <c r="A65" s="5" t="s">
        <v>401</v>
      </c>
      <c r="B65" s="20"/>
      <c r="C65" s="5"/>
      <c r="D65" s="5"/>
      <c r="E65" s="5"/>
      <c r="F65" s="5"/>
      <c r="G65" s="5"/>
      <c r="H65" s="5"/>
      <c r="I65" s="5"/>
      <c r="J65" s="20"/>
      <c r="K65" s="20"/>
      <c r="L65" s="20"/>
      <c r="M65" s="20"/>
      <c r="N65" s="20"/>
      <c r="O65" s="20"/>
      <c r="P65" s="20"/>
      <c r="Q65" s="20"/>
      <c r="R65" s="20"/>
    </row>
    <row r="66">
      <c r="A66" s="5" t="str">
        <f t="shared" ref="A66:A71" si="10">SUBSTITUTE(A60,"2","3")</f>
        <v>coproduct_3_name</v>
      </c>
      <c r="B66" s="20"/>
      <c r="C66" s="20"/>
      <c r="D66" s="5"/>
      <c r="E66" s="5"/>
      <c r="F66" s="5"/>
      <c r="G66" s="5"/>
      <c r="H66" s="20"/>
      <c r="I66" s="20"/>
      <c r="J66" s="20"/>
      <c r="K66" s="20"/>
      <c r="L66" s="20"/>
      <c r="M66" s="20"/>
      <c r="N66" s="20"/>
      <c r="O66" s="20"/>
      <c r="P66" s="20"/>
      <c r="Q66" s="20"/>
      <c r="R66" s="20"/>
    </row>
    <row r="67">
      <c r="A67" s="5" t="str">
        <f t="shared" si="10"/>
        <v>coproduct_3_sink</v>
      </c>
      <c r="B67" s="20"/>
      <c r="C67" s="20"/>
      <c r="D67" s="5"/>
      <c r="E67" s="5"/>
      <c r="F67" s="5"/>
      <c r="G67" s="5"/>
      <c r="H67" s="20"/>
      <c r="I67" s="20"/>
      <c r="J67" s="20"/>
      <c r="K67" s="20"/>
      <c r="L67" s="20"/>
      <c r="M67" s="20"/>
      <c r="N67" s="20"/>
      <c r="O67" s="20"/>
      <c r="P67" s="20"/>
      <c r="Q67" s="20"/>
      <c r="R67" s="20"/>
    </row>
    <row r="68">
      <c r="A68" s="5" t="str">
        <f t="shared" si="10"/>
        <v>coproduct_3_conversion_factor</v>
      </c>
      <c r="B68" s="20"/>
      <c r="C68" s="20"/>
      <c r="D68" s="5"/>
      <c r="E68" s="5"/>
      <c r="F68" s="5"/>
      <c r="G68" s="5"/>
      <c r="H68" s="20"/>
      <c r="I68" s="20"/>
      <c r="J68" s="20"/>
      <c r="K68" s="20"/>
      <c r="L68" s="20"/>
      <c r="M68" s="20"/>
      <c r="N68" s="20"/>
      <c r="O68" s="20"/>
      <c r="P68" s="20"/>
      <c r="Q68" s="20"/>
      <c r="R68" s="20"/>
    </row>
    <row r="69">
      <c r="A69" s="5" t="str">
        <f t="shared" si="10"/>
        <v>coproduct_3_units</v>
      </c>
      <c r="B69" s="20"/>
      <c r="C69" s="20"/>
      <c r="D69" s="5"/>
      <c r="E69" s="5"/>
      <c r="F69" s="5"/>
      <c r="G69" s="5"/>
      <c r="H69" s="20"/>
      <c r="I69" s="20"/>
      <c r="J69" s="20"/>
      <c r="K69" s="20"/>
      <c r="L69" s="20"/>
      <c r="M69" s="20"/>
      <c r="N69" s="20"/>
      <c r="O69" s="20"/>
      <c r="P69" s="20"/>
      <c r="Q69" s="20"/>
      <c r="R69" s="20"/>
    </row>
    <row r="70">
      <c r="A70" s="5" t="str">
        <f t="shared" si="10"/>
        <v>coproduct_3_constituents</v>
      </c>
      <c r="B70" s="20"/>
      <c r="C70" s="20"/>
      <c r="D70" s="5"/>
      <c r="E70" s="5"/>
      <c r="F70" s="5"/>
      <c r="G70" s="5"/>
      <c r="H70" s="20"/>
      <c r="I70" s="20"/>
      <c r="J70" s="20"/>
      <c r="K70" s="20"/>
      <c r="L70" s="20"/>
      <c r="M70" s="20"/>
      <c r="N70" s="20"/>
      <c r="O70" s="20"/>
      <c r="P70" s="20"/>
      <c r="Q70" s="20"/>
      <c r="R70" s="20"/>
    </row>
    <row r="71">
      <c r="A71" s="5" t="str">
        <f t="shared" si="10"/>
        <v>coproduct_3_constituent_fractions</v>
      </c>
      <c r="B71" s="20"/>
      <c r="C71" s="20"/>
      <c r="D71" s="5"/>
      <c r="E71" s="5"/>
      <c r="F71" s="5"/>
      <c r="G71" s="5"/>
      <c r="H71" s="20"/>
      <c r="I71" s="20"/>
      <c r="J71" s="20"/>
      <c r="K71" s="20"/>
      <c r="L71" s="20"/>
      <c r="M71" s="20"/>
      <c r="N71" s="20"/>
      <c r="O71" s="20"/>
      <c r="P71" s="20"/>
      <c r="Q71" s="20"/>
      <c r="R71" s="20"/>
    </row>
    <row r="72">
      <c r="A72" s="20"/>
      <c r="B72" s="20"/>
      <c r="C72" s="20"/>
      <c r="D72" s="20"/>
      <c r="E72" s="20"/>
      <c r="F72" s="20"/>
      <c r="G72" s="20"/>
      <c r="H72" s="20"/>
      <c r="I72" s="20"/>
      <c r="J72" s="20"/>
      <c r="K72" s="20"/>
      <c r="L72" s="20"/>
      <c r="M72" s="20"/>
      <c r="N72" s="20"/>
      <c r="O72" s="20"/>
      <c r="P72" s="20"/>
      <c r="Q72" s="20"/>
      <c r="R72" s="20"/>
    </row>
    <row r="73">
      <c r="A73" s="20"/>
      <c r="B73" s="20"/>
      <c r="C73" s="20"/>
      <c r="D73" s="20"/>
      <c r="E73" s="20"/>
      <c r="F73" s="20"/>
      <c r="G73" s="20"/>
      <c r="H73" s="20"/>
      <c r="I73" s="20"/>
      <c r="J73" s="20"/>
      <c r="K73" s="20"/>
      <c r="L73" s="20"/>
      <c r="M73" s="20"/>
      <c r="N73" s="20"/>
      <c r="O73" s="20"/>
      <c r="P73" s="20"/>
      <c r="Q73" s="20"/>
      <c r="R73" s="20"/>
    </row>
    <row r="74">
      <c r="A74" s="20"/>
      <c r="B74" s="20"/>
      <c r="C74" s="20"/>
      <c r="D74" s="20"/>
      <c r="E74" s="20"/>
      <c r="F74" s="20"/>
      <c r="G74" s="20"/>
      <c r="H74" s="20"/>
      <c r="I74" s="20"/>
      <c r="J74" s="20"/>
      <c r="K74" s="20"/>
      <c r="L74" s="20"/>
      <c r="M74" s="20"/>
      <c r="N74" s="20"/>
      <c r="O74" s="20"/>
      <c r="P74" s="20"/>
      <c r="Q74" s="20"/>
      <c r="R74" s="20"/>
    </row>
    <row r="75">
      <c r="A75" s="20"/>
      <c r="B75" s="20"/>
      <c r="C75" s="20"/>
      <c r="D75" s="20"/>
      <c r="E75" s="20"/>
      <c r="F75" s="20"/>
      <c r="G75" s="20"/>
      <c r="H75" s="20"/>
      <c r="I75" s="20"/>
      <c r="J75" s="20"/>
      <c r="K75" s="20"/>
      <c r="L75" s="20"/>
      <c r="M75" s="20"/>
      <c r="N75" s="20"/>
      <c r="O75" s="20"/>
      <c r="P75" s="20"/>
      <c r="Q75" s="20"/>
      <c r="R75" s="20"/>
    </row>
    <row r="76">
      <c r="A76" s="20"/>
      <c r="B76" s="20"/>
      <c r="C76" s="20"/>
      <c r="D76" s="20"/>
      <c r="E76" s="20"/>
      <c r="F76" s="20"/>
      <c r="G76" s="20"/>
      <c r="H76" s="20"/>
      <c r="I76" s="20"/>
      <c r="J76" s="20"/>
      <c r="K76" s="20"/>
      <c r="L76" s="20"/>
      <c r="M76" s="20"/>
      <c r="N76" s="20"/>
      <c r="O76" s="20"/>
      <c r="P76" s="20"/>
      <c r="Q76" s="20"/>
      <c r="R76" s="20"/>
    </row>
    <row r="77">
      <c r="A77" s="20"/>
      <c r="B77" s="20"/>
      <c r="C77" s="20"/>
      <c r="D77" s="20"/>
      <c r="E77" s="20"/>
      <c r="F77" s="20"/>
      <c r="G77" s="20"/>
      <c r="H77" s="20"/>
      <c r="I77" s="20"/>
      <c r="J77" s="20"/>
      <c r="K77" s="20"/>
      <c r="L77" s="20"/>
      <c r="M77" s="20"/>
      <c r="N77" s="20"/>
      <c r="O77" s="20"/>
      <c r="P77" s="20"/>
      <c r="Q77" s="20"/>
      <c r="R77" s="20"/>
    </row>
    <row r="78">
      <c r="A78" s="20"/>
      <c r="B78" s="20"/>
      <c r="C78" s="20"/>
      <c r="D78" s="20"/>
      <c r="E78" s="20"/>
      <c r="F78" s="20"/>
      <c r="G78" s="20"/>
      <c r="H78" s="20"/>
      <c r="I78" s="20"/>
      <c r="J78" s="20"/>
      <c r="K78" s="20"/>
      <c r="L78" s="20"/>
      <c r="M78" s="20"/>
      <c r="N78" s="20"/>
      <c r="O78" s="20"/>
      <c r="P78" s="20"/>
      <c r="Q78" s="20"/>
      <c r="R78" s="20"/>
    </row>
    <row r="79">
      <c r="A79" s="20"/>
      <c r="B79" s="20"/>
      <c r="C79" s="20"/>
      <c r="D79" s="20"/>
      <c r="E79" s="20"/>
      <c r="F79" s="20"/>
      <c r="G79" s="20"/>
      <c r="H79" s="20"/>
      <c r="I79" s="20"/>
      <c r="J79" s="20"/>
      <c r="K79" s="20"/>
      <c r="L79" s="20"/>
      <c r="M79" s="20"/>
      <c r="N79" s="20"/>
      <c r="O79" s="20"/>
      <c r="P79" s="20"/>
      <c r="Q79" s="20"/>
      <c r="R79" s="20"/>
    </row>
    <row r="80">
      <c r="A80" s="20"/>
      <c r="B80" s="20"/>
      <c r="C80" s="20"/>
      <c r="D80" s="20"/>
      <c r="E80" s="20"/>
      <c r="F80" s="20"/>
      <c r="G80" s="20"/>
      <c r="H80" s="20"/>
      <c r="I80" s="20"/>
      <c r="J80" s="20"/>
      <c r="K80" s="20"/>
      <c r="L80" s="20"/>
      <c r="M80" s="20"/>
      <c r="N80" s="20"/>
      <c r="O80" s="20"/>
      <c r="P80" s="20"/>
      <c r="Q80" s="20"/>
      <c r="R80" s="20"/>
    </row>
    <row r="81">
      <c r="A81" s="20"/>
      <c r="B81" s="20"/>
      <c r="C81" s="20"/>
      <c r="D81" s="20"/>
      <c r="E81" s="20"/>
      <c r="F81" s="20"/>
      <c r="G81" s="20"/>
      <c r="H81" s="20"/>
      <c r="I81" s="20"/>
      <c r="J81" s="20"/>
      <c r="K81" s="20"/>
      <c r="L81" s="20"/>
      <c r="M81" s="20"/>
      <c r="N81" s="20"/>
      <c r="O81" s="20"/>
      <c r="P81" s="20"/>
      <c r="Q81" s="20"/>
      <c r="R81" s="20"/>
    </row>
    <row r="82">
      <c r="A82" s="20"/>
      <c r="B82" s="20"/>
      <c r="C82" s="20"/>
      <c r="D82" s="20"/>
      <c r="E82" s="20"/>
      <c r="F82" s="20"/>
      <c r="G82" s="20"/>
      <c r="H82" s="20"/>
      <c r="I82" s="20"/>
      <c r="J82" s="20"/>
      <c r="K82" s="20"/>
      <c r="L82" s="20"/>
      <c r="M82" s="20"/>
      <c r="N82" s="20"/>
      <c r="O82" s="20"/>
      <c r="P82" s="20"/>
      <c r="Q82" s="20"/>
      <c r="R82" s="20"/>
    </row>
    <row r="83">
      <c r="A83" s="20"/>
      <c r="B83" s="20"/>
      <c r="C83" s="20"/>
      <c r="D83" s="20"/>
      <c r="E83" s="20"/>
      <c r="F83" s="20"/>
      <c r="G83" s="20"/>
      <c r="H83" s="20"/>
      <c r="I83" s="20"/>
      <c r="J83" s="20"/>
      <c r="K83" s="20"/>
      <c r="L83" s="20"/>
      <c r="M83" s="20"/>
      <c r="N83" s="20"/>
      <c r="O83" s="20"/>
      <c r="P83" s="20"/>
      <c r="Q83" s="20"/>
      <c r="R83" s="20"/>
    </row>
    <row r="84">
      <c r="A84" s="20"/>
      <c r="B84" s="20"/>
      <c r="C84" s="20"/>
      <c r="D84" s="20"/>
      <c r="E84" s="20"/>
      <c r="F84" s="20"/>
      <c r="G84" s="20"/>
      <c r="H84" s="20"/>
      <c r="I84" s="20"/>
      <c r="J84" s="20"/>
      <c r="K84" s="20"/>
      <c r="L84" s="20"/>
      <c r="M84" s="20"/>
      <c r="N84" s="20"/>
      <c r="O84" s="20"/>
      <c r="P84" s="20"/>
      <c r="Q84" s="20"/>
      <c r="R84" s="20"/>
    </row>
    <row r="85">
      <c r="A85" s="20"/>
      <c r="B85" s="20"/>
      <c r="C85" s="20"/>
      <c r="D85" s="20"/>
      <c r="E85" s="20"/>
      <c r="F85" s="20"/>
      <c r="G85" s="20"/>
      <c r="H85" s="20"/>
      <c r="I85" s="20"/>
      <c r="J85" s="20"/>
      <c r="K85" s="20"/>
      <c r="L85" s="20"/>
      <c r="M85" s="20"/>
      <c r="N85" s="20"/>
      <c r="O85" s="20"/>
      <c r="P85" s="20"/>
      <c r="Q85" s="20"/>
      <c r="R85" s="20"/>
    </row>
    <row r="86">
      <c r="A86" s="20"/>
      <c r="B86" s="20"/>
      <c r="C86" s="20"/>
      <c r="D86" s="20"/>
      <c r="E86" s="20"/>
      <c r="F86" s="20"/>
      <c r="G86" s="20"/>
      <c r="H86" s="20"/>
      <c r="I86" s="20"/>
      <c r="J86" s="20"/>
      <c r="K86" s="20"/>
      <c r="L86" s="20"/>
      <c r="M86" s="20"/>
      <c r="N86" s="20"/>
      <c r="O86" s="20"/>
      <c r="P86" s="20"/>
      <c r="Q86" s="20"/>
      <c r="R86" s="20"/>
    </row>
    <row r="87">
      <c r="A87" s="20"/>
      <c r="B87" s="20"/>
      <c r="C87" s="20"/>
      <c r="D87" s="20"/>
      <c r="E87" s="20"/>
      <c r="F87" s="20"/>
      <c r="G87" s="20"/>
      <c r="H87" s="20"/>
      <c r="I87" s="20"/>
      <c r="J87" s="20"/>
      <c r="K87" s="20"/>
      <c r="L87" s="20"/>
      <c r="M87" s="20"/>
      <c r="N87" s="20"/>
      <c r="O87" s="20"/>
      <c r="P87" s="20"/>
      <c r="Q87" s="20"/>
      <c r="R87" s="20"/>
    </row>
    <row r="88">
      <c r="A88" s="20"/>
      <c r="B88" s="20"/>
      <c r="C88" s="20"/>
      <c r="D88" s="20"/>
      <c r="E88" s="20"/>
      <c r="F88" s="20"/>
      <c r="G88" s="20"/>
      <c r="H88" s="20"/>
      <c r="I88" s="20"/>
      <c r="J88" s="20"/>
      <c r="K88" s="20"/>
      <c r="L88" s="20"/>
      <c r="M88" s="20"/>
      <c r="N88" s="20"/>
      <c r="O88" s="20"/>
      <c r="P88" s="20"/>
      <c r="Q88" s="20"/>
      <c r="R88" s="20"/>
    </row>
    <row r="89">
      <c r="A89" s="20"/>
      <c r="B89" s="20"/>
      <c r="C89" s="20"/>
      <c r="D89" s="20"/>
      <c r="E89" s="20"/>
      <c r="F89" s="20"/>
      <c r="G89" s="20"/>
      <c r="H89" s="20"/>
      <c r="I89" s="20"/>
      <c r="J89" s="20"/>
      <c r="K89" s="20"/>
      <c r="L89" s="20"/>
      <c r="M89" s="20"/>
      <c r="N89" s="20"/>
      <c r="O89" s="20"/>
      <c r="P89" s="20"/>
      <c r="Q89" s="20"/>
      <c r="R89" s="20"/>
    </row>
    <row r="90">
      <c r="A90" s="20"/>
      <c r="B90" s="20"/>
      <c r="C90" s="20"/>
      <c r="D90" s="20"/>
      <c r="E90" s="20"/>
      <c r="F90" s="20"/>
      <c r="G90" s="20"/>
      <c r="H90" s="20"/>
      <c r="I90" s="20"/>
      <c r="J90" s="20"/>
      <c r="K90" s="20"/>
      <c r="L90" s="20"/>
      <c r="M90" s="20"/>
      <c r="N90" s="20"/>
      <c r="O90" s="20"/>
      <c r="P90" s="20"/>
      <c r="Q90" s="20"/>
      <c r="R90" s="20"/>
    </row>
    <row r="91">
      <c r="A91" s="20"/>
      <c r="B91" s="20"/>
      <c r="C91" s="20"/>
      <c r="D91" s="20"/>
      <c r="E91" s="20"/>
      <c r="F91" s="20"/>
      <c r="G91" s="20"/>
      <c r="H91" s="20"/>
      <c r="I91" s="20"/>
      <c r="J91" s="20"/>
      <c r="K91" s="20"/>
      <c r="L91" s="20"/>
      <c r="M91" s="20"/>
      <c r="N91" s="20"/>
      <c r="O91" s="20"/>
      <c r="P91" s="20"/>
      <c r="Q91" s="20"/>
      <c r="R91" s="20"/>
    </row>
    <row r="92">
      <c r="A92" s="20"/>
      <c r="B92" s="20"/>
      <c r="C92" s="20"/>
      <c r="D92" s="20"/>
      <c r="E92" s="20"/>
      <c r="F92" s="20"/>
      <c r="G92" s="20"/>
      <c r="H92" s="20"/>
      <c r="I92" s="20"/>
      <c r="J92" s="20"/>
      <c r="K92" s="20"/>
      <c r="L92" s="20"/>
      <c r="M92" s="20"/>
      <c r="N92" s="20"/>
      <c r="O92" s="20"/>
      <c r="P92" s="20"/>
      <c r="Q92" s="20"/>
      <c r="R92" s="20"/>
    </row>
    <row r="93">
      <c r="A93" s="20"/>
      <c r="B93" s="20"/>
      <c r="C93" s="20"/>
      <c r="D93" s="20"/>
      <c r="E93" s="20"/>
      <c r="F93" s="20"/>
      <c r="G93" s="20"/>
      <c r="H93" s="20"/>
      <c r="I93" s="20"/>
      <c r="J93" s="20"/>
      <c r="K93" s="20"/>
      <c r="L93" s="20"/>
      <c r="M93" s="20"/>
      <c r="N93" s="20"/>
      <c r="O93" s="20"/>
      <c r="P93" s="20"/>
      <c r="Q93" s="20"/>
      <c r="R93" s="20"/>
    </row>
    <row r="94">
      <c r="A94" s="20"/>
      <c r="B94" s="20"/>
      <c r="C94" s="20"/>
      <c r="D94" s="20"/>
      <c r="E94" s="20"/>
      <c r="F94" s="20"/>
      <c r="G94" s="20"/>
      <c r="H94" s="20"/>
      <c r="I94" s="20"/>
      <c r="J94" s="20"/>
      <c r="K94" s="20"/>
      <c r="L94" s="20"/>
      <c r="M94" s="20"/>
      <c r="N94" s="20"/>
      <c r="O94" s="20"/>
      <c r="P94" s="20"/>
      <c r="Q94" s="20"/>
      <c r="R94" s="20"/>
    </row>
    <row r="95">
      <c r="A95" s="20"/>
      <c r="B95" s="20"/>
      <c r="C95" s="20"/>
      <c r="D95" s="20"/>
      <c r="E95" s="20"/>
      <c r="F95" s="20"/>
      <c r="G95" s="20"/>
      <c r="H95" s="20"/>
      <c r="I95" s="20"/>
      <c r="J95" s="20"/>
      <c r="K95" s="20"/>
      <c r="L95" s="20"/>
      <c r="M95" s="20"/>
      <c r="N95" s="20"/>
      <c r="O95" s="20"/>
      <c r="P95" s="20"/>
      <c r="Q95" s="20"/>
      <c r="R95" s="20"/>
    </row>
    <row r="96">
      <c r="A96" s="20"/>
      <c r="B96" s="20"/>
      <c r="C96" s="20"/>
      <c r="D96" s="20"/>
      <c r="E96" s="20"/>
      <c r="F96" s="20"/>
      <c r="G96" s="20"/>
      <c r="H96" s="20"/>
      <c r="I96" s="20"/>
      <c r="J96" s="20"/>
      <c r="K96" s="20"/>
      <c r="L96" s="20"/>
      <c r="M96" s="20"/>
      <c r="N96" s="20"/>
      <c r="O96" s="20"/>
      <c r="P96" s="20"/>
      <c r="Q96" s="20"/>
      <c r="R96" s="20"/>
    </row>
    <row r="97">
      <c r="A97" s="20"/>
      <c r="B97" s="20"/>
      <c r="C97" s="20"/>
      <c r="D97" s="20"/>
      <c r="E97" s="20"/>
      <c r="F97" s="20"/>
      <c r="G97" s="20"/>
      <c r="H97" s="20"/>
      <c r="I97" s="20"/>
      <c r="J97" s="20"/>
      <c r="K97" s="20"/>
      <c r="L97" s="20"/>
      <c r="M97" s="20"/>
      <c r="N97" s="20"/>
      <c r="O97" s="20"/>
      <c r="P97" s="20"/>
      <c r="Q97" s="20"/>
      <c r="R97" s="20"/>
    </row>
    <row r="98">
      <c r="A98" s="20"/>
      <c r="B98" s="20"/>
      <c r="C98" s="20"/>
      <c r="D98" s="20"/>
      <c r="E98" s="20"/>
      <c r="F98" s="20"/>
      <c r="G98" s="20"/>
      <c r="H98" s="20"/>
      <c r="I98" s="20"/>
      <c r="J98" s="20"/>
      <c r="K98" s="20"/>
      <c r="L98" s="20"/>
      <c r="M98" s="20"/>
      <c r="N98" s="20"/>
      <c r="O98" s="20"/>
      <c r="P98" s="20"/>
      <c r="Q98" s="20"/>
      <c r="R98" s="20"/>
    </row>
    <row r="99">
      <c r="A99" s="20"/>
      <c r="B99" s="20"/>
      <c r="C99" s="20"/>
      <c r="D99" s="20"/>
      <c r="E99" s="20"/>
      <c r="F99" s="20"/>
      <c r="G99" s="20"/>
      <c r="H99" s="20"/>
      <c r="I99" s="20"/>
      <c r="J99" s="20"/>
      <c r="K99" s="20"/>
      <c r="L99" s="20"/>
      <c r="M99" s="20"/>
      <c r="N99" s="20"/>
      <c r="O99" s="20"/>
      <c r="P99" s="20"/>
      <c r="Q99" s="20"/>
      <c r="R99" s="20"/>
    </row>
    <row r="100">
      <c r="A100" s="20"/>
      <c r="B100" s="20"/>
      <c r="C100" s="20"/>
      <c r="D100" s="20"/>
      <c r="E100" s="20"/>
      <c r="F100" s="20"/>
      <c r="G100" s="20"/>
      <c r="H100" s="20"/>
      <c r="I100" s="20"/>
      <c r="J100" s="20"/>
      <c r="K100" s="20"/>
      <c r="L100" s="20"/>
      <c r="M100" s="20"/>
      <c r="N100" s="20"/>
      <c r="O100" s="20"/>
      <c r="P100" s="20"/>
      <c r="Q100" s="20"/>
      <c r="R100" s="20"/>
    </row>
    <row r="101">
      <c r="A101" s="20"/>
      <c r="B101" s="20"/>
      <c r="C101" s="20"/>
      <c r="D101" s="20"/>
      <c r="E101" s="20"/>
      <c r="F101" s="20"/>
      <c r="G101" s="20"/>
      <c r="H101" s="20"/>
      <c r="I101" s="20"/>
      <c r="J101" s="20"/>
      <c r="K101" s="20"/>
      <c r="L101" s="20"/>
      <c r="M101" s="20"/>
      <c r="N101" s="20"/>
      <c r="O101" s="20"/>
      <c r="P101" s="20"/>
      <c r="Q101" s="20"/>
      <c r="R101" s="20"/>
    </row>
    <row r="102">
      <c r="A102" s="20"/>
      <c r="B102" s="20"/>
      <c r="C102" s="20"/>
      <c r="D102" s="20"/>
      <c r="E102" s="20"/>
      <c r="F102" s="20"/>
      <c r="G102" s="20"/>
      <c r="H102" s="20"/>
      <c r="I102" s="20"/>
      <c r="J102" s="20"/>
      <c r="K102" s="20"/>
      <c r="L102" s="20"/>
      <c r="M102" s="20"/>
      <c r="N102" s="20"/>
      <c r="O102" s="20"/>
      <c r="P102" s="20"/>
      <c r="Q102" s="20"/>
      <c r="R102" s="20"/>
    </row>
    <row r="103">
      <c r="A103" s="20"/>
      <c r="B103" s="20"/>
      <c r="C103" s="20"/>
      <c r="D103" s="20"/>
      <c r="E103" s="20"/>
      <c r="F103" s="20"/>
      <c r="G103" s="20"/>
      <c r="H103" s="20"/>
      <c r="I103" s="20"/>
      <c r="J103" s="20"/>
      <c r="K103" s="20"/>
      <c r="L103" s="20"/>
      <c r="M103" s="20"/>
      <c r="N103" s="20"/>
      <c r="O103" s="20"/>
      <c r="P103" s="20"/>
      <c r="Q103" s="20"/>
      <c r="R103" s="20"/>
    </row>
    <row r="104">
      <c r="A104" s="20"/>
      <c r="B104" s="20"/>
      <c r="C104" s="20"/>
      <c r="D104" s="20"/>
      <c r="E104" s="20"/>
      <c r="F104" s="20"/>
      <c r="G104" s="20"/>
      <c r="H104" s="20"/>
      <c r="I104" s="20"/>
      <c r="J104" s="20"/>
      <c r="K104" s="20"/>
      <c r="L104" s="20"/>
      <c r="M104" s="20"/>
      <c r="N104" s="20"/>
      <c r="O104" s="20"/>
      <c r="P104" s="20"/>
      <c r="Q104" s="20"/>
      <c r="R104" s="20"/>
    </row>
    <row r="105">
      <c r="A105" s="20"/>
      <c r="B105" s="20"/>
      <c r="C105" s="20"/>
      <c r="D105" s="20"/>
      <c r="E105" s="20"/>
      <c r="F105" s="20"/>
      <c r="G105" s="20"/>
      <c r="H105" s="20"/>
      <c r="I105" s="20"/>
      <c r="J105" s="20"/>
      <c r="K105" s="20"/>
      <c r="L105" s="20"/>
      <c r="M105" s="20"/>
      <c r="N105" s="20"/>
      <c r="O105" s="20"/>
      <c r="P105" s="20"/>
      <c r="Q105" s="20"/>
      <c r="R105" s="20"/>
    </row>
    <row r="106">
      <c r="A106" s="20"/>
      <c r="B106" s="20"/>
      <c r="C106" s="20"/>
      <c r="D106" s="20"/>
      <c r="E106" s="20"/>
      <c r="F106" s="20"/>
      <c r="G106" s="20"/>
      <c r="H106" s="20"/>
      <c r="I106" s="20"/>
      <c r="J106" s="20"/>
      <c r="K106" s="20"/>
      <c r="L106" s="20"/>
      <c r="M106" s="20"/>
      <c r="N106" s="20"/>
      <c r="O106" s="20"/>
      <c r="P106" s="20"/>
      <c r="Q106" s="20"/>
      <c r="R106" s="20"/>
    </row>
    <row r="107">
      <c r="A107" s="20"/>
      <c r="B107" s="20"/>
      <c r="C107" s="20"/>
      <c r="D107" s="20"/>
      <c r="E107" s="20"/>
      <c r="F107" s="20"/>
      <c r="G107" s="20"/>
      <c r="H107" s="20"/>
      <c r="I107" s="20"/>
      <c r="J107" s="20"/>
      <c r="K107" s="20"/>
      <c r="L107" s="20"/>
      <c r="M107" s="20"/>
      <c r="N107" s="20"/>
      <c r="O107" s="20"/>
      <c r="P107" s="20"/>
      <c r="Q107" s="20"/>
      <c r="R107" s="20"/>
    </row>
    <row r="108">
      <c r="A108" s="20"/>
      <c r="B108" s="20"/>
      <c r="C108" s="20"/>
      <c r="D108" s="20"/>
      <c r="E108" s="20"/>
      <c r="F108" s="20"/>
      <c r="G108" s="20"/>
      <c r="H108" s="20"/>
      <c r="I108" s="20"/>
      <c r="J108" s="20"/>
      <c r="K108" s="20"/>
      <c r="L108" s="20"/>
      <c r="M108" s="20"/>
      <c r="N108" s="20"/>
      <c r="O108" s="20"/>
      <c r="P108" s="20"/>
      <c r="Q108" s="20"/>
      <c r="R108" s="20"/>
    </row>
    <row r="109">
      <c r="A109" s="20"/>
      <c r="B109" s="20"/>
      <c r="C109" s="20"/>
      <c r="D109" s="20"/>
      <c r="E109" s="20"/>
      <c r="F109" s="20"/>
      <c r="G109" s="20"/>
      <c r="H109" s="20"/>
      <c r="I109" s="20"/>
      <c r="J109" s="20"/>
      <c r="K109" s="20"/>
      <c r="L109" s="20"/>
      <c r="M109" s="20"/>
      <c r="N109" s="20"/>
      <c r="O109" s="20"/>
      <c r="P109" s="20"/>
      <c r="Q109" s="20"/>
      <c r="R109" s="20"/>
    </row>
    <row r="110">
      <c r="A110" s="20"/>
      <c r="B110" s="20"/>
      <c r="C110" s="20"/>
      <c r="D110" s="20"/>
      <c r="E110" s="20"/>
      <c r="F110" s="20"/>
      <c r="G110" s="20"/>
      <c r="H110" s="20"/>
      <c r="I110" s="20"/>
      <c r="J110" s="20"/>
      <c r="K110" s="20"/>
      <c r="L110" s="20"/>
      <c r="M110" s="20"/>
      <c r="N110" s="20"/>
      <c r="O110" s="20"/>
      <c r="P110" s="20"/>
      <c r="Q110" s="20"/>
      <c r="R110" s="20"/>
    </row>
    <row r="111">
      <c r="A111" s="20"/>
      <c r="B111" s="20"/>
      <c r="C111" s="20"/>
      <c r="D111" s="20"/>
      <c r="E111" s="20"/>
      <c r="F111" s="20"/>
      <c r="G111" s="20"/>
      <c r="H111" s="20"/>
      <c r="I111" s="20"/>
      <c r="J111" s="20"/>
      <c r="K111" s="20"/>
      <c r="L111" s="20"/>
      <c r="M111" s="20"/>
      <c r="N111" s="20"/>
      <c r="O111" s="20"/>
      <c r="P111" s="20"/>
      <c r="Q111" s="20"/>
      <c r="R111" s="20"/>
    </row>
    <row r="112">
      <c r="A112" s="20"/>
      <c r="B112" s="20"/>
      <c r="C112" s="20"/>
      <c r="D112" s="20"/>
      <c r="E112" s="20"/>
      <c r="F112" s="20"/>
      <c r="G112" s="20"/>
      <c r="H112" s="20"/>
      <c r="I112" s="20"/>
      <c r="J112" s="20"/>
      <c r="K112" s="20"/>
      <c r="L112" s="20"/>
      <c r="M112" s="20"/>
      <c r="N112" s="20"/>
      <c r="O112" s="20"/>
      <c r="P112" s="20"/>
      <c r="Q112" s="20"/>
      <c r="R112" s="20"/>
    </row>
    <row r="113">
      <c r="A113" s="20"/>
      <c r="B113" s="20"/>
      <c r="C113" s="20"/>
      <c r="D113" s="20"/>
      <c r="E113" s="20"/>
      <c r="F113" s="20"/>
      <c r="G113" s="20"/>
      <c r="H113" s="20"/>
      <c r="I113" s="20"/>
      <c r="J113" s="20"/>
      <c r="K113" s="20"/>
      <c r="L113" s="20"/>
      <c r="M113" s="20"/>
      <c r="N113" s="20"/>
      <c r="O113" s="20"/>
      <c r="P113" s="20"/>
      <c r="Q113" s="20"/>
      <c r="R113" s="20"/>
    </row>
    <row r="114">
      <c r="A114" s="20"/>
      <c r="B114" s="20"/>
      <c r="C114" s="20"/>
      <c r="D114" s="20"/>
      <c r="E114" s="20"/>
      <c r="F114" s="20"/>
      <c r="G114" s="20"/>
      <c r="H114" s="20"/>
      <c r="I114" s="20"/>
      <c r="J114" s="20"/>
      <c r="K114" s="20"/>
      <c r="L114" s="20"/>
      <c r="M114" s="20"/>
      <c r="N114" s="20"/>
      <c r="O114" s="20"/>
      <c r="P114" s="20"/>
      <c r="Q114" s="20"/>
      <c r="R114" s="20"/>
    </row>
    <row r="115">
      <c r="A115" s="20"/>
      <c r="B115" s="20"/>
      <c r="C115" s="20"/>
      <c r="D115" s="20"/>
      <c r="E115" s="20"/>
      <c r="F115" s="20"/>
      <c r="G115" s="20"/>
      <c r="H115" s="20"/>
      <c r="I115" s="20"/>
      <c r="J115" s="20"/>
      <c r="K115" s="20"/>
      <c r="L115" s="20"/>
      <c r="M115" s="20"/>
      <c r="N115" s="20"/>
      <c r="O115" s="20"/>
      <c r="P115" s="20"/>
      <c r="Q115" s="20"/>
      <c r="R115" s="20"/>
    </row>
    <row r="116">
      <c r="A116" s="20"/>
      <c r="B116" s="20"/>
      <c r="C116" s="20"/>
      <c r="D116" s="20"/>
      <c r="E116" s="20"/>
      <c r="F116" s="20"/>
      <c r="G116" s="20"/>
      <c r="H116" s="20"/>
      <c r="I116" s="20"/>
      <c r="J116" s="20"/>
      <c r="K116" s="20"/>
      <c r="L116" s="20"/>
      <c r="M116" s="20"/>
      <c r="N116" s="20"/>
      <c r="O116" s="20"/>
      <c r="P116" s="20"/>
      <c r="Q116" s="20"/>
      <c r="R116" s="20"/>
    </row>
    <row r="117">
      <c r="A117" s="20"/>
      <c r="B117" s="20"/>
      <c r="C117" s="20"/>
      <c r="D117" s="20"/>
      <c r="E117" s="20"/>
      <c r="F117" s="20"/>
      <c r="G117" s="20"/>
      <c r="H117" s="20"/>
      <c r="I117" s="20"/>
      <c r="J117" s="20"/>
      <c r="K117" s="20"/>
      <c r="L117" s="20"/>
      <c r="M117" s="20"/>
      <c r="N117" s="20"/>
      <c r="O117" s="20"/>
      <c r="P117" s="20"/>
      <c r="Q117" s="20"/>
      <c r="R117" s="20"/>
    </row>
    <row r="118">
      <c r="A118" s="20"/>
      <c r="B118" s="20"/>
      <c r="C118" s="20"/>
      <c r="D118" s="20"/>
      <c r="E118" s="20"/>
      <c r="F118" s="20"/>
      <c r="G118" s="20"/>
      <c r="H118" s="20"/>
      <c r="I118" s="20"/>
      <c r="J118" s="20"/>
      <c r="K118" s="20"/>
      <c r="L118" s="20"/>
      <c r="M118" s="20"/>
      <c r="N118" s="20"/>
      <c r="O118" s="20"/>
      <c r="P118" s="20"/>
      <c r="Q118" s="20"/>
      <c r="R118" s="20"/>
    </row>
    <row r="119">
      <c r="A119" s="20"/>
      <c r="B119" s="20"/>
      <c r="C119" s="20"/>
      <c r="D119" s="20"/>
      <c r="E119" s="20"/>
      <c r="F119" s="20"/>
      <c r="G119" s="20"/>
      <c r="H119" s="20"/>
      <c r="I119" s="20"/>
      <c r="J119" s="20"/>
      <c r="K119" s="20"/>
      <c r="L119" s="20"/>
      <c r="M119" s="20"/>
      <c r="N119" s="20"/>
      <c r="O119" s="20"/>
      <c r="P119" s="20"/>
      <c r="Q119" s="20"/>
      <c r="R119" s="20"/>
    </row>
    <row r="120">
      <c r="A120" s="20"/>
      <c r="B120" s="20"/>
      <c r="C120" s="20"/>
      <c r="D120" s="20"/>
      <c r="E120" s="20"/>
      <c r="F120" s="20"/>
      <c r="G120" s="20"/>
      <c r="H120" s="20"/>
      <c r="I120" s="20"/>
      <c r="J120" s="20"/>
      <c r="K120" s="20"/>
      <c r="L120" s="20"/>
      <c r="M120" s="20"/>
      <c r="N120" s="20"/>
      <c r="O120" s="20"/>
      <c r="P120" s="20"/>
      <c r="Q120" s="20"/>
      <c r="R120" s="20"/>
    </row>
    <row r="121">
      <c r="A121" s="20"/>
      <c r="B121" s="20"/>
      <c r="C121" s="20"/>
      <c r="D121" s="20"/>
      <c r="E121" s="20"/>
      <c r="F121" s="20"/>
      <c r="G121" s="20"/>
      <c r="H121" s="20"/>
      <c r="I121" s="20"/>
      <c r="J121" s="20"/>
      <c r="K121" s="20"/>
      <c r="L121" s="20"/>
      <c r="M121" s="20"/>
      <c r="N121" s="20"/>
      <c r="O121" s="20"/>
      <c r="P121" s="20"/>
      <c r="Q121" s="20"/>
      <c r="R121" s="20"/>
    </row>
    <row r="122">
      <c r="A122" s="20"/>
      <c r="B122" s="20"/>
      <c r="C122" s="20"/>
      <c r="D122" s="20"/>
      <c r="E122" s="20"/>
      <c r="F122" s="20"/>
      <c r="G122" s="20"/>
      <c r="H122" s="20"/>
      <c r="I122" s="20"/>
      <c r="J122" s="20"/>
      <c r="K122" s="20"/>
      <c r="L122" s="20"/>
      <c r="M122" s="20"/>
      <c r="N122" s="20"/>
      <c r="O122" s="20"/>
      <c r="P122" s="20"/>
      <c r="Q122" s="20"/>
      <c r="R122" s="20"/>
    </row>
    <row r="123">
      <c r="A123" s="20"/>
      <c r="B123" s="20"/>
      <c r="C123" s="20"/>
      <c r="D123" s="20"/>
      <c r="E123" s="20"/>
      <c r="F123" s="20"/>
      <c r="G123" s="20"/>
      <c r="H123" s="20"/>
      <c r="I123" s="20"/>
      <c r="J123" s="20"/>
      <c r="K123" s="20"/>
      <c r="L123" s="20"/>
      <c r="M123" s="20"/>
      <c r="N123" s="20"/>
      <c r="O123" s="20"/>
      <c r="P123" s="20"/>
      <c r="Q123" s="20"/>
      <c r="R123" s="20"/>
    </row>
    <row r="124">
      <c r="A124" s="20"/>
      <c r="B124" s="20"/>
      <c r="C124" s="20"/>
      <c r="D124" s="20"/>
      <c r="E124" s="20"/>
      <c r="F124" s="20"/>
      <c r="G124" s="20"/>
      <c r="H124" s="20"/>
      <c r="I124" s="20"/>
      <c r="J124" s="20"/>
      <c r="K124" s="20"/>
      <c r="L124" s="20"/>
      <c r="M124" s="20"/>
      <c r="N124" s="20"/>
      <c r="O124" s="20"/>
      <c r="P124" s="20"/>
      <c r="Q124" s="20"/>
      <c r="R124" s="20"/>
    </row>
    <row r="125">
      <c r="A125" s="20"/>
      <c r="B125" s="20"/>
      <c r="C125" s="20"/>
      <c r="D125" s="20"/>
      <c r="E125" s="20"/>
      <c r="F125" s="20"/>
      <c r="G125" s="20"/>
      <c r="H125" s="20"/>
      <c r="I125" s="20"/>
      <c r="J125" s="20"/>
      <c r="K125" s="20"/>
      <c r="L125" s="20"/>
      <c r="M125" s="20"/>
      <c r="N125" s="20"/>
      <c r="O125" s="20"/>
      <c r="P125" s="20"/>
      <c r="Q125" s="20"/>
      <c r="R125" s="20"/>
    </row>
    <row r="126">
      <c r="A126" s="20"/>
      <c r="B126" s="20"/>
      <c r="C126" s="20"/>
      <c r="D126" s="20"/>
      <c r="E126" s="20"/>
      <c r="F126" s="20"/>
      <c r="G126" s="20"/>
      <c r="H126" s="20"/>
      <c r="I126" s="20"/>
      <c r="J126" s="20"/>
      <c r="K126" s="20"/>
      <c r="L126" s="20"/>
      <c r="M126" s="20"/>
      <c r="N126" s="20"/>
      <c r="O126" s="20"/>
      <c r="P126" s="20"/>
      <c r="Q126" s="20"/>
      <c r="R126" s="20"/>
    </row>
    <row r="127">
      <c r="A127" s="20"/>
      <c r="B127" s="20"/>
      <c r="C127" s="20"/>
      <c r="D127" s="20"/>
      <c r="E127" s="20"/>
      <c r="F127" s="20"/>
      <c r="G127" s="20"/>
      <c r="H127" s="20"/>
      <c r="I127" s="20"/>
      <c r="J127" s="20"/>
      <c r="K127" s="20"/>
      <c r="L127" s="20"/>
      <c r="M127" s="20"/>
      <c r="N127" s="20"/>
      <c r="O127" s="20"/>
      <c r="P127" s="20"/>
      <c r="Q127" s="20"/>
      <c r="R127" s="20"/>
    </row>
    <row r="128">
      <c r="A128" s="20"/>
      <c r="B128" s="20"/>
      <c r="C128" s="20"/>
      <c r="D128" s="20"/>
      <c r="E128" s="20"/>
      <c r="F128" s="20"/>
      <c r="G128" s="20"/>
      <c r="H128" s="20"/>
      <c r="I128" s="20"/>
      <c r="J128" s="20"/>
      <c r="K128" s="20"/>
      <c r="L128" s="20"/>
      <c r="M128" s="20"/>
      <c r="N128" s="20"/>
      <c r="O128" s="20"/>
      <c r="P128" s="20"/>
      <c r="Q128" s="20"/>
      <c r="R128" s="20"/>
    </row>
    <row r="129">
      <c r="A129" s="20"/>
      <c r="B129" s="20"/>
      <c r="C129" s="20"/>
      <c r="D129" s="20"/>
      <c r="E129" s="20"/>
      <c r="F129" s="20"/>
      <c r="G129" s="20"/>
      <c r="H129" s="20"/>
      <c r="I129" s="20"/>
      <c r="J129" s="20"/>
      <c r="K129" s="20"/>
      <c r="L129" s="20"/>
      <c r="M129" s="20"/>
      <c r="N129" s="20"/>
      <c r="O129" s="20"/>
      <c r="P129" s="20"/>
      <c r="Q129" s="20"/>
      <c r="R129" s="20"/>
    </row>
    <row r="130">
      <c r="A130" s="20"/>
      <c r="B130" s="20"/>
      <c r="C130" s="20"/>
      <c r="D130" s="20"/>
      <c r="E130" s="20"/>
      <c r="F130" s="20"/>
      <c r="G130" s="20"/>
      <c r="H130" s="20"/>
      <c r="I130" s="20"/>
      <c r="J130" s="20"/>
      <c r="K130" s="20"/>
      <c r="L130" s="20"/>
      <c r="M130" s="20"/>
      <c r="N130" s="20"/>
      <c r="O130" s="20"/>
      <c r="P130" s="20"/>
      <c r="Q130" s="20"/>
      <c r="R130" s="20"/>
    </row>
    <row r="131">
      <c r="A131" s="20"/>
      <c r="B131" s="20"/>
      <c r="C131" s="20"/>
      <c r="D131" s="20"/>
      <c r="E131" s="20"/>
      <c r="F131" s="20"/>
      <c r="G131" s="20"/>
      <c r="H131" s="20"/>
      <c r="I131" s="20"/>
      <c r="J131" s="20"/>
      <c r="K131" s="20"/>
      <c r="L131" s="20"/>
      <c r="M131" s="20"/>
      <c r="N131" s="20"/>
      <c r="O131" s="20"/>
      <c r="P131" s="20"/>
      <c r="Q131" s="20"/>
      <c r="R131" s="20"/>
    </row>
    <row r="132">
      <c r="A132" s="20"/>
      <c r="B132" s="20"/>
      <c r="C132" s="20"/>
      <c r="D132" s="20"/>
      <c r="E132" s="20"/>
      <c r="F132" s="20"/>
      <c r="G132" s="20"/>
      <c r="H132" s="20"/>
      <c r="I132" s="20"/>
      <c r="J132" s="20"/>
      <c r="K132" s="20"/>
      <c r="L132" s="20"/>
      <c r="M132" s="20"/>
      <c r="N132" s="20"/>
      <c r="O132" s="20"/>
      <c r="P132" s="20"/>
      <c r="Q132" s="20"/>
      <c r="R132" s="20"/>
    </row>
    <row r="133">
      <c r="A133" s="20"/>
      <c r="B133" s="20"/>
      <c r="C133" s="20"/>
      <c r="D133" s="20"/>
      <c r="E133" s="20"/>
      <c r="F133" s="20"/>
      <c r="G133" s="20"/>
      <c r="H133" s="20"/>
      <c r="I133" s="20"/>
      <c r="J133" s="20"/>
      <c r="K133" s="20"/>
      <c r="L133" s="20"/>
      <c r="M133" s="20"/>
      <c r="N133" s="20"/>
      <c r="O133" s="20"/>
      <c r="P133" s="20"/>
      <c r="Q133" s="20"/>
      <c r="R133" s="20"/>
    </row>
    <row r="134">
      <c r="A134" s="20"/>
      <c r="B134" s="20"/>
      <c r="C134" s="20"/>
      <c r="D134" s="20"/>
      <c r="E134" s="20"/>
      <c r="F134" s="20"/>
      <c r="G134" s="20"/>
      <c r="H134" s="20"/>
      <c r="I134" s="20"/>
      <c r="J134" s="20"/>
      <c r="K134" s="20"/>
      <c r="L134" s="20"/>
      <c r="M134" s="20"/>
      <c r="N134" s="20"/>
      <c r="O134" s="20"/>
      <c r="P134" s="20"/>
      <c r="Q134" s="20"/>
      <c r="R134" s="20"/>
    </row>
    <row r="135">
      <c r="A135" s="20"/>
      <c r="B135" s="20"/>
      <c r="C135" s="20"/>
      <c r="D135" s="20"/>
      <c r="E135" s="20"/>
      <c r="F135" s="20"/>
      <c r="G135" s="20"/>
      <c r="H135" s="20"/>
      <c r="I135" s="20"/>
      <c r="J135" s="20"/>
      <c r="K135" s="20"/>
      <c r="L135" s="20"/>
      <c r="M135" s="20"/>
      <c r="N135" s="20"/>
      <c r="O135" s="20"/>
      <c r="P135" s="20"/>
      <c r="Q135" s="20"/>
      <c r="R135" s="20"/>
    </row>
    <row r="136">
      <c r="A136" s="20"/>
      <c r="B136" s="20"/>
      <c r="C136" s="20"/>
      <c r="D136" s="20"/>
      <c r="E136" s="20"/>
      <c r="F136" s="20"/>
      <c r="G136" s="20"/>
      <c r="H136" s="20"/>
      <c r="I136" s="20"/>
      <c r="J136" s="20"/>
      <c r="K136" s="20"/>
      <c r="L136" s="20"/>
      <c r="M136" s="20"/>
      <c r="N136" s="20"/>
      <c r="O136" s="20"/>
      <c r="P136" s="20"/>
      <c r="Q136" s="20"/>
      <c r="R136" s="20"/>
    </row>
    <row r="137">
      <c r="A137" s="20"/>
      <c r="B137" s="20"/>
      <c r="C137" s="20"/>
      <c r="D137" s="20"/>
      <c r="E137" s="20"/>
      <c r="F137" s="20"/>
      <c r="G137" s="20"/>
      <c r="H137" s="20"/>
      <c r="I137" s="20"/>
      <c r="J137" s="20"/>
      <c r="K137" s="20"/>
      <c r="L137" s="20"/>
      <c r="M137" s="20"/>
      <c r="N137" s="20"/>
      <c r="O137" s="20"/>
      <c r="P137" s="20"/>
      <c r="Q137" s="20"/>
      <c r="R137" s="20"/>
    </row>
    <row r="138">
      <c r="A138" s="20"/>
      <c r="B138" s="20"/>
      <c r="C138" s="20"/>
      <c r="D138" s="20"/>
      <c r="E138" s="20"/>
      <c r="F138" s="20"/>
      <c r="G138" s="20"/>
      <c r="H138" s="20"/>
      <c r="I138" s="20"/>
      <c r="J138" s="20"/>
      <c r="K138" s="20"/>
      <c r="L138" s="20"/>
      <c r="M138" s="20"/>
      <c r="N138" s="20"/>
      <c r="O138" s="20"/>
      <c r="P138" s="20"/>
      <c r="Q138" s="20"/>
      <c r="R138" s="20"/>
    </row>
    <row r="139">
      <c r="A139" s="20"/>
      <c r="B139" s="20"/>
      <c r="C139" s="20"/>
      <c r="D139" s="20"/>
      <c r="E139" s="20"/>
      <c r="F139" s="20"/>
      <c r="G139" s="20"/>
      <c r="H139" s="20"/>
      <c r="I139" s="20"/>
      <c r="J139" s="20"/>
      <c r="K139" s="20"/>
      <c r="L139" s="20"/>
      <c r="M139" s="20"/>
      <c r="N139" s="20"/>
      <c r="O139" s="20"/>
      <c r="P139" s="20"/>
      <c r="Q139" s="20"/>
      <c r="R139" s="20"/>
    </row>
    <row r="140">
      <c r="A140" s="20"/>
      <c r="B140" s="20"/>
      <c r="C140" s="20"/>
      <c r="D140" s="20"/>
      <c r="E140" s="20"/>
      <c r="F140" s="20"/>
      <c r="G140" s="20"/>
      <c r="H140" s="20"/>
      <c r="I140" s="20"/>
      <c r="J140" s="20"/>
      <c r="K140" s="20"/>
      <c r="L140" s="20"/>
      <c r="M140" s="20"/>
      <c r="N140" s="20"/>
      <c r="O140" s="20"/>
      <c r="P140" s="20"/>
      <c r="Q140" s="20"/>
      <c r="R140" s="20"/>
    </row>
    <row r="141">
      <c r="A141" s="20"/>
      <c r="B141" s="20"/>
      <c r="C141" s="20"/>
      <c r="D141" s="20"/>
      <c r="E141" s="20"/>
      <c r="F141" s="20"/>
      <c r="G141" s="20"/>
      <c r="H141" s="20"/>
      <c r="I141" s="20"/>
      <c r="J141" s="20"/>
      <c r="K141" s="20"/>
      <c r="L141" s="20"/>
      <c r="M141" s="20"/>
      <c r="N141" s="20"/>
      <c r="O141" s="20"/>
      <c r="P141" s="20"/>
      <c r="Q141" s="20"/>
      <c r="R141" s="20"/>
    </row>
    <row r="142">
      <c r="A142" s="20"/>
      <c r="B142" s="20"/>
      <c r="C142" s="20"/>
      <c r="D142" s="20"/>
      <c r="E142" s="20"/>
      <c r="F142" s="20"/>
      <c r="G142" s="20"/>
      <c r="H142" s="20"/>
      <c r="I142" s="20"/>
      <c r="J142" s="20"/>
      <c r="K142" s="20"/>
      <c r="L142" s="20"/>
      <c r="M142" s="20"/>
      <c r="N142" s="20"/>
      <c r="O142" s="20"/>
      <c r="P142" s="20"/>
      <c r="Q142" s="20"/>
      <c r="R142" s="20"/>
    </row>
    <row r="143">
      <c r="A143" s="20"/>
      <c r="B143" s="20"/>
      <c r="C143" s="20"/>
      <c r="D143" s="20"/>
      <c r="E143" s="20"/>
      <c r="F143" s="20"/>
      <c r="G143" s="20"/>
      <c r="H143" s="20"/>
      <c r="I143" s="20"/>
      <c r="J143" s="20"/>
      <c r="K143" s="20"/>
      <c r="L143" s="20"/>
      <c r="M143" s="20"/>
      <c r="N143" s="20"/>
      <c r="O143" s="20"/>
      <c r="P143" s="20"/>
      <c r="Q143" s="20"/>
      <c r="R143" s="20"/>
    </row>
    <row r="144">
      <c r="A144" s="20"/>
      <c r="B144" s="20"/>
      <c r="C144" s="20"/>
      <c r="D144" s="20"/>
      <c r="E144" s="20"/>
      <c r="F144" s="20"/>
      <c r="G144" s="20"/>
      <c r="H144" s="20"/>
      <c r="I144" s="20"/>
      <c r="J144" s="20"/>
      <c r="K144" s="20"/>
      <c r="L144" s="20"/>
      <c r="M144" s="20"/>
      <c r="N144" s="20"/>
      <c r="O144" s="20"/>
      <c r="P144" s="20"/>
      <c r="Q144" s="20"/>
      <c r="R144" s="20"/>
    </row>
    <row r="145">
      <c r="A145" s="20"/>
      <c r="B145" s="20"/>
      <c r="C145" s="20"/>
      <c r="D145" s="20"/>
      <c r="E145" s="20"/>
      <c r="F145" s="20"/>
      <c r="G145" s="20"/>
      <c r="H145" s="20"/>
      <c r="I145" s="20"/>
      <c r="J145" s="20"/>
      <c r="K145" s="20"/>
      <c r="L145" s="20"/>
      <c r="M145" s="20"/>
      <c r="N145" s="20"/>
      <c r="O145" s="20"/>
      <c r="P145" s="20"/>
      <c r="Q145" s="20"/>
      <c r="R145" s="20"/>
    </row>
    <row r="146">
      <c r="A146" s="20"/>
      <c r="B146" s="20"/>
      <c r="C146" s="20"/>
      <c r="D146" s="20"/>
      <c r="E146" s="20"/>
      <c r="F146" s="20"/>
      <c r="G146" s="20"/>
      <c r="H146" s="20"/>
      <c r="I146" s="20"/>
      <c r="J146" s="20"/>
      <c r="K146" s="20"/>
      <c r="L146" s="20"/>
      <c r="M146" s="20"/>
      <c r="N146" s="20"/>
      <c r="O146" s="20"/>
      <c r="P146" s="20"/>
      <c r="Q146" s="20"/>
      <c r="R146" s="20"/>
    </row>
    <row r="147">
      <c r="A147" s="20"/>
      <c r="B147" s="20"/>
      <c r="C147" s="20"/>
      <c r="D147" s="20"/>
      <c r="E147" s="20"/>
      <c r="F147" s="20"/>
      <c r="G147" s="20"/>
      <c r="H147" s="20"/>
      <c r="I147" s="20"/>
      <c r="J147" s="20"/>
      <c r="K147" s="20"/>
      <c r="L147" s="20"/>
      <c r="M147" s="20"/>
      <c r="N147" s="20"/>
      <c r="O147" s="20"/>
      <c r="P147" s="20"/>
      <c r="Q147" s="20"/>
      <c r="R147" s="20"/>
    </row>
    <row r="148">
      <c r="A148" s="20"/>
      <c r="B148" s="20"/>
      <c r="C148" s="20"/>
      <c r="D148" s="20"/>
      <c r="E148" s="20"/>
      <c r="F148" s="20"/>
      <c r="G148" s="20"/>
      <c r="H148" s="20"/>
      <c r="I148" s="20"/>
      <c r="J148" s="20"/>
      <c r="K148" s="20"/>
      <c r="L148" s="20"/>
      <c r="M148" s="20"/>
      <c r="N148" s="20"/>
      <c r="O148" s="20"/>
      <c r="P148" s="20"/>
      <c r="Q148" s="20"/>
      <c r="R148" s="20"/>
    </row>
    <row r="149">
      <c r="A149" s="20"/>
      <c r="B149" s="20"/>
      <c r="C149" s="20"/>
      <c r="D149" s="20"/>
      <c r="E149" s="20"/>
      <c r="F149" s="20"/>
      <c r="G149" s="20"/>
      <c r="H149" s="20"/>
      <c r="I149" s="20"/>
      <c r="J149" s="20"/>
      <c r="K149" s="20"/>
      <c r="L149" s="20"/>
      <c r="M149" s="20"/>
      <c r="N149" s="20"/>
      <c r="O149" s="20"/>
      <c r="P149" s="20"/>
      <c r="Q149" s="20"/>
      <c r="R149" s="20"/>
    </row>
    <row r="150">
      <c r="A150" s="20"/>
      <c r="B150" s="20"/>
      <c r="C150" s="20"/>
      <c r="D150" s="20"/>
      <c r="E150" s="20"/>
      <c r="F150" s="20"/>
      <c r="G150" s="20"/>
      <c r="H150" s="20"/>
      <c r="I150" s="20"/>
      <c r="J150" s="20"/>
      <c r="K150" s="20"/>
      <c r="L150" s="20"/>
      <c r="M150" s="20"/>
      <c r="N150" s="20"/>
      <c r="O150" s="20"/>
      <c r="P150" s="20"/>
      <c r="Q150" s="20"/>
      <c r="R150" s="20"/>
    </row>
    <row r="151">
      <c r="A151" s="20"/>
      <c r="B151" s="20"/>
      <c r="C151" s="20"/>
      <c r="D151" s="20"/>
      <c r="E151" s="20"/>
      <c r="F151" s="20"/>
      <c r="G151" s="20"/>
      <c r="H151" s="20"/>
      <c r="I151" s="20"/>
      <c r="J151" s="20"/>
      <c r="K151" s="20"/>
      <c r="L151" s="20"/>
      <c r="M151" s="20"/>
      <c r="N151" s="20"/>
      <c r="O151" s="20"/>
      <c r="P151" s="20"/>
      <c r="Q151" s="20"/>
      <c r="R151" s="20"/>
    </row>
    <row r="152">
      <c r="A152" s="20"/>
      <c r="B152" s="20"/>
      <c r="C152" s="20"/>
      <c r="D152" s="20"/>
      <c r="E152" s="20"/>
      <c r="F152" s="20"/>
      <c r="G152" s="20"/>
      <c r="H152" s="20"/>
      <c r="I152" s="20"/>
      <c r="J152" s="20"/>
      <c r="K152" s="20"/>
      <c r="L152" s="20"/>
      <c r="M152" s="20"/>
      <c r="N152" s="20"/>
      <c r="O152" s="20"/>
      <c r="P152" s="20"/>
      <c r="Q152" s="20"/>
      <c r="R152" s="20"/>
    </row>
    <row r="153">
      <c r="A153" s="20"/>
      <c r="B153" s="20"/>
      <c r="C153" s="20"/>
      <c r="D153" s="20"/>
      <c r="E153" s="20"/>
      <c r="F153" s="20"/>
      <c r="G153" s="20"/>
      <c r="H153" s="20"/>
      <c r="I153" s="20"/>
      <c r="J153" s="20"/>
      <c r="K153" s="20"/>
      <c r="L153" s="20"/>
      <c r="M153" s="20"/>
      <c r="N153" s="20"/>
      <c r="O153" s="20"/>
      <c r="P153" s="20"/>
      <c r="Q153" s="20"/>
      <c r="R153" s="20"/>
    </row>
    <row r="154">
      <c r="A154" s="20"/>
      <c r="B154" s="20"/>
      <c r="C154" s="20"/>
      <c r="D154" s="20"/>
      <c r="E154" s="20"/>
      <c r="F154" s="20"/>
      <c r="G154" s="20"/>
      <c r="H154" s="20"/>
      <c r="I154" s="20"/>
      <c r="J154" s="20"/>
      <c r="K154" s="20"/>
      <c r="L154" s="20"/>
      <c r="M154" s="20"/>
      <c r="N154" s="20"/>
      <c r="O154" s="20"/>
      <c r="P154" s="20"/>
      <c r="Q154" s="20"/>
      <c r="R154" s="20"/>
    </row>
    <row r="155">
      <c r="A155" s="20"/>
      <c r="B155" s="20"/>
      <c r="C155" s="20"/>
      <c r="D155" s="20"/>
      <c r="E155" s="20"/>
      <c r="F155" s="20"/>
      <c r="G155" s="20"/>
      <c r="H155" s="20"/>
      <c r="I155" s="20"/>
      <c r="J155" s="20"/>
      <c r="K155" s="20"/>
      <c r="L155" s="20"/>
      <c r="M155" s="20"/>
      <c r="N155" s="20"/>
      <c r="O155" s="20"/>
      <c r="P155" s="20"/>
      <c r="Q155" s="20"/>
      <c r="R155" s="20"/>
    </row>
    <row r="156">
      <c r="A156" s="20"/>
      <c r="B156" s="20"/>
      <c r="C156" s="20"/>
      <c r="D156" s="20"/>
      <c r="E156" s="20"/>
      <c r="F156" s="20"/>
      <c r="G156" s="20"/>
      <c r="H156" s="20"/>
      <c r="I156" s="20"/>
      <c r="J156" s="20"/>
      <c r="K156" s="20"/>
      <c r="L156" s="20"/>
      <c r="M156" s="20"/>
      <c r="N156" s="20"/>
      <c r="O156" s="20"/>
      <c r="P156" s="20"/>
      <c r="Q156" s="20"/>
      <c r="R156" s="20"/>
    </row>
    <row r="157">
      <c r="A157" s="20"/>
      <c r="B157" s="20"/>
      <c r="C157" s="20"/>
      <c r="D157" s="20"/>
      <c r="E157" s="20"/>
      <c r="F157" s="20"/>
      <c r="G157" s="20"/>
      <c r="H157" s="20"/>
      <c r="I157" s="20"/>
      <c r="J157" s="20"/>
      <c r="K157" s="20"/>
      <c r="L157" s="20"/>
      <c r="M157" s="20"/>
      <c r="N157" s="20"/>
      <c r="O157" s="20"/>
      <c r="P157" s="20"/>
      <c r="Q157" s="20"/>
      <c r="R157" s="20"/>
    </row>
    <row r="158">
      <c r="A158" s="20"/>
      <c r="B158" s="20"/>
      <c r="C158" s="20"/>
      <c r="D158" s="20"/>
      <c r="E158" s="20"/>
      <c r="F158" s="20"/>
      <c r="G158" s="20"/>
      <c r="H158" s="20"/>
      <c r="I158" s="20"/>
      <c r="J158" s="20"/>
      <c r="K158" s="20"/>
      <c r="L158" s="20"/>
      <c r="M158" s="20"/>
      <c r="N158" s="20"/>
      <c r="O158" s="20"/>
      <c r="P158" s="20"/>
      <c r="Q158" s="20"/>
      <c r="R158" s="20"/>
    </row>
    <row r="159">
      <c r="A159" s="20"/>
      <c r="B159" s="20"/>
      <c r="C159" s="20"/>
      <c r="D159" s="20"/>
      <c r="E159" s="20"/>
      <c r="F159" s="20"/>
      <c r="G159" s="20"/>
      <c r="H159" s="20"/>
      <c r="I159" s="20"/>
      <c r="J159" s="20"/>
      <c r="K159" s="20"/>
      <c r="L159" s="20"/>
      <c r="M159" s="20"/>
      <c r="N159" s="20"/>
      <c r="O159" s="20"/>
      <c r="P159" s="20"/>
      <c r="Q159" s="20"/>
      <c r="R159" s="20"/>
    </row>
    <row r="160">
      <c r="A160" s="20"/>
      <c r="B160" s="20"/>
      <c r="C160" s="20"/>
      <c r="D160" s="20"/>
      <c r="E160" s="20"/>
      <c r="F160" s="20"/>
      <c r="G160" s="20"/>
      <c r="H160" s="20"/>
      <c r="I160" s="20"/>
      <c r="J160" s="20"/>
      <c r="K160" s="20"/>
      <c r="L160" s="20"/>
      <c r="M160" s="20"/>
      <c r="N160" s="20"/>
      <c r="O160" s="20"/>
      <c r="P160" s="20"/>
      <c r="Q160" s="20"/>
      <c r="R160" s="20"/>
    </row>
    <row r="161">
      <c r="A161" s="20"/>
      <c r="B161" s="20"/>
      <c r="C161" s="20"/>
      <c r="D161" s="20"/>
      <c r="E161" s="20"/>
      <c r="F161" s="20"/>
      <c r="G161" s="20"/>
      <c r="H161" s="20"/>
      <c r="I161" s="20"/>
      <c r="J161" s="20"/>
      <c r="K161" s="20"/>
      <c r="L161" s="20"/>
      <c r="M161" s="20"/>
      <c r="N161" s="20"/>
      <c r="O161" s="20"/>
      <c r="P161" s="20"/>
      <c r="Q161" s="20"/>
      <c r="R161" s="20"/>
    </row>
    <row r="162">
      <c r="A162" s="20"/>
      <c r="B162" s="20"/>
      <c r="C162" s="20"/>
      <c r="D162" s="20"/>
      <c r="E162" s="20"/>
      <c r="F162" s="20"/>
      <c r="G162" s="20"/>
      <c r="H162" s="20"/>
      <c r="I162" s="20"/>
      <c r="J162" s="20"/>
      <c r="K162" s="20"/>
      <c r="L162" s="20"/>
      <c r="M162" s="20"/>
      <c r="N162" s="20"/>
      <c r="O162" s="20"/>
      <c r="P162" s="20"/>
      <c r="Q162" s="20"/>
      <c r="R162" s="20"/>
    </row>
    <row r="163">
      <c r="A163" s="20"/>
      <c r="B163" s="20"/>
      <c r="C163" s="20"/>
      <c r="D163" s="20"/>
      <c r="E163" s="20"/>
      <c r="F163" s="20"/>
      <c r="G163" s="20"/>
      <c r="H163" s="20"/>
      <c r="I163" s="20"/>
      <c r="J163" s="20"/>
      <c r="K163" s="20"/>
      <c r="L163" s="20"/>
      <c r="M163" s="20"/>
      <c r="N163" s="20"/>
      <c r="O163" s="20"/>
      <c r="P163" s="20"/>
      <c r="Q163" s="20"/>
      <c r="R163" s="20"/>
    </row>
    <row r="164">
      <c r="A164" s="20"/>
      <c r="B164" s="20"/>
      <c r="C164" s="20"/>
      <c r="D164" s="20"/>
      <c r="E164" s="20"/>
      <c r="F164" s="20"/>
      <c r="G164" s="20"/>
      <c r="H164" s="20"/>
      <c r="I164" s="20"/>
      <c r="J164" s="20"/>
      <c r="K164" s="20"/>
      <c r="L164" s="20"/>
      <c r="M164" s="20"/>
      <c r="N164" s="20"/>
      <c r="O164" s="20"/>
      <c r="P164" s="20"/>
      <c r="Q164" s="20"/>
      <c r="R164" s="20"/>
    </row>
    <row r="165">
      <c r="A165" s="20"/>
      <c r="B165" s="20"/>
      <c r="C165" s="20"/>
      <c r="D165" s="20"/>
      <c r="E165" s="20"/>
      <c r="F165" s="20"/>
      <c r="G165" s="20"/>
      <c r="H165" s="20"/>
      <c r="I165" s="20"/>
      <c r="J165" s="20"/>
      <c r="K165" s="20"/>
      <c r="L165" s="20"/>
      <c r="M165" s="20"/>
      <c r="N165" s="20"/>
      <c r="O165" s="20"/>
      <c r="P165" s="20"/>
      <c r="Q165" s="20"/>
      <c r="R165" s="20"/>
    </row>
    <row r="166">
      <c r="A166" s="20"/>
      <c r="B166" s="20"/>
      <c r="C166" s="20"/>
      <c r="D166" s="20"/>
      <c r="E166" s="20"/>
      <c r="F166" s="20"/>
      <c r="G166" s="20"/>
      <c r="H166" s="20"/>
      <c r="I166" s="20"/>
      <c r="J166" s="20"/>
      <c r="K166" s="20"/>
      <c r="L166" s="20"/>
      <c r="M166" s="20"/>
      <c r="N166" s="20"/>
      <c r="O166" s="20"/>
      <c r="P166" s="20"/>
      <c r="Q166" s="20"/>
      <c r="R166" s="20"/>
    </row>
    <row r="167">
      <c r="A167" s="20"/>
      <c r="B167" s="20"/>
      <c r="C167" s="20"/>
      <c r="D167" s="20"/>
      <c r="E167" s="20"/>
      <c r="F167" s="20"/>
      <c r="G167" s="20"/>
      <c r="H167" s="20"/>
      <c r="I167" s="20"/>
      <c r="J167" s="20"/>
      <c r="K167" s="20"/>
      <c r="L167" s="20"/>
      <c r="M167" s="20"/>
      <c r="N167" s="20"/>
      <c r="O167" s="20"/>
      <c r="P167" s="20"/>
      <c r="Q167" s="20"/>
      <c r="R167" s="20"/>
    </row>
    <row r="168">
      <c r="A168" s="20"/>
      <c r="B168" s="20"/>
      <c r="C168" s="20"/>
      <c r="D168" s="20"/>
      <c r="E168" s="20"/>
      <c r="F168" s="20"/>
      <c r="G168" s="20"/>
      <c r="H168" s="20"/>
      <c r="I168" s="20"/>
      <c r="J168" s="20"/>
      <c r="K168" s="20"/>
      <c r="L168" s="20"/>
      <c r="M168" s="20"/>
      <c r="N168" s="20"/>
      <c r="O168" s="20"/>
      <c r="P168" s="20"/>
      <c r="Q168" s="20"/>
      <c r="R168" s="20"/>
    </row>
    <row r="169">
      <c r="A169" s="20"/>
      <c r="B169" s="20"/>
      <c r="C169" s="20"/>
      <c r="D169" s="20"/>
      <c r="E169" s="20"/>
      <c r="F169" s="20"/>
      <c r="G169" s="20"/>
      <c r="H169" s="20"/>
      <c r="I169" s="20"/>
      <c r="J169" s="20"/>
      <c r="K169" s="20"/>
      <c r="L169" s="20"/>
      <c r="M169" s="20"/>
      <c r="N169" s="20"/>
      <c r="O169" s="20"/>
      <c r="P169" s="20"/>
      <c r="Q169" s="20"/>
      <c r="R169" s="20"/>
    </row>
    <row r="170">
      <c r="A170" s="20"/>
      <c r="B170" s="20"/>
      <c r="C170" s="20"/>
      <c r="D170" s="20"/>
      <c r="E170" s="20"/>
      <c r="F170" s="20"/>
      <c r="G170" s="20"/>
      <c r="H170" s="20"/>
      <c r="I170" s="20"/>
      <c r="J170" s="20"/>
      <c r="K170" s="20"/>
      <c r="L170" s="20"/>
      <c r="M170" s="20"/>
      <c r="N170" s="20"/>
      <c r="O170" s="20"/>
      <c r="P170" s="20"/>
      <c r="Q170" s="20"/>
      <c r="R170" s="20"/>
    </row>
    <row r="171">
      <c r="A171" s="20"/>
      <c r="B171" s="20"/>
      <c r="C171" s="20"/>
      <c r="D171" s="20"/>
      <c r="E171" s="20"/>
      <c r="F171" s="20"/>
      <c r="G171" s="20"/>
      <c r="H171" s="20"/>
      <c r="I171" s="20"/>
      <c r="J171" s="20"/>
      <c r="K171" s="20"/>
      <c r="L171" s="20"/>
      <c r="M171" s="20"/>
      <c r="N171" s="20"/>
      <c r="O171" s="20"/>
      <c r="P171" s="20"/>
      <c r="Q171" s="20"/>
      <c r="R171" s="20"/>
    </row>
    <row r="172">
      <c r="A172" s="20"/>
      <c r="B172" s="20"/>
      <c r="C172" s="20"/>
      <c r="D172" s="20"/>
      <c r="E172" s="20"/>
      <c r="F172" s="20"/>
      <c r="G172" s="20"/>
      <c r="H172" s="20"/>
      <c r="I172" s="20"/>
      <c r="J172" s="20"/>
      <c r="K172" s="20"/>
      <c r="L172" s="20"/>
      <c r="M172" s="20"/>
      <c r="N172" s="20"/>
      <c r="O172" s="20"/>
      <c r="P172" s="20"/>
      <c r="Q172" s="20"/>
      <c r="R172" s="20"/>
    </row>
    <row r="173">
      <c r="A173" s="20"/>
      <c r="B173" s="20"/>
      <c r="C173" s="20"/>
      <c r="D173" s="20"/>
      <c r="E173" s="20"/>
      <c r="F173" s="20"/>
      <c r="G173" s="20"/>
      <c r="H173" s="20"/>
      <c r="I173" s="20"/>
      <c r="J173" s="20"/>
      <c r="K173" s="20"/>
      <c r="L173" s="20"/>
      <c r="M173" s="20"/>
      <c r="N173" s="20"/>
      <c r="O173" s="20"/>
      <c r="P173" s="20"/>
      <c r="Q173" s="20"/>
      <c r="R173" s="20"/>
    </row>
    <row r="174">
      <c r="A174" s="20"/>
      <c r="B174" s="20"/>
      <c r="C174" s="20"/>
      <c r="D174" s="20"/>
      <c r="E174" s="20"/>
      <c r="F174" s="20"/>
      <c r="G174" s="20"/>
      <c r="H174" s="20"/>
      <c r="I174" s="20"/>
      <c r="J174" s="20"/>
      <c r="K174" s="20"/>
      <c r="L174" s="20"/>
      <c r="M174" s="20"/>
      <c r="N174" s="20"/>
      <c r="O174" s="20"/>
      <c r="P174" s="20"/>
      <c r="Q174" s="20"/>
      <c r="R174" s="20"/>
    </row>
    <row r="175">
      <c r="A175" s="20"/>
      <c r="B175" s="20"/>
      <c r="C175" s="20"/>
      <c r="D175" s="20"/>
      <c r="E175" s="20"/>
      <c r="F175" s="20"/>
      <c r="G175" s="20"/>
      <c r="H175" s="20"/>
      <c r="I175" s="20"/>
      <c r="J175" s="20"/>
      <c r="K175" s="20"/>
      <c r="L175" s="20"/>
      <c r="M175" s="20"/>
      <c r="N175" s="20"/>
      <c r="O175" s="20"/>
      <c r="P175" s="20"/>
      <c r="Q175" s="20"/>
      <c r="R175" s="20"/>
    </row>
    <row r="176">
      <c r="A176" s="20"/>
      <c r="B176" s="20"/>
      <c r="C176" s="20"/>
      <c r="D176" s="20"/>
      <c r="E176" s="20"/>
      <c r="F176" s="20"/>
      <c r="G176" s="20"/>
      <c r="H176" s="20"/>
      <c r="I176" s="20"/>
      <c r="J176" s="20"/>
      <c r="K176" s="20"/>
      <c r="L176" s="20"/>
      <c r="M176" s="20"/>
      <c r="N176" s="20"/>
      <c r="O176" s="20"/>
      <c r="P176" s="20"/>
      <c r="Q176" s="20"/>
      <c r="R176" s="20"/>
    </row>
    <row r="177">
      <c r="A177" s="20"/>
      <c r="B177" s="20"/>
      <c r="C177" s="20"/>
      <c r="D177" s="20"/>
      <c r="E177" s="20"/>
      <c r="F177" s="20"/>
      <c r="G177" s="20"/>
      <c r="H177" s="20"/>
      <c r="I177" s="20"/>
      <c r="J177" s="20"/>
      <c r="K177" s="20"/>
      <c r="L177" s="20"/>
      <c r="M177" s="20"/>
      <c r="N177" s="20"/>
      <c r="O177" s="20"/>
      <c r="P177" s="20"/>
      <c r="Q177" s="20"/>
      <c r="R177" s="20"/>
    </row>
    <row r="178">
      <c r="A178" s="20"/>
      <c r="B178" s="20"/>
      <c r="C178" s="20"/>
      <c r="D178" s="20"/>
      <c r="E178" s="20"/>
      <c r="F178" s="20"/>
      <c r="G178" s="20"/>
      <c r="H178" s="20"/>
      <c r="I178" s="20"/>
      <c r="J178" s="20"/>
      <c r="K178" s="20"/>
      <c r="L178" s="20"/>
      <c r="M178" s="20"/>
      <c r="N178" s="20"/>
      <c r="O178" s="20"/>
      <c r="P178" s="20"/>
      <c r="Q178" s="20"/>
      <c r="R178" s="20"/>
    </row>
    <row r="179">
      <c r="A179" s="20"/>
      <c r="B179" s="20"/>
      <c r="C179" s="20"/>
      <c r="D179" s="20"/>
      <c r="E179" s="20"/>
      <c r="F179" s="20"/>
      <c r="G179" s="20"/>
      <c r="H179" s="20"/>
      <c r="I179" s="20"/>
      <c r="J179" s="20"/>
      <c r="K179" s="20"/>
      <c r="L179" s="20"/>
      <c r="M179" s="20"/>
      <c r="N179" s="20"/>
      <c r="O179" s="20"/>
      <c r="P179" s="20"/>
      <c r="Q179" s="20"/>
      <c r="R179" s="20"/>
    </row>
    <row r="180">
      <c r="A180" s="20"/>
      <c r="B180" s="20"/>
      <c r="C180" s="20"/>
      <c r="D180" s="20"/>
      <c r="E180" s="20"/>
      <c r="F180" s="20"/>
      <c r="G180" s="20"/>
      <c r="H180" s="20"/>
      <c r="I180" s="20"/>
      <c r="J180" s="20"/>
      <c r="K180" s="20"/>
      <c r="L180" s="20"/>
      <c r="M180" s="20"/>
      <c r="N180" s="20"/>
      <c r="O180" s="20"/>
      <c r="P180" s="20"/>
      <c r="Q180" s="20"/>
      <c r="R180" s="20"/>
    </row>
    <row r="181">
      <c r="A181" s="20"/>
      <c r="B181" s="20"/>
      <c r="C181" s="20"/>
      <c r="D181" s="20"/>
      <c r="E181" s="20"/>
      <c r="F181" s="20"/>
      <c r="G181" s="20"/>
      <c r="H181" s="20"/>
      <c r="I181" s="20"/>
      <c r="J181" s="20"/>
      <c r="K181" s="20"/>
      <c r="L181" s="20"/>
      <c r="M181" s="20"/>
      <c r="N181" s="20"/>
      <c r="O181" s="20"/>
      <c r="P181" s="20"/>
      <c r="Q181" s="20"/>
      <c r="R181" s="20"/>
    </row>
    <row r="182">
      <c r="A182" s="20"/>
      <c r="B182" s="20"/>
      <c r="C182" s="20"/>
      <c r="D182" s="20"/>
      <c r="E182" s="20"/>
      <c r="F182" s="20"/>
      <c r="G182" s="20"/>
      <c r="H182" s="20"/>
      <c r="I182" s="20"/>
      <c r="J182" s="20"/>
      <c r="K182" s="20"/>
      <c r="L182" s="20"/>
      <c r="M182" s="20"/>
      <c r="N182" s="20"/>
      <c r="O182" s="20"/>
      <c r="P182" s="20"/>
      <c r="Q182" s="20"/>
      <c r="R182" s="20"/>
    </row>
    <row r="183">
      <c r="A183" s="20"/>
      <c r="B183" s="20"/>
      <c r="C183" s="20"/>
      <c r="D183" s="20"/>
      <c r="E183" s="20"/>
      <c r="F183" s="20"/>
      <c r="G183" s="20"/>
      <c r="H183" s="20"/>
      <c r="I183" s="20"/>
      <c r="J183" s="20"/>
      <c r="K183" s="20"/>
      <c r="L183" s="20"/>
      <c r="M183" s="20"/>
      <c r="N183" s="20"/>
      <c r="O183" s="20"/>
      <c r="P183" s="20"/>
      <c r="Q183" s="20"/>
      <c r="R183" s="20"/>
    </row>
    <row r="184">
      <c r="A184" s="20"/>
      <c r="B184" s="20"/>
      <c r="C184" s="20"/>
      <c r="D184" s="20"/>
      <c r="E184" s="20"/>
      <c r="F184" s="20"/>
      <c r="G184" s="20"/>
      <c r="H184" s="20"/>
      <c r="I184" s="20"/>
      <c r="J184" s="20"/>
      <c r="K184" s="20"/>
      <c r="L184" s="20"/>
      <c r="M184" s="20"/>
      <c r="N184" s="20"/>
      <c r="O184" s="20"/>
      <c r="P184" s="20"/>
      <c r="Q184" s="20"/>
      <c r="R184" s="20"/>
    </row>
    <row r="185">
      <c r="A185" s="20"/>
      <c r="B185" s="20"/>
      <c r="C185" s="20"/>
      <c r="D185" s="20"/>
      <c r="E185" s="20"/>
      <c r="F185" s="20"/>
      <c r="G185" s="20"/>
      <c r="H185" s="20"/>
      <c r="I185" s="20"/>
      <c r="J185" s="20"/>
      <c r="K185" s="20"/>
      <c r="L185" s="20"/>
      <c r="M185" s="20"/>
      <c r="N185" s="20"/>
      <c r="O185" s="20"/>
      <c r="P185" s="20"/>
      <c r="Q185" s="20"/>
      <c r="R185" s="20"/>
    </row>
    <row r="186">
      <c r="A186" s="20"/>
      <c r="B186" s="20"/>
      <c r="C186" s="20"/>
      <c r="D186" s="20"/>
      <c r="E186" s="20"/>
      <c r="F186" s="20"/>
      <c r="G186" s="20"/>
      <c r="H186" s="20"/>
      <c r="I186" s="20"/>
      <c r="J186" s="20"/>
      <c r="K186" s="20"/>
      <c r="L186" s="20"/>
      <c r="M186" s="20"/>
      <c r="N186" s="20"/>
      <c r="O186" s="20"/>
      <c r="P186" s="20"/>
      <c r="Q186" s="20"/>
      <c r="R186" s="20"/>
    </row>
    <row r="187">
      <c r="A187" s="20"/>
      <c r="B187" s="20"/>
      <c r="C187" s="20"/>
      <c r="D187" s="20"/>
      <c r="E187" s="20"/>
      <c r="F187" s="20"/>
      <c r="G187" s="20"/>
      <c r="H187" s="20"/>
      <c r="I187" s="20"/>
      <c r="J187" s="20"/>
      <c r="K187" s="20"/>
      <c r="L187" s="20"/>
      <c r="M187" s="20"/>
      <c r="N187" s="20"/>
      <c r="O187" s="20"/>
      <c r="P187" s="20"/>
      <c r="Q187" s="20"/>
      <c r="R187" s="20"/>
    </row>
    <row r="188">
      <c r="A188" s="20"/>
      <c r="B188" s="20"/>
      <c r="C188" s="20"/>
      <c r="D188" s="20"/>
      <c r="E188" s="20"/>
      <c r="F188" s="20"/>
      <c r="G188" s="20"/>
      <c r="H188" s="20"/>
      <c r="I188" s="20"/>
      <c r="J188" s="20"/>
      <c r="K188" s="20"/>
      <c r="L188" s="20"/>
      <c r="M188" s="20"/>
      <c r="N188" s="20"/>
      <c r="O188" s="20"/>
      <c r="P188" s="20"/>
      <c r="Q188" s="20"/>
      <c r="R188" s="20"/>
    </row>
    <row r="189">
      <c r="A189" s="20"/>
      <c r="B189" s="20"/>
      <c r="C189" s="20"/>
      <c r="D189" s="20"/>
      <c r="E189" s="20"/>
      <c r="F189" s="20"/>
      <c r="G189" s="20"/>
      <c r="H189" s="20"/>
      <c r="I189" s="20"/>
      <c r="J189" s="20"/>
      <c r="K189" s="20"/>
      <c r="L189" s="20"/>
      <c r="M189" s="20"/>
      <c r="N189" s="20"/>
      <c r="O189" s="20"/>
      <c r="P189" s="20"/>
      <c r="Q189" s="20"/>
      <c r="R189" s="20"/>
    </row>
    <row r="190">
      <c r="A190" s="20"/>
      <c r="B190" s="20"/>
      <c r="C190" s="20"/>
      <c r="D190" s="20"/>
      <c r="E190" s="20"/>
      <c r="F190" s="20"/>
      <c r="G190" s="20"/>
      <c r="H190" s="20"/>
      <c r="I190" s="20"/>
      <c r="J190" s="20"/>
      <c r="K190" s="20"/>
      <c r="L190" s="20"/>
      <c r="M190" s="20"/>
      <c r="N190" s="20"/>
      <c r="O190" s="20"/>
      <c r="P190" s="20"/>
      <c r="Q190" s="20"/>
      <c r="R190" s="20"/>
    </row>
    <row r="191">
      <c r="A191" s="20"/>
      <c r="B191" s="20"/>
      <c r="C191" s="20"/>
      <c r="D191" s="20"/>
      <c r="E191" s="20"/>
      <c r="F191" s="20"/>
      <c r="G191" s="20"/>
      <c r="H191" s="20"/>
      <c r="I191" s="20"/>
      <c r="J191" s="20"/>
      <c r="K191" s="20"/>
      <c r="L191" s="20"/>
      <c r="M191" s="20"/>
      <c r="N191" s="20"/>
      <c r="O191" s="20"/>
      <c r="P191" s="20"/>
      <c r="Q191" s="20"/>
      <c r="R191" s="20"/>
    </row>
    <row r="192">
      <c r="A192" s="20"/>
      <c r="B192" s="20"/>
      <c r="C192" s="20"/>
      <c r="D192" s="20"/>
      <c r="E192" s="20"/>
      <c r="F192" s="20"/>
      <c r="G192" s="20"/>
      <c r="H192" s="20"/>
      <c r="I192" s="20"/>
      <c r="J192" s="20"/>
      <c r="K192" s="20"/>
      <c r="L192" s="20"/>
      <c r="M192" s="20"/>
      <c r="N192" s="20"/>
      <c r="O192" s="20"/>
      <c r="P192" s="20"/>
      <c r="Q192" s="20"/>
      <c r="R192" s="20"/>
    </row>
    <row r="193">
      <c r="A193" s="20"/>
      <c r="B193" s="20"/>
      <c r="C193" s="20"/>
      <c r="D193" s="20"/>
      <c r="E193" s="20"/>
      <c r="F193" s="20"/>
      <c r="G193" s="20"/>
      <c r="H193" s="20"/>
      <c r="I193" s="20"/>
      <c r="J193" s="20"/>
      <c r="K193" s="20"/>
      <c r="L193" s="20"/>
      <c r="M193" s="20"/>
      <c r="N193" s="20"/>
      <c r="O193" s="20"/>
      <c r="P193" s="20"/>
      <c r="Q193" s="20"/>
      <c r="R193" s="20"/>
    </row>
    <row r="194">
      <c r="A194" s="20"/>
      <c r="B194" s="20"/>
      <c r="C194" s="20"/>
      <c r="D194" s="20"/>
      <c r="E194" s="20"/>
      <c r="F194" s="20"/>
      <c r="G194" s="20"/>
      <c r="H194" s="20"/>
      <c r="I194" s="20"/>
      <c r="J194" s="20"/>
      <c r="K194" s="20"/>
      <c r="L194" s="20"/>
      <c r="M194" s="20"/>
      <c r="N194" s="20"/>
      <c r="O194" s="20"/>
      <c r="P194" s="20"/>
      <c r="Q194" s="20"/>
      <c r="R194" s="20"/>
    </row>
    <row r="195">
      <c r="A195" s="20"/>
      <c r="B195" s="20"/>
      <c r="C195" s="20"/>
      <c r="D195" s="20"/>
      <c r="E195" s="20"/>
      <c r="F195" s="20"/>
      <c r="G195" s="20"/>
      <c r="H195" s="20"/>
      <c r="I195" s="20"/>
      <c r="J195" s="20"/>
      <c r="K195" s="20"/>
      <c r="L195" s="20"/>
      <c r="M195" s="20"/>
      <c r="N195" s="20"/>
      <c r="O195" s="20"/>
      <c r="P195" s="20"/>
      <c r="Q195" s="20"/>
      <c r="R195" s="20"/>
    </row>
    <row r="196">
      <c r="A196" s="20"/>
      <c r="B196" s="20"/>
      <c r="C196" s="20"/>
      <c r="D196" s="20"/>
      <c r="E196" s="20"/>
      <c r="F196" s="20"/>
      <c r="G196" s="20"/>
      <c r="H196" s="20"/>
      <c r="I196" s="20"/>
      <c r="J196" s="20"/>
      <c r="K196" s="20"/>
      <c r="L196" s="20"/>
      <c r="M196" s="20"/>
      <c r="N196" s="20"/>
      <c r="O196" s="20"/>
      <c r="P196" s="20"/>
      <c r="Q196" s="20"/>
      <c r="R196" s="20"/>
    </row>
    <row r="197">
      <c r="A197" s="20"/>
      <c r="B197" s="20"/>
      <c r="C197" s="20"/>
      <c r="D197" s="20"/>
      <c r="E197" s="20"/>
      <c r="F197" s="20"/>
      <c r="G197" s="20"/>
      <c r="H197" s="20"/>
      <c r="I197" s="20"/>
      <c r="J197" s="20"/>
      <c r="K197" s="20"/>
      <c r="L197" s="20"/>
      <c r="M197" s="20"/>
      <c r="N197" s="20"/>
      <c r="O197" s="20"/>
      <c r="P197" s="20"/>
      <c r="Q197" s="20"/>
      <c r="R197" s="20"/>
    </row>
    <row r="198">
      <c r="A198" s="20"/>
      <c r="B198" s="20"/>
      <c r="C198" s="20"/>
      <c r="D198" s="20"/>
      <c r="E198" s="20"/>
      <c r="F198" s="20"/>
      <c r="G198" s="20"/>
      <c r="H198" s="20"/>
      <c r="I198" s="20"/>
      <c r="J198" s="20"/>
      <c r="K198" s="20"/>
      <c r="L198" s="20"/>
      <c r="M198" s="20"/>
      <c r="N198" s="20"/>
      <c r="O198" s="20"/>
      <c r="P198" s="20"/>
      <c r="Q198" s="20"/>
      <c r="R198" s="20"/>
    </row>
    <row r="199">
      <c r="A199" s="20"/>
      <c r="B199" s="20"/>
      <c r="C199" s="20"/>
      <c r="D199" s="20"/>
      <c r="E199" s="20"/>
      <c r="F199" s="20"/>
      <c r="G199" s="20"/>
      <c r="H199" s="20"/>
      <c r="I199" s="20"/>
      <c r="J199" s="20"/>
      <c r="K199" s="20"/>
      <c r="L199" s="20"/>
      <c r="M199" s="20"/>
      <c r="N199" s="20"/>
      <c r="O199" s="20"/>
      <c r="P199" s="20"/>
      <c r="Q199" s="20"/>
      <c r="R199" s="20"/>
    </row>
    <row r="200">
      <c r="A200" s="20"/>
      <c r="B200" s="20"/>
      <c r="C200" s="20"/>
      <c r="D200" s="20"/>
      <c r="E200" s="20"/>
      <c r="F200" s="20"/>
      <c r="G200" s="20"/>
      <c r="H200" s="20"/>
      <c r="I200" s="20"/>
      <c r="J200" s="20"/>
      <c r="K200" s="20"/>
      <c r="L200" s="20"/>
      <c r="M200" s="20"/>
      <c r="N200" s="20"/>
      <c r="O200" s="20"/>
      <c r="P200" s="20"/>
      <c r="Q200" s="20"/>
      <c r="R200" s="20"/>
    </row>
    <row r="201">
      <c r="A201" s="20"/>
      <c r="B201" s="20"/>
      <c r="C201" s="20"/>
      <c r="D201" s="20"/>
      <c r="E201" s="20"/>
      <c r="F201" s="20"/>
      <c r="G201" s="20"/>
      <c r="H201" s="20"/>
      <c r="I201" s="20"/>
      <c r="J201" s="20"/>
      <c r="K201" s="20"/>
      <c r="L201" s="20"/>
      <c r="M201" s="20"/>
      <c r="N201" s="20"/>
      <c r="O201" s="20"/>
      <c r="P201" s="20"/>
      <c r="Q201" s="20"/>
      <c r="R201" s="20"/>
    </row>
    <row r="202">
      <c r="A202" s="20"/>
      <c r="B202" s="20"/>
      <c r="C202" s="20"/>
      <c r="D202" s="20"/>
      <c r="E202" s="20"/>
      <c r="F202" s="20"/>
      <c r="G202" s="20"/>
      <c r="H202" s="20"/>
      <c r="I202" s="20"/>
      <c r="J202" s="20"/>
      <c r="K202" s="20"/>
      <c r="L202" s="20"/>
      <c r="M202" s="20"/>
      <c r="N202" s="20"/>
      <c r="O202" s="20"/>
      <c r="P202" s="20"/>
      <c r="Q202" s="20"/>
      <c r="R202" s="20"/>
    </row>
    <row r="203">
      <c r="A203" s="20"/>
      <c r="B203" s="20"/>
      <c r="C203" s="20"/>
      <c r="D203" s="20"/>
      <c r="E203" s="20"/>
      <c r="F203" s="20"/>
      <c r="G203" s="20"/>
      <c r="H203" s="20"/>
      <c r="I203" s="20"/>
      <c r="J203" s="20"/>
      <c r="K203" s="20"/>
      <c r="L203" s="20"/>
      <c r="M203" s="20"/>
      <c r="N203" s="20"/>
      <c r="O203" s="20"/>
      <c r="P203" s="20"/>
      <c r="Q203" s="20"/>
      <c r="R203" s="20"/>
    </row>
    <row r="204">
      <c r="A204" s="20"/>
      <c r="B204" s="20"/>
      <c r="C204" s="20"/>
      <c r="D204" s="20"/>
      <c r="E204" s="20"/>
      <c r="F204" s="20"/>
      <c r="G204" s="20"/>
      <c r="H204" s="20"/>
      <c r="I204" s="20"/>
      <c r="J204" s="20"/>
      <c r="K204" s="20"/>
      <c r="L204" s="20"/>
      <c r="M204" s="20"/>
      <c r="N204" s="20"/>
      <c r="O204" s="20"/>
      <c r="P204" s="20"/>
      <c r="Q204" s="20"/>
      <c r="R204" s="20"/>
    </row>
    <row r="205">
      <c r="A205" s="20"/>
      <c r="B205" s="20"/>
      <c r="C205" s="20"/>
      <c r="D205" s="20"/>
      <c r="E205" s="20"/>
      <c r="F205" s="20"/>
      <c r="G205" s="20"/>
      <c r="H205" s="20"/>
      <c r="I205" s="20"/>
      <c r="J205" s="20"/>
      <c r="K205" s="20"/>
      <c r="L205" s="20"/>
      <c r="M205" s="20"/>
      <c r="N205" s="20"/>
      <c r="O205" s="20"/>
      <c r="P205" s="20"/>
      <c r="Q205" s="20"/>
      <c r="R205" s="20"/>
    </row>
    <row r="206">
      <c r="A206" s="20"/>
      <c r="B206" s="20"/>
      <c r="C206" s="20"/>
      <c r="D206" s="20"/>
      <c r="E206" s="20"/>
      <c r="F206" s="20"/>
      <c r="G206" s="20"/>
      <c r="H206" s="20"/>
      <c r="I206" s="20"/>
      <c r="J206" s="20"/>
      <c r="K206" s="20"/>
      <c r="L206" s="20"/>
      <c r="M206" s="20"/>
      <c r="N206" s="20"/>
      <c r="O206" s="20"/>
      <c r="P206" s="20"/>
      <c r="Q206" s="20"/>
      <c r="R206" s="20"/>
    </row>
    <row r="207">
      <c r="A207" s="20"/>
      <c r="B207" s="20"/>
      <c r="C207" s="20"/>
      <c r="D207" s="20"/>
      <c r="E207" s="20"/>
      <c r="F207" s="20"/>
      <c r="G207" s="20"/>
      <c r="H207" s="20"/>
      <c r="I207" s="20"/>
      <c r="J207" s="20"/>
      <c r="K207" s="20"/>
      <c r="L207" s="20"/>
      <c r="M207" s="20"/>
      <c r="N207" s="20"/>
      <c r="O207" s="20"/>
      <c r="P207" s="20"/>
      <c r="Q207" s="20"/>
      <c r="R207" s="20"/>
    </row>
    <row r="208">
      <c r="A208" s="20"/>
      <c r="B208" s="20"/>
      <c r="C208" s="20"/>
      <c r="D208" s="20"/>
      <c r="E208" s="20"/>
      <c r="F208" s="20"/>
      <c r="G208" s="20"/>
      <c r="H208" s="20"/>
      <c r="I208" s="20"/>
      <c r="J208" s="20"/>
      <c r="K208" s="20"/>
      <c r="L208" s="20"/>
      <c r="M208" s="20"/>
      <c r="N208" s="20"/>
      <c r="O208" s="20"/>
      <c r="P208" s="20"/>
      <c r="Q208" s="20"/>
      <c r="R208" s="20"/>
    </row>
    <row r="209">
      <c r="A209" s="20"/>
      <c r="B209" s="20"/>
      <c r="C209" s="20"/>
      <c r="D209" s="20"/>
      <c r="E209" s="20"/>
      <c r="F209" s="20"/>
      <c r="G209" s="20"/>
      <c r="H209" s="20"/>
      <c r="I209" s="20"/>
      <c r="J209" s="20"/>
      <c r="K209" s="20"/>
      <c r="L209" s="20"/>
      <c r="M209" s="20"/>
      <c r="N209" s="20"/>
      <c r="O209" s="20"/>
      <c r="P209" s="20"/>
      <c r="Q209" s="20"/>
      <c r="R209" s="20"/>
    </row>
    <row r="210">
      <c r="A210" s="20"/>
      <c r="B210" s="20"/>
      <c r="C210" s="20"/>
      <c r="D210" s="20"/>
      <c r="E210" s="20"/>
      <c r="F210" s="20"/>
      <c r="G210" s="20"/>
      <c r="H210" s="20"/>
      <c r="I210" s="20"/>
      <c r="J210" s="20"/>
      <c r="K210" s="20"/>
      <c r="L210" s="20"/>
      <c r="M210" s="20"/>
      <c r="N210" s="20"/>
      <c r="O210" s="20"/>
      <c r="P210" s="20"/>
      <c r="Q210" s="20"/>
      <c r="R210" s="20"/>
    </row>
    <row r="211">
      <c r="A211" s="20"/>
      <c r="B211" s="20"/>
      <c r="C211" s="20"/>
      <c r="D211" s="20"/>
      <c r="E211" s="20"/>
      <c r="F211" s="20"/>
      <c r="G211" s="20"/>
      <c r="H211" s="20"/>
      <c r="I211" s="20"/>
      <c r="J211" s="20"/>
      <c r="K211" s="20"/>
      <c r="L211" s="20"/>
      <c r="M211" s="20"/>
      <c r="N211" s="20"/>
      <c r="O211" s="20"/>
      <c r="P211" s="20"/>
      <c r="Q211" s="20"/>
      <c r="R211" s="20"/>
    </row>
    <row r="212">
      <c r="A212" s="20"/>
      <c r="B212" s="20"/>
      <c r="C212" s="20"/>
      <c r="D212" s="20"/>
      <c r="E212" s="20"/>
      <c r="F212" s="20"/>
      <c r="G212" s="20"/>
      <c r="H212" s="20"/>
      <c r="I212" s="20"/>
      <c r="J212" s="20"/>
      <c r="K212" s="20"/>
      <c r="L212" s="20"/>
      <c r="M212" s="20"/>
      <c r="N212" s="20"/>
      <c r="O212" s="20"/>
      <c r="P212" s="20"/>
      <c r="Q212" s="20"/>
      <c r="R212" s="20"/>
    </row>
    <row r="213">
      <c r="A213" s="20"/>
      <c r="B213" s="20"/>
      <c r="C213" s="20"/>
      <c r="D213" s="20"/>
      <c r="E213" s="20"/>
      <c r="F213" s="20"/>
      <c r="G213" s="20"/>
      <c r="H213" s="20"/>
      <c r="I213" s="20"/>
      <c r="J213" s="20"/>
      <c r="K213" s="20"/>
      <c r="L213" s="20"/>
      <c r="M213" s="20"/>
      <c r="N213" s="20"/>
      <c r="O213" s="20"/>
      <c r="P213" s="20"/>
      <c r="Q213" s="20"/>
      <c r="R213" s="20"/>
    </row>
    <row r="214">
      <c r="A214" s="20"/>
      <c r="B214" s="20"/>
      <c r="C214" s="20"/>
      <c r="D214" s="20"/>
      <c r="E214" s="20"/>
      <c r="F214" s="20"/>
      <c r="G214" s="20"/>
      <c r="H214" s="20"/>
      <c r="I214" s="20"/>
      <c r="J214" s="20"/>
      <c r="K214" s="20"/>
      <c r="L214" s="20"/>
      <c r="M214" s="20"/>
      <c r="N214" s="20"/>
      <c r="O214" s="20"/>
      <c r="P214" s="20"/>
      <c r="Q214" s="20"/>
      <c r="R214" s="20"/>
    </row>
    <row r="215">
      <c r="A215" s="20"/>
      <c r="B215" s="20"/>
      <c r="C215" s="20"/>
      <c r="D215" s="20"/>
      <c r="E215" s="20"/>
      <c r="F215" s="20"/>
      <c r="G215" s="20"/>
      <c r="H215" s="20"/>
      <c r="I215" s="20"/>
      <c r="J215" s="20"/>
      <c r="K215" s="20"/>
      <c r="L215" s="20"/>
      <c r="M215" s="20"/>
      <c r="N215" s="20"/>
      <c r="O215" s="20"/>
      <c r="P215" s="20"/>
      <c r="Q215" s="20"/>
      <c r="R215" s="20"/>
    </row>
    <row r="216">
      <c r="A216" s="20"/>
      <c r="B216" s="20"/>
      <c r="C216" s="20"/>
      <c r="D216" s="20"/>
      <c r="E216" s="20"/>
      <c r="F216" s="20"/>
      <c r="G216" s="20"/>
      <c r="H216" s="20"/>
      <c r="I216" s="20"/>
      <c r="J216" s="20"/>
      <c r="K216" s="20"/>
      <c r="L216" s="20"/>
      <c r="M216" s="20"/>
      <c r="N216" s="20"/>
      <c r="O216" s="20"/>
      <c r="P216" s="20"/>
      <c r="Q216" s="20"/>
      <c r="R216" s="20"/>
    </row>
    <row r="217">
      <c r="A217" s="20"/>
      <c r="B217" s="20"/>
      <c r="C217" s="20"/>
      <c r="D217" s="20"/>
      <c r="E217" s="20"/>
      <c r="F217" s="20"/>
      <c r="G217" s="20"/>
      <c r="H217" s="20"/>
      <c r="I217" s="20"/>
      <c r="J217" s="20"/>
      <c r="K217" s="20"/>
      <c r="L217" s="20"/>
      <c r="M217" s="20"/>
      <c r="N217" s="20"/>
      <c r="O217" s="20"/>
      <c r="P217" s="20"/>
      <c r="Q217" s="20"/>
      <c r="R217" s="20"/>
    </row>
    <row r="218">
      <c r="A218" s="20"/>
      <c r="B218" s="20"/>
      <c r="C218" s="20"/>
      <c r="D218" s="20"/>
      <c r="E218" s="20"/>
      <c r="F218" s="20"/>
      <c r="G218" s="20"/>
      <c r="H218" s="20"/>
      <c r="I218" s="20"/>
      <c r="J218" s="20"/>
      <c r="K218" s="20"/>
      <c r="L218" s="20"/>
      <c r="M218" s="20"/>
      <c r="N218" s="20"/>
      <c r="O218" s="20"/>
      <c r="P218" s="20"/>
      <c r="Q218" s="20"/>
      <c r="R218" s="20"/>
    </row>
    <row r="219">
      <c r="A219" s="20"/>
      <c r="B219" s="20"/>
      <c r="C219" s="20"/>
      <c r="D219" s="20"/>
      <c r="E219" s="20"/>
      <c r="F219" s="20"/>
      <c r="G219" s="20"/>
      <c r="H219" s="20"/>
      <c r="I219" s="20"/>
      <c r="J219" s="20"/>
      <c r="K219" s="20"/>
      <c r="L219" s="20"/>
      <c r="M219" s="20"/>
      <c r="N219" s="20"/>
      <c r="O219" s="20"/>
      <c r="P219" s="20"/>
      <c r="Q219" s="20"/>
      <c r="R219" s="20"/>
    </row>
    <row r="220">
      <c r="A220" s="20"/>
      <c r="B220" s="20"/>
      <c r="C220" s="20"/>
      <c r="D220" s="20"/>
      <c r="E220" s="20"/>
      <c r="F220" s="20"/>
      <c r="G220" s="20"/>
      <c r="H220" s="20"/>
      <c r="I220" s="20"/>
      <c r="J220" s="20"/>
      <c r="K220" s="20"/>
      <c r="L220" s="20"/>
      <c r="M220" s="20"/>
      <c r="N220" s="20"/>
      <c r="O220" s="20"/>
      <c r="P220" s="20"/>
      <c r="Q220" s="20"/>
      <c r="R220" s="20"/>
    </row>
    <row r="221">
      <c r="A221" s="20"/>
      <c r="B221" s="20"/>
      <c r="C221" s="20"/>
      <c r="D221" s="20"/>
      <c r="E221" s="20"/>
      <c r="F221" s="20"/>
      <c r="G221" s="20"/>
      <c r="H221" s="20"/>
      <c r="I221" s="20"/>
      <c r="J221" s="20"/>
      <c r="K221" s="20"/>
      <c r="L221" s="20"/>
      <c r="M221" s="20"/>
      <c r="N221" s="20"/>
      <c r="O221" s="20"/>
      <c r="P221" s="20"/>
      <c r="Q221" s="20"/>
      <c r="R221" s="20"/>
    </row>
    <row r="222">
      <c r="A222" s="20"/>
      <c r="B222" s="20"/>
      <c r="C222" s="20"/>
      <c r="D222" s="20"/>
      <c r="E222" s="20"/>
      <c r="F222" s="20"/>
      <c r="G222" s="20"/>
      <c r="H222" s="20"/>
      <c r="I222" s="20"/>
      <c r="J222" s="20"/>
      <c r="K222" s="20"/>
      <c r="L222" s="20"/>
      <c r="M222" s="20"/>
      <c r="N222" s="20"/>
      <c r="O222" s="20"/>
      <c r="P222" s="20"/>
      <c r="Q222" s="20"/>
      <c r="R222" s="20"/>
    </row>
    <row r="223">
      <c r="A223" s="20"/>
      <c r="B223" s="20"/>
      <c r="C223" s="20"/>
      <c r="D223" s="20"/>
      <c r="E223" s="20"/>
      <c r="F223" s="20"/>
      <c r="G223" s="20"/>
      <c r="H223" s="20"/>
      <c r="I223" s="20"/>
      <c r="J223" s="20"/>
      <c r="K223" s="20"/>
      <c r="L223" s="20"/>
      <c r="M223" s="20"/>
      <c r="N223" s="20"/>
      <c r="O223" s="20"/>
      <c r="P223" s="20"/>
      <c r="Q223" s="20"/>
      <c r="R223" s="20"/>
    </row>
    <row r="224">
      <c r="A224" s="20"/>
      <c r="B224" s="20"/>
      <c r="C224" s="20"/>
      <c r="D224" s="20"/>
      <c r="E224" s="20"/>
      <c r="F224" s="20"/>
      <c r="G224" s="20"/>
      <c r="H224" s="20"/>
      <c r="I224" s="20"/>
      <c r="J224" s="20"/>
      <c r="K224" s="20"/>
      <c r="L224" s="20"/>
      <c r="M224" s="20"/>
      <c r="N224" s="20"/>
      <c r="O224" s="20"/>
      <c r="P224" s="20"/>
      <c r="Q224" s="20"/>
      <c r="R224" s="20"/>
    </row>
    <row r="225">
      <c r="A225" s="20"/>
      <c r="B225" s="20"/>
      <c r="C225" s="20"/>
      <c r="D225" s="20"/>
      <c r="E225" s="20"/>
      <c r="F225" s="20"/>
      <c r="G225" s="20"/>
      <c r="H225" s="20"/>
      <c r="I225" s="20"/>
      <c r="J225" s="20"/>
      <c r="K225" s="20"/>
      <c r="L225" s="20"/>
      <c r="M225" s="20"/>
      <c r="N225" s="20"/>
      <c r="O225" s="20"/>
      <c r="P225" s="20"/>
      <c r="Q225" s="20"/>
      <c r="R225" s="20"/>
    </row>
    <row r="226">
      <c r="A226" s="20"/>
      <c r="B226" s="20"/>
      <c r="C226" s="20"/>
      <c r="D226" s="20"/>
      <c r="E226" s="20"/>
      <c r="F226" s="20"/>
      <c r="G226" s="20"/>
      <c r="H226" s="20"/>
      <c r="I226" s="20"/>
      <c r="J226" s="20"/>
      <c r="K226" s="20"/>
      <c r="L226" s="20"/>
      <c r="M226" s="20"/>
      <c r="N226" s="20"/>
      <c r="O226" s="20"/>
      <c r="P226" s="20"/>
      <c r="Q226" s="20"/>
      <c r="R226" s="20"/>
    </row>
    <row r="227">
      <c r="A227" s="20"/>
      <c r="B227" s="20"/>
      <c r="C227" s="20"/>
      <c r="D227" s="20"/>
      <c r="E227" s="20"/>
      <c r="F227" s="20"/>
      <c r="G227" s="20"/>
      <c r="H227" s="20"/>
      <c r="I227" s="20"/>
      <c r="J227" s="20"/>
      <c r="K227" s="20"/>
      <c r="L227" s="20"/>
      <c r="M227" s="20"/>
      <c r="N227" s="20"/>
      <c r="O227" s="20"/>
      <c r="P227" s="20"/>
      <c r="Q227" s="20"/>
      <c r="R227" s="20"/>
    </row>
    <row r="228">
      <c r="A228" s="20"/>
      <c r="B228" s="20"/>
      <c r="C228" s="20"/>
      <c r="D228" s="20"/>
      <c r="E228" s="20"/>
      <c r="F228" s="20"/>
      <c r="G228" s="20"/>
      <c r="H228" s="20"/>
      <c r="I228" s="20"/>
      <c r="J228" s="20"/>
      <c r="K228" s="20"/>
      <c r="L228" s="20"/>
      <c r="M228" s="20"/>
      <c r="N228" s="20"/>
      <c r="O228" s="20"/>
      <c r="P228" s="20"/>
      <c r="Q228" s="20"/>
      <c r="R228" s="20"/>
    </row>
    <row r="229">
      <c r="A229" s="20"/>
      <c r="B229" s="20"/>
      <c r="C229" s="20"/>
      <c r="D229" s="20"/>
      <c r="E229" s="20"/>
      <c r="F229" s="20"/>
      <c r="G229" s="20"/>
      <c r="H229" s="20"/>
      <c r="I229" s="20"/>
      <c r="J229" s="20"/>
      <c r="K229" s="20"/>
      <c r="L229" s="20"/>
      <c r="M229" s="20"/>
      <c r="N229" s="20"/>
      <c r="O229" s="20"/>
      <c r="P229" s="20"/>
      <c r="Q229" s="20"/>
      <c r="R229" s="20"/>
    </row>
    <row r="230">
      <c r="A230" s="20"/>
      <c r="B230" s="20"/>
      <c r="C230" s="20"/>
      <c r="D230" s="20"/>
      <c r="E230" s="20"/>
      <c r="F230" s="20"/>
      <c r="G230" s="20"/>
      <c r="H230" s="20"/>
      <c r="I230" s="20"/>
      <c r="J230" s="20"/>
      <c r="K230" s="20"/>
      <c r="L230" s="20"/>
      <c r="M230" s="20"/>
      <c r="N230" s="20"/>
      <c r="O230" s="20"/>
      <c r="P230" s="20"/>
      <c r="Q230" s="20"/>
      <c r="R230" s="20"/>
    </row>
    <row r="231">
      <c r="A231" s="20"/>
      <c r="B231" s="20"/>
      <c r="C231" s="20"/>
      <c r="D231" s="20"/>
      <c r="E231" s="20"/>
      <c r="F231" s="20"/>
      <c r="G231" s="20"/>
      <c r="H231" s="20"/>
      <c r="I231" s="20"/>
      <c r="J231" s="20"/>
      <c r="K231" s="20"/>
      <c r="L231" s="20"/>
      <c r="M231" s="20"/>
      <c r="N231" s="20"/>
      <c r="O231" s="20"/>
      <c r="P231" s="20"/>
      <c r="Q231" s="20"/>
      <c r="R231" s="20"/>
    </row>
    <row r="232">
      <c r="A232" s="20"/>
      <c r="B232" s="20"/>
      <c r="C232" s="20"/>
      <c r="D232" s="20"/>
      <c r="E232" s="20"/>
      <c r="F232" s="20"/>
      <c r="G232" s="20"/>
      <c r="H232" s="20"/>
      <c r="I232" s="20"/>
      <c r="J232" s="20"/>
      <c r="K232" s="20"/>
      <c r="L232" s="20"/>
      <c r="M232" s="20"/>
      <c r="N232" s="20"/>
      <c r="O232" s="20"/>
      <c r="P232" s="20"/>
      <c r="Q232" s="20"/>
      <c r="R232" s="20"/>
    </row>
    <row r="233">
      <c r="A233" s="20"/>
      <c r="B233" s="20"/>
      <c r="C233" s="20"/>
      <c r="D233" s="20"/>
      <c r="E233" s="20"/>
      <c r="F233" s="20"/>
      <c r="G233" s="20"/>
      <c r="H233" s="20"/>
      <c r="I233" s="20"/>
      <c r="J233" s="20"/>
      <c r="K233" s="20"/>
      <c r="L233" s="20"/>
      <c r="M233" s="20"/>
      <c r="N233" s="20"/>
      <c r="O233" s="20"/>
      <c r="P233" s="20"/>
      <c r="Q233" s="20"/>
      <c r="R233" s="20"/>
    </row>
    <row r="234">
      <c r="A234" s="20"/>
      <c r="B234" s="20"/>
      <c r="C234" s="20"/>
      <c r="D234" s="20"/>
      <c r="E234" s="20"/>
      <c r="F234" s="20"/>
      <c r="G234" s="20"/>
      <c r="H234" s="20"/>
      <c r="I234" s="20"/>
      <c r="J234" s="20"/>
      <c r="K234" s="20"/>
      <c r="L234" s="20"/>
      <c r="M234" s="20"/>
      <c r="N234" s="20"/>
      <c r="O234" s="20"/>
      <c r="P234" s="20"/>
      <c r="Q234" s="20"/>
      <c r="R234" s="20"/>
    </row>
    <row r="235">
      <c r="A235" s="20"/>
      <c r="B235" s="20"/>
      <c r="C235" s="20"/>
      <c r="D235" s="20"/>
      <c r="E235" s="20"/>
      <c r="F235" s="20"/>
      <c r="G235" s="20"/>
      <c r="H235" s="20"/>
      <c r="I235" s="20"/>
      <c r="J235" s="20"/>
      <c r="K235" s="20"/>
      <c r="L235" s="20"/>
      <c r="M235" s="20"/>
      <c r="N235" s="20"/>
      <c r="O235" s="20"/>
      <c r="P235" s="20"/>
      <c r="Q235" s="20"/>
      <c r="R235" s="20"/>
    </row>
    <row r="236">
      <c r="A236" s="20"/>
      <c r="B236" s="20"/>
      <c r="C236" s="20"/>
      <c r="D236" s="20"/>
      <c r="E236" s="20"/>
      <c r="F236" s="20"/>
      <c r="G236" s="20"/>
      <c r="H236" s="20"/>
      <c r="I236" s="20"/>
      <c r="J236" s="20"/>
      <c r="K236" s="20"/>
      <c r="L236" s="20"/>
      <c r="M236" s="20"/>
      <c r="N236" s="20"/>
      <c r="O236" s="20"/>
      <c r="P236" s="20"/>
      <c r="Q236" s="20"/>
      <c r="R236" s="20"/>
    </row>
    <row r="237">
      <c r="A237" s="20"/>
      <c r="B237" s="20"/>
      <c r="C237" s="20"/>
      <c r="D237" s="20"/>
      <c r="E237" s="20"/>
      <c r="F237" s="20"/>
      <c r="G237" s="20"/>
      <c r="H237" s="20"/>
      <c r="I237" s="20"/>
      <c r="J237" s="20"/>
      <c r="K237" s="20"/>
      <c r="L237" s="20"/>
      <c r="M237" s="20"/>
      <c r="N237" s="20"/>
      <c r="O237" s="20"/>
      <c r="P237" s="20"/>
      <c r="Q237" s="20"/>
      <c r="R237" s="20"/>
    </row>
    <row r="238">
      <c r="A238" s="20"/>
      <c r="B238" s="20"/>
      <c r="C238" s="20"/>
      <c r="D238" s="20"/>
      <c r="E238" s="20"/>
      <c r="F238" s="20"/>
      <c r="G238" s="20"/>
      <c r="H238" s="20"/>
      <c r="I238" s="20"/>
      <c r="J238" s="20"/>
      <c r="K238" s="20"/>
      <c r="L238" s="20"/>
      <c r="M238" s="20"/>
      <c r="N238" s="20"/>
      <c r="O238" s="20"/>
      <c r="P238" s="20"/>
      <c r="Q238" s="20"/>
      <c r="R238" s="20"/>
    </row>
    <row r="239">
      <c r="A239" s="20"/>
      <c r="B239" s="20"/>
      <c r="C239" s="20"/>
      <c r="D239" s="20"/>
      <c r="E239" s="20"/>
      <c r="F239" s="20"/>
      <c r="G239" s="20"/>
      <c r="H239" s="20"/>
      <c r="I239" s="20"/>
      <c r="J239" s="20"/>
      <c r="K239" s="20"/>
      <c r="L239" s="20"/>
      <c r="M239" s="20"/>
      <c r="N239" s="20"/>
      <c r="O239" s="20"/>
      <c r="P239" s="20"/>
      <c r="Q239" s="20"/>
      <c r="R239" s="20"/>
    </row>
    <row r="240">
      <c r="A240" s="20"/>
      <c r="B240" s="20"/>
      <c r="C240" s="20"/>
      <c r="D240" s="20"/>
      <c r="E240" s="20"/>
      <c r="F240" s="20"/>
      <c r="G240" s="20"/>
      <c r="H240" s="20"/>
      <c r="I240" s="20"/>
      <c r="J240" s="20"/>
      <c r="K240" s="20"/>
      <c r="L240" s="20"/>
      <c r="M240" s="20"/>
      <c r="N240" s="20"/>
      <c r="O240" s="20"/>
      <c r="P240" s="20"/>
      <c r="Q240" s="20"/>
      <c r="R240" s="20"/>
    </row>
    <row r="241">
      <c r="A241" s="20"/>
      <c r="B241" s="20"/>
      <c r="C241" s="20"/>
      <c r="D241" s="20"/>
      <c r="E241" s="20"/>
      <c r="F241" s="20"/>
      <c r="G241" s="20"/>
      <c r="H241" s="20"/>
      <c r="I241" s="20"/>
      <c r="J241" s="20"/>
      <c r="K241" s="20"/>
      <c r="L241" s="20"/>
      <c r="M241" s="20"/>
      <c r="N241" s="20"/>
      <c r="O241" s="20"/>
      <c r="P241" s="20"/>
      <c r="Q241" s="20"/>
      <c r="R241" s="20"/>
    </row>
    <row r="242">
      <c r="A242" s="20"/>
      <c r="B242" s="20"/>
      <c r="C242" s="20"/>
      <c r="D242" s="20"/>
      <c r="E242" s="20"/>
      <c r="F242" s="20"/>
      <c r="G242" s="20"/>
      <c r="H242" s="20"/>
      <c r="I242" s="20"/>
      <c r="J242" s="20"/>
      <c r="K242" s="20"/>
      <c r="L242" s="20"/>
      <c r="M242" s="20"/>
      <c r="N242" s="20"/>
      <c r="O242" s="20"/>
      <c r="P242" s="20"/>
      <c r="Q242" s="20"/>
      <c r="R242" s="20"/>
    </row>
    <row r="243">
      <c r="A243" s="20"/>
      <c r="B243" s="20"/>
      <c r="C243" s="20"/>
      <c r="D243" s="20"/>
      <c r="E243" s="20"/>
      <c r="F243" s="20"/>
      <c r="G243" s="20"/>
      <c r="H243" s="20"/>
      <c r="I243" s="20"/>
      <c r="J243" s="20"/>
      <c r="K243" s="20"/>
      <c r="L243" s="20"/>
      <c r="M243" s="20"/>
      <c r="N243" s="20"/>
      <c r="O243" s="20"/>
      <c r="P243" s="20"/>
      <c r="Q243" s="20"/>
      <c r="R243" s="20"/>
    </row>
    <row r="244">
      <c r="A244" s="20"/>
      <c r="B244" s="20"/>
      <c r="C244" s="20"/>
      <c r="D244" s="20"/>
      <c r="E244" s="20"/>
      <c r="F244" s="20"/>
      <c r="G244" s="20"/>
      <c r="H244" s="20"/>
      <c r="I244" s="20"/>
      <c r="J244" s="20"/>
      <c r="K244" s="20"/>
      <c r="L244" s="20"/>
      <c r="M244" s="20"/>
      <c r="N244" s="20"/>
      <c r="O244" s="20"/>
      <c r="P244" s="20"/>
      <c r="Q244" s="20"/>
      <c r="R244" s="20"/>
    </row>
    <row r="245">
      <c r="A245" s="20"/>
      <c r="B245" s="20"/>
      <c r="C245" s="20"/>
      <c r="D245" s="20"/>
      <c r="E245" s="20"/>
      <c r="F245" s="20"/>
      <c r="G245" s="20"/>
      <c r="H245" s="20"/>
      <c r="I245" s="20"/>
      <c r="J245" s="20"/>
      <c r="K245" s="20"/>
      <c r="L245" s="20"/>
      <c r="M245" s="20"/>
      <c r="N245" s="20"/>
      <c r="O245" s="20"/>
      <c r="P245" s="20"/>
      <c r="Q245" s="20"/>
      <c r="R245" s="20"/>
    </row>
    <row r="246">
      <c r="A246" s="20"/>
      <c r="B246" s="20"/>
      <c r="C246" s="20"/>
      <c r="D246" s="20"/>
      <c r="E246" s="20"/>
      <c r="F246" s="20"/>
      <c r="G246" s="20"/>
      <c r="H246" s="20"/>
      <c r="I246" s="20"/>
      <c r="J246" s="20"/>
      <c r="K246" s="20"/>
      <c r="L246" s="20"/>
      <c r="M246" s="20"/>
      <c r="N246" s="20"/>
      <c r="O246" s="20"/>
      <c r="P246" s="20"/>
      <c r="Q246" s="20"/>
      <c r="R246" s="20"/>
    </row>
    <row r="247">
      <c r="A247" s="20"/>
      <c r="B247" s="20"/>
      <c r="C247" s="20"/>
      <c r="D247" s="20"/>
      <c r="E247" s="20"/>
      <c r="F247" s="20"/>
      <c r="G247" s="20"/>
      <c r="H247" s="20"/>
      <c r="I247" s="20"/>
      <c r="J247" s="20"/>
      <c r="K247" s="20"/>
      <c r="L247" s="20"/>
      <c r="M247" s="20"/>
      <c r="N247" s="20"/>
      <c r="O247" s="20"/>
      <c r="P247" s="20"/>
      <c r="Q247" s="20"/>
      <c r="R247" s="20"/>
    </row>
    <row r="248">
      <c r="A248" s="20"/>
      <c r="B248" s="20"/>
      <c r="C248" s="20"/>
      <c r="D248" s="20"/>
      <c r="E248" s="20"/>
      <c r="F248" s="20"/>
      <c r="G248" s="20"/>
      <c r="H248" s="20"/>
      <c r="I248" s="20"/>
      <c r="J248" s="20"/>
      <c r="K248" s="20"/>
      <c r="L248" s="20"/>
      <c r="M248" s="20"/>
      <c r="N248" s="20"/>
      <c r="O248" s="20"/>
      <c r="P248" s="20"/>
      <c r="Q248" s="20"/>
      <c r="R248" s="20"/>
    </row>
    <row r="249">
      <c r="A249" s="20"/>
      <c r="B249" s="20"/>
      <c r="C249" s="20"/>
      <c r="D249" s="20"/>
      <c r="E249" s="20"/>
      <c r="F249" s="20"/>
      <c r="G249" s="20"/>
      <c r="H249" s="20"/>
      <c r="I249" s="20"/>
      <c r="J249" s="20"/>
      <c r="K249" s="20"/>
      <c r="L249" s="20"/>
      <c r="M249" s="20"/>
      <c r="N249" s="20"/>
      <c r="O249" s="20"/>
      <c r="P249" s="20"/>
      <c r="Q249" s="20"/>
      <c r="R249" s="20"/>
    </row>
    <row r="250">
      <c r="A250" s="20"/>
      <c r="B250" s="20"/>
      <c r="C250" s="20"/>
      <c r="D250" s="20"/>
      <c r="E250" s="20"/>
      <c r="F250" s="20"/>
      <c r="G250" s="20"/>
      <c r="H250" s="20"/>
      <c r="I250" s="20"/>
      <c r="J250" s="20"/>
      <c r="K250" s="20"/>
      <c r="L250" s="20"/>
      <c r="M250" s="20"/>
      <c r="N250" s="20"/>
      <c r="O250" s="20"/>
      <c r="P250" s="20"/>
      <c r="Q250" s="20"/>
      <c r="R250" s="20"/>
    </row>
    <row r="251">
      <c r="A251" s="20"/>
      <c r="B251" s="20"/>
      <c r="C251" s="20"/>
      <c r="D251" s="20"/>
      <c r="E251" s="20"/>
      <c r="F251" s="20"/>
      <c r="G251" s="20"/>
      <c r="H251" s="20"/>
      <c r="I251" s="20"/>
      <c r="J251" s="20"/>
      <c r="K251" s="20"/>
      <c r="L251" s="20"/>
      <c r="M251" s="20"/>
      <c r="N251" s="20"/>
      <c r="O251" s="20"/>
      <c r="P251" s="20"/>
      <c r="Q251" s="20"/>
      <c r="R251" s="20"/>
    </row>
    <row r="252">
      <c r="A252" s="20"/>
      <c r="B252" s="20"/>
      <c r="C252" s="20"/>
      <c r="D252" s="20"/>
      <c r="E252" s="20"/>
      <c r="F252" s="20"/>
      <c r="G252" s="20"/>
      <c r="H252" s="20"/>
      <c r="I252" s="20"/>
      <c r="J252" s="20"/>
      <c r="K252" s="20"/>
      <c r="L252" s="20"/>
      <c r="M252" s="20"/>
      <c r="N252" s="20"/>
      <c r="O252" s="20"/>
      <c r="P252" s="20"/>
      <c r="Q252" s="20"/>
      <c r="R252" s="20"/>
    </row>
    <row r="253">
      <c r="A253" s="20"/>
      <c r="B253" s="20"/>
      <c r="C253" s="20"/>
      <c r="D253" s="20"/>
      <c r="E253" s="20"/>
      <c r="F253" s="20"/>
      <c r="G253" s="20"/>
      <c r="H253" s="20"/>
      <c r="I253" s="20"/>
      <c r="J253" s="20"/>
      <c r="K253" s="20"/>
      <c r="L253" s="20"/>
      <c r="M253" s="20"/>
      <c r="N253" s="20"/>
      <c r="O253" s="20"/>
      <c r="P253" s="20"/>
      <c r="Q253" s="20"/>
      <c r="R253" s="20"/>
    </row>
    <row r="254">
      <c r="A254" s="20"/>
      <c r="B254" s="20"/>
      <c r="C254" s="20"/>
      <c r="D254" s="20"/>
      <c r="E254" s="20"/>
      <c r="F254" s="20"/>
      <c r="G254" s="20"/>
      <c r="H254" s="20"/>
      <c r="I254" s="20"/>
      <c r="J254" s="20"/>
      <c r="K254" s="20"/>
      <c r="L254" s="20"/>
      <c r="M254" s="20"/>
      <c r="N254" s="20"/>
      <c r="O254" s="20"/>
      <c r="P254" s="20"/>
      <c r="Q254" s="20"/>
      <c r="R254" s="20"/>
    </row>
    <row r="255">
      <c r="A255" s="20"/>
      <c r="B255" s="20"/>
      <c r="C255" s="20"/>
      <c r="D255" s="20"/>
      <c r="E255" s="20"/>
      <c r="F255" s="20"/>
      <c r="G255" s="20"/>
      <c r="H255" s="20"/>
      <c r="I255" s="20"/>
      <c r="J255" s="20"/>
      <c r="K255" s="20"/>
      <c r="L255" s="20"/>
      <c r="M255" s="20"/>
      <c r="N255" s="20"/>
      <c r="O255" s="20"/>
      <c r="P255" s="20"/>
      <c r="Q255" s="20"/>
      <c r="R255" s="20"/>
    </row>
    <row r="256">
      <c r="A256" s="20"/>
      <c r="B256" s="20"/>
      <c r="C256" s="20"/>
      <c r="D256" s="20"/>
      <c r="E256" s="20"/>
      <c r="F256" s="20"/>
      <c r="G256" s="20"/>
      <c r="H256" s="20"/>
      <c r="I256" s="20"/>
      <c r="J256" s="20"/>
      <c r="K256" s="20"/>
      <c r="L256" s="20"/>
      <c r="M256" s="20"/>
      <c r="N256" s="20"/>
      <c r="O256" s="20"/>
      <c r="P256" s="20"/>
      <c r="Q256" s="20"/>
      <c r="R256" s="20"/>
    </row>
    <row r="257">
      <c r="A257" s="20"/>
      <c r="B257" s="20"/>
      <c r="C257" s="20"/>
      <c r="D257" s="20"/>
      <c r="E257" s="20"/>
      <c r="F257" s="20"/>
      <c r="G257" s="20"/>
      <c r="H257" s="20"/>
      <c r="I257" s="20"/>
      <c r="J257" s="20"/>
      <c r="K257" s="20"/>
      <c r="L257" s="20"/>
      <c r="M257" s="20"/>
      <c r="N257" s="20"/>
      <c r="O257" s="20"/>
      <c r="P257" s="20"/>
      <c r="Q257" s="20"/>
      <c r="R257" s="20"/>
    </row>
    <row r="258">
      <c r="A258" s="20"/>
      <c r="B258" s="20"/>
      <c r="C258" s="20"/>
      <c r="D258" s="20"/>
      <c r="E258" s="20"/>
      <c r="F258" s="20"/>
      <c r="G258" s="20"/>
      <c r="H258" s="20"/>
      <c r="I258" s="20"/>
      <c r="J258" s="20"/>
      <c r="K258" s="20"/>
      <c r="L258" s="20"/>
      <c r="M258" s="20"/>
      <c r="N258" s="20"/>
      <c r="O258" s="20"/>
      <c r="P258" s="20"/>
      <c r="Q258" s="20"/>
      <c r="R258" s="20"/>
    </row>
    <row r="259">
      <c r="A259" s="20"/>
      <c r="B259" s="20"/>
      <c r="C259" s="20"/>
      <c r="D259" s="20"/>
      <c r="E259" s="20"/>
      <c r="F259" s="20"/>
      <c r="G259" s="20"/>
      <c r="H259" s="20"/>
      <c r="I259" s="20"/>
      <c r="J259" s="20"/>
      <c r="K259" s="20"/>
      <c r="L259" s="20"/>
      <c r="M259" s="20"/>
      <c r="N259" s="20"/>
      <c r="O259" s="20"/>
      <c r="P259" s="20"/>
      <c r="Q259" s="20"/>
      <c r="R259" s="20"/>
    </row>
    <row r="260">
      <c r="A260" s="20"/>
      <c r="B260" s="20"/>
      <c r="C260" s="20"/>
      <c r="D260" s="20"/>
      <c r="E260" s="20"/>
      <c r="F260" s="20"/>
      <c r="G260" s="20"/>
      <c r="H260" s="20"/>
      <c r="I260" s="20"/>
      <c r="J260" s="20"/>
      <c r="K260" s="20"/>
      <c r="L260" s="20"/>
      <c r="M260" s="20"/>
      <c r="N260" s="20"/>
      <c r="O260" s="20"/>
      <c r="P260" s="20"/>
      <c r="Q260" s="20"/>
      <c r="R260" s="20"/>
    </row>
    <row r="261">
      <c r="A261" s="20"/>
      <c r="B261" s="20"/>
      <c r="C261" s="20"/>
      <c r="D261" s="20"/>
      <c r="E261" s="20"/>
      <c r="F261" s="20"/>
      <c r="G261" s="20"/>
      <c r="H261" s="20"/>
      <c r="I261" s="20"/>
      <c r="J261" s="20"/>
      <c r="K261" s="20"/>
      <c r="L261" s="20"/>
      <c r="M261" s="20"/>
      <c r="N261" s="20"/>
      <c r="O261" s="20"/>
      <c r="P261" s="20"/>
      <c r="Q261" s="20"/>
      <c r="R261" s="20"/>
    </row>
    <row r="262">
      <c r="A262" s="20"/>
      <c r="B262" s="20"/>
      <c r="C262" s="20"/>
      <c r="D262" s="20"/>
      <c r="E262" s="20"/>
      <c r="F262" s="20"/>
      <c r="G262" s="20"/>
      <c r="H262" s="20"/>
      <c r="I262" s="20"/>
      <c r="J262" s="20"/>
      <c r="K262" s="20"/>
      <c r="L262" s="20"/>
      <c r="M262" s="20"/>
      <c r="N262" s="20"/>
      <c r="O262" s="20"/>
      <c r="P262" s="20"/>
      <c r="Q262" s="20"/>
      <c r="R262" s="20"/>
    </row>
    <row r="263">
      <c r="A263" s="20"/>
      <c r="B263" s="20"/>
      <c r="C263" s="20"/>
      <c r="D263" s="20"/>
      <c r="E263" s="20"/>
      <c r="F263" s="20"/>
      <c r="G263" s="20"/>
      <c r="H263" s="20"/>
      <c r="I263" s="20"/>
      <c r="J263" s="20"/>
      <c r="K263" s="20"/>
      <c r="L263" s="20"/>
      <c r="M263" s="20"/>
      <c r="N263" s="20"/>
      <c r="O263" s="20"/>
      <c r="P263" s="20"/>
      <c r="Q263" s="20"/>
      <c r="R263" s="20"/>
    </row>
    <row r="264">
      <c r="A264" s="20"/>
      <c r="B264" s="20"/>
      <c r="C264" s="20"/>
      <c r="D264" s="20"/>
      <c r="E264" s="20"/>
      <c r="F264" s="20"/>
      <c r="G264" s="20"/>
      <c r="H264" s="20"/>
      <c r="I264" s="20"/>
      <c r="J264" s="20"/>
      <c r="K264" s="20"/>
      <c r="L264" s="20"/>
      <c r="M264" s="20"/>
      <c r="N264" s="20"/>
      <c r="O264" s="20"/>
      <c r="P264" s="20"/>
      <c r="Q264" s="20"/>
      <c r="R264" s="20"/>
    </row>
    <row r="265">
      <c r="A265" s="20"/>
      <c r="B265" s="20"/>
      <c r="C265" s="20"/>
      <c r="D265" s="20"/>
      <c r="E265" s="20"/>
      <c r="F265" s="20"/>
      <c r="G265" s="20"/>
      <c r="H265" s="20"/>
      <c r="I265" s="20"/>
      <c r="J265" s="20"/>
      <c r="K265" s="20"/>
      <c r="L265" s="20"/>
      <c r="M265" s="20"/>
      <c r="N265" s="20"/>
      <c r="O265" s="20"/>
      <c r="P265" s="20"/>
      <c r="Q265" s="20"/>
      <c r="R265" s="20"/>
    </row>
    <row r="266">
      <c r="A266" s="20"/>
      <c r="B266" s="20"/>
      <c r="C266" s="20"/>
      <c r="D266" s="20"/>
      <c r="E266" s="20"/>
      <c r="F266" s="20"/>
      <c r="G266" s="20"/>
      <c r="H266" s="20"/>
      <c r="I266" s="20"/>
      <c r="J266" s="20"/>
      <c r="K266" s="20"/>
      <c r="L266" s="20"/>
      <c r="M266" s="20"/>
      <c r="N266" s="20"/>
      <c r="O266" s="20"/>
      <c r="P266" s="20"/>
      <c r="Q266" s="20"/>
      <c r="R266" s="20"/>
    </row>
    <row r="267">
      <c r="A267" s="20"/>
      <c r="B267" s="20"/>
      <c r="C267" s="20"/>
      <c r="D267" s="20"/>
      <c r="E267" s="20"/>
      <c r="F267" s="20"/>
      <c r="G267" s="20"/>
      <c r="H267" s="20"/>
      <c r="I267" s="20"/>
      <c r="J267" s="20"/>
      <c r="K267" s="20"/>
      <c r="L267" s="20"/>
      <c r="M267" s="20"/>
      <c r="N267" s="20"/>
      <c r="O267" s="20"/>
      <c r="P267" s="20"/>
      <c r="Q267" s="20"/>
      <c r="R267" s="20"/>
    </row>
    <row r="268">
      <c r="A268" s="20"/>
      <c r="B268" s="20"/>
      <c r="C268" s="20"/>
      <c r="D268" s="20"/>
      <c r="E268" s="20"/>
      <c r="F268" s="20"/>
      <c r="G268" s="20"/>
      <c r="H268" s="20"/>
      <c r="I268" s="20"/>
      <c r="J268" s="20"/>
      <c r="K268" s="20"/>
      <c r="L268" s="20"/>
      <c r="M268" s="20"/>
      <c r="N268" s="20"/>
      <c r="O268" s="20"/>
      <c r="P268" s="20"/>
      <c r="Q268" s="20"/>
      <c r="R268" s="20"/>
    </row>
    <row r="269">
      <c r="A269" s="20"/>
      <c r="B269" s="20"/>
      <c r="C269" s="20"/>
      <c r="D269" s="20"/>
      <c r="E269" s="20"/>
      <c r="F269" s="20"/>
      <c r="G269" s="20"/>
      <c r="H269" s="20"/>
      <c r="I269" s="20"/>
      <c r="J269" s="20"/>
      <c r="K269" s="20"/>
      <c r="L269" s="20"/>
      <c r="M269" s="20"/>
      <c r="N269" s="20"/>
      <c r="O269" s="20"/>
      <c r="P269" s="20"/>
      <c r="Q269" s="20"/>
      <c r="R269" s="20"/>
    </row>
    <row r="270">
      <c r="A270" s="20"/>
      <c r="B270" s="20"/>
      <c r="C270" s="20"/>
      <c r="D270" s="20"/>
      <c r="E270" s="20"/>
      <c r="F270" s="20"/>
      <c r="G270" s="20"/>
      <c r="H270" s="20"/>
      <c r="I270" s="20"/>
      <c r="J270" s="20"/>
      <c r="K270" s="20"/>
      <c r="L270" s="20"/>
      <c r="M270" s="20"/>
      <c r="N270" s="20"/>
      <c r="O270" s="20"/>
      <c r="P270" s="20"/>
      <c r="Q270" s="20"/>
      <c r="R270" s="20"/>
    </row>
    <row r="271">
      <c r="A271" s="20"/>
      <c r="B271" s="20"/>
      <c r="C271" s="20"/>
      <c r="D271" s="20"/>
      <c r="E271" s="20"/>
      <c r="F271" s="20"/>
      <c r="G271" s="20"/>
      <c r="H271" s="20"/>
      <c r="I271" s="20"/>
      <c r="J271" s="20"/>
      <c r="K271" s="20"/>
      <c r="L271" s="20"/>
      <c r="M271" s="20"/>
      <c r="N271" s="20"/>
      <c r="O271" s="20"/>
      <c r="P271" s="20"/>
      <c r="Q271" s="20"/>
      <c r="R271" s="20"/>
    </row>
    <row r="272">
      <c r="A272" s="20"/>
      <c r="B272" s="20"/>
      <c r="C272" s="20"/>
      <c r="D272" s="20"/>
      <c r="E272" s="20"/>
      <c r="F272" s="20"/>
      <c r="G272" s="20"/>
      <c r="H272" s="20"/>
      <c r="I272" s="20"/>
      <c r="J272" s="20"/>
      <c r="K272" s="20"/>
      <c r="L272" s="20"/>
      <c r="M272" s="20"/>
      <c r="N272" s="20"/>
      <c r="O272" s="20"/>
      <c r="P272" s="20"/>
      <c r="Q272" s="20"/>
      <c r="R272" s="20"/>
    </row>
    <row r="273">
      <c r="A273" s="20"/>
      <c r="B273" s="20"/>
      <c r="C273" s="20"/>
      <c r="D273" s="20"/>
      <c r="E273" s="20"/>
      <c r="F273" s="20"/>
      <c r="G273" s="20"/>
      <c r="H273" s="20"/>
      <c r="I273" s="20"/>
      <c r="J273" s="20"/>
      <c r="K273" s="20"/>
      <c r="L273" s="20"/>
      <c r="M273" s="20"/>
      <c r="N273" s="20"/>
      <c r="O273" s="20"/>
      <c r="P273" s="20"/>
      <c r="Q273" s="20"/>
      <c r="R273" s="20"/>
    </row>
    <row r="274">
      <c r="A274" s="20"/>
      <c r="B274" s="20"/>
      <c r="C274" s="20"/>
      <c r="D274" s="20"/>
      <c r="E274" s="20"/>
      <c r="F274" s="20"/>
      <c r="G274" s="20"/>
      <c r="H274" s="20"/>
      <c r="I274" s="20"/>
      <c r="J274" s="20"/>
      <c r="K274" s="20"/>
      <c r="L274" s="20"/>
      <c r="M274" s="20"/>
      <c r="N274" s="20"/>
      <c r="O274" s="20"/>
      <c r="P274" s="20"/>
      <c r="Q274" s="20"/>
      <c r="R274" s="20"/>
    </row>
    <row r="275">
      <c r="A275" s="20"/>
      <c r="B275" s="20"/>
      <c r="C275" s="20"/>
      <c r="D275" s="20"/>
      <c r="E275" s="20"/>
      <c r="F275" s="20"/>
      <c r="G275" s="20"/>
      <c r="H275" s="20"/>
      <c r="I275" s="20"/>
      <c r="J275" s="20"/>
      <c r="K275" s="20"/>
      <c r="L275" s="20"/>
      <c r="M275" s="20"/>
      <c r="N275" s="20"/>
      <c r="O275" s="20"/>
      <c r="P275" s="20"/>
      <c r="Q275" s="20"/>
      <c r="R275" s="20"/>
    </row>
    <row r="276">
      <c r="A276" s="20"/>
      <c r="B276" s="20"/>
      <c r="C276" s="20"/>
      <c r="D276" s="20"/>
      <c r="E276" s="20"/>
      <c r="F276" s="20"/>
      <c r="G276" s="20"/>
      <c r="H276" s="20"/>
      <c r="I276" s="20"/>
      <c r="J276" s="20"/>
      <c r="K276" s="20"/>
      <c r="L276" s="20"/>
      <c r="M276" s="20"/>
      <c r="N276" s="20"/>
      <c r="O276" s="20"/>
      <c r="P276" s="20"/>
      <c r="Q276" s="20"/>
      <c r="R276" s="20"/>
    </row>
    <row r="277">
      <c r="A277" s="20"/>
      <c r="B277" s="20"/>
      <c r="C277" s="20"/>
      <c r="D277" s="20"/>
      <c r="E277" s="20"/>
      <c r="F277" s="20"/>
      <c r="G277" s="20"/>
      <c r="H277" s="20"/>
      <c r="I277" s="20"/>
      <c r="J277" s="20"/>
      <c r="K277" s="20"/>
      <c r="L277" s="20"/>
      <c r="M277" s="20"/>
      <c r="N277" s="20"/>
      <c r="O277" s="20"/>
      <c r="P277" s="20"/>
      <c r="Q277" s="20"/>
      <c r="R277" s="20"/>
    </row>
    <row r="278">
      <c r="A278" s="20"/>
      <c r="B278" s="20"/>
      <c r="C278" s="20"/>
      <c r="D278" s="20"/>
      <c r="E278" s="20"/>
      <c r="F278" s="20"/>
      <c r="G278" s="20"/>
      <c r="H278" s="20"/>
      <c r="I278" s="20"/>
      <c r="J278" s="20"/>
      <c r="K278" s="20"/>
      <c r="L278" s="20"/>
      <c r="M278" s="20"/>
      <c r="N278" s="20"/>
      <c r="O278" s="20"/>
      <c r="P278" s="20"/>
      <c r="Q278" s="20"/>
      <c r="R278" s="20"/>
    </row>
    <row r="279">
      <c r="A279" s="20"/>
      <c r="B279" s="20"/>
      <c r="C279" s="20"/>
      <c r="D279" s="20"/>
      <c r="E279" s="20"/>
      <c r="F279" s="20"/>
      <c r="G279" s="20"/>
      <c r="H279" s="20"/>
      <c r="I279" s="20"/>
      <c r="J279" s="20"/>
      <c r="K279" s="20"/>
      <c r="L279" s="20"/>
      <c r="M279" s="20"/>
      <c r="N279" s="20"/>
      <c r="O279" s="20"/>
      <c r="P279" s="20"/>
      <c r="Q279" s="20"/>
      <c r="R279" s="20"/>
    </row>
    <row r="280">
      <c r="A280" s="20"/>
      <c r="B280" s="20"/>
      <c r="C280" s="20"/>
      <c r="D280" s="20"/>
      <c r="E280" s="20"/>
      <c r="F280" s="20"/>
      <c r="G280" s="20"/>
      <c r="H280" s="20"/>
      <c r="I280" s="20"/>
      <c r="J280" s="20"/>
      <c r="K280" s="20"/>
      <c r="L280" s="20"/>
      <c r="M280" s="20"/>
      <c r="N280" s="20"/>
      <c r="O280" s="20"/>
      <c r="P280" s="20"/>
      <c r="Q280" s="20"/>
      <c r="R280" s="20"/>
    </row>
    <row r="281">
      <c r="A281" s="20"/>
      <c r="B281" s="20"/>
      <c r="C281" s="20"/>
      <c r="D281" s="20"/>
      <c r="E281" s="20"/>
      <c r="F281" s="20"/>
      <c r="G281" s="20"/>
      <c r="H281" s="20"/>
      <c r="I281" s="20"/>
      <c r="J281" s="20"/>
      <c r="K281" s="20"/>
      <c r="L281" s="20"/>
      <c r="M281" s="20"/>
      <c r="N281" s="20"/>
      <c r="O281" s="20"/>
      <c r="P281" s="20"/>
      <c r="Q281" s="20"/>
      <c r="R281" s="20"/>
    </row>
    <row r="282">
      <c r="A282" s="20"/>
      <c r="B282" s="20"/>
      <c r="C282" s="20"/>
      <c r="D282" s="20"/>
      <c r="E282" s="20"/>
      <c r="F282" s="20"/>
      <c r="G282" s="20"/>
      <c r="H282" s="20"/>
      <c r="I282" s="20"/>
      <c r="J282" s="20"/>
      <c r="K282" s="20"/>
      <c r="L282" s="20"/>
      <c r="M282" s="20"/>
      <c r="N282" s="20"/>
      <c r="O282" s="20"/>
      <c r="P282" s="20"/>
      <c r="Q282" s="20"/>
      <c r="R282" s="20"/>
    </row>
    <row r="283">
      <c r="A283" s="20"/>
      <c r="B283" s="20"/>
      <c r="C283" s="20"/>
      <c r="D283" s="20"/>
      <c r="E283" s="20"/>
      <c r="F283" s="20"/>
      <c r="G283" s="20"/>
      <c r="H283" s="20"/>
      <c r="I283" s="20"/>
      <c r="J283" s="20"/>
      <c r="K283" s="20"/>
      <c r="L283" s="20"/>
      <c r="M283" s="20"/>
      <c r="N283" s="20"/>
      <c r="O283" s="20"/>
      <c r="P283" s="20"/>
      <c r="Q283" s="20"/>
      <c r="R283" s="20"/>
    </row>
    <row r="284">
      <c r="A284" s="20"/>
      <c r="B284" s="20"/>
      <c r="C284" s="20"/>
      <c r="D284" s="20"/>
      <c r="E284" s="20"/>
      <c r="F284" s="20"/>
      <c r="G284" s="20"/>
      <c r="H284" s="20"/>
      <c r="I284" s="20"/>
      <c r="J284" s="20"/>
      <c r="K284" s="20"/>
      <c r="L284" s="20"/>
      <c r="M284" s="20"/>
      <c r="N284" s="20"/>
      <c r="O284" s="20"/>
      <c r="P284" s="20"/>
      <c r="Q284" s="20"/>
      <c r="R284" s="20"/>
    </row>
    <row r="285">
      <c r="A285" s="20"/>
      <c r="B285" s="20"/>
      <c r="C285" s="20"/>
      <c r="D285" s="20"/>
      <c r="E285" s="20"/>
      <c r="F285" s="20"/>
      <c r="G285" s="20"/>
      <c r="H285" s="20"/>
      <c r="I285" s="20"/>
      <c r="J285" s="20"/>
      <c r="K285" s="20"/>
      <c r="L285" s="20"/>
      <c r="M285" s="20"/>
      <c r="N285" s="20"/>
      <c r="O285" s="20"/>
      <c r="P285" s="20"/>
      <c r="Q285" s="20"/>
      <c r="R285" s="20"/>
    </row>
    <row r="286">
      <c r="A286" s="20"/>
      <c r="B286" s="20"/>
      <c r="C286" s="20"/>
      <c r="D286" s="20"/>
      <c r="E286" s="20"/>
      <c r="F286" s="20"/>
      <c r="G286" s="20"/>
      <c r="H286" s="20"/>
      <c r="I286" s="20"/>
      <c r="J286" s="20"/>
      <c r="K286" s="20"/>
      <c r="L286" s="20"/>
      <c r="M286" s="20"/>
      <c r="N286" s="20"/>
      <c r="O286" s="20"/>
      <c r="P286" s="20"/>
      <c r="Q286" s="20"/>
      <c r="R286" s="20"/>
    </row>
    <row r="287">
      <c r="A287" s="20"/>
      <c r="B287" s="20"/>
      <c r="C287" s="20"/>
      <c r="D287" s="20"/>
      <c r="E287" s="20"/>
      <c r="F287" s="20"/>
      <c r="G287" s="20"/>
      <c r="H287" s="20"/>
      <c r="I287" s="20"/>
      <c r="J287" s="20"/>
      <c r="K287" s="20"/>
      <c r="L287" s="20"/>
      <c r="M287" s="20"/>
      <c r="N287" s="20"/>
      <c r="O287" s="20"/>
      <c r="P287" s="20"/>
      <c r="Q287" s="20"/>
      <c r="R287" s="20"/>
    </row>
    <row r="288">
      <c r="A288" s="20"/>
      <c r="B288" s="20"/>
      <c r="C288" s="20"/>
      <c r="D288" s="20"/>
      <c r="E288" s="20"/>
      <c r="F288" s="20"/>
      <c r="G288" s="20"/>
      <c r="H288" s="20"/>
      <c r="I288" s="20"/>
      <c r="J288" s="20"/>
      <c r="K288" s="20"/>
      <c r="L288" s="20"/>
      <c r="M288" s="20"/>
      <c r="N288" s="20"/>
      <c r="O288" s="20"/>
      <c r="P288" s="20"/>
      <c r="Q288" s="20"/>
      <c r="R288" s="20"/>
    </row>
    <row r="289">
      <c r="A289" s="20"/>
      <c r="B289" s="20"/>
      <c r="C289" s="20"/>
      <c r="D289" s="20"/>
      <c r="E289" s="20"/>
      <c r="F289" s="20"/>
      <c r="G289" s="20"/>
      <c r="H289" s="20"/>
      <c r="I289" s="20"/>
      <c r="J289" s="20"/>
      <c r="K289" s="20"/>
      <c r="L289" s="20"/>
      <c r="M289" s="20"/>
      <c r="N289" s="20"/>
      <c r="O289" s="20"/>
      <c r="P289" s="20"/>
      <c r="Q289" s="20"/>
      <c r="R289" s="20"/>
    </row>
    <row r="290">
      <c r="A290" s="20"/>
      <c r="B290" s="20"/>
      <c r="C290" s="20"/>
      <c r="D290" s="20"/>
      <c r="E290" s="20"/>
      <c r="F290" s="20"/>
      <c r="G290" s="20"/>
      <c r="H290" s="20"/>
      <c r="I290" s="20"/>
      <c r="J290" s="20"/>
      <c r="K290" s="20"/>
      <c r="L290" s="20"/>
      <c r="M290" s="20"/>
      <c r="N290" s="20"/>
      <c r="O290" s="20"/>
      <c r="P290" s="20"/>
      <c r="Q290" s="20"/>
      <c r="R290" s="20"/>
    </row>
    <row r="291">
      <c r="A291" s="20"/>
      <c r="B291" s="20"/>
      <c r="C291" s="20"/>
      <c r="D291" s="20"/>
      <c r="E291" s="20"/>
      <c r="F291" s="20"/>
      <c r="G291" s="20"/>
      <c r="H291" s="20"/>
      <c r="I291" s="20"/>
      <c r="J291" s="20"/>
      <c r="K291" s="20"/>
      <c r="L291" s="20"/>
      <c r="M291" s="20"/>
      <c r="N291" s="20"/>
      <c r="O291" s="20"/>
      <c r="P291" s="20"/>
      <c r="Q291" s="20"/>
      <c r="R291" s="20"/>
    </row>
    <row r="292">
      <c r="A292" s="20"/>
      <c r="B292" s="20"/>
      <c r="C292" s="20"/>
      <c r="D292" s="20"/>
      <c r="E292" s="20"/>
      <c r="F292" s="20"/>
      <c r="G292" s="20"/>
      <c r="H292" s="20"/>
      <c r="I292" s="20"/>
      <c r="J292" s="20"/>
      <c r="K292" s="20"/>
      <c r="L292" s="20"/>
      <c r="M292" s="20"/>
      <c r="N292" s="20"/>
      <c r="O292" s="20"/>
      <c r="P292" s="20"/>
      <c r="Q292" s="20"/>
      <c r="R292" s="20"/>
    </row>
    <row r="293">
      <c r="A293" s="20"/>
      <c r="B293" s="20"/>
      <c r="C293" s="20"/>
      <c r="D293" s="20"/>
      <c r="E293" s="20"/>
      <c r="F293" s="20"/>
      <c r="G293" s="20"/>
      <c r="H293" s="20"/>
      <c r="I293" s="20"/>
      <c r="J293" s="20"/>
      <c r="K293" s="20"/>
      <c r="L293" s="20"/>
      <c r="M293" s="20"/>
      <c r="N293" s="20"/>
      <c r="O293" s="20"/>
      <c r="P293" s="20"/>
      <c r="Q293" s="20"/>
      <c r="R293" s="20"/>
    </row>
    <row r="294">
      <c r="A294" s="20"/>
      <c r="B294" s="20"/>
      <c r="C294" s="20"/>
      <c r="D294" s="20"/>
      <c r="E294" s="20"/>
      <c r="F294" s="20"/>
      <c r="G294" s="20"/>
      <c r="H294" s="20"/>
      <c r="I294" s="20"/>
      <c r="J294" s="20"/>
      <c r="K294" s="20"/>
      <c r="L294" s="20"/>
      <c r="M294" s="20"/>
      <c r="N294" s="20"/>
      <c r="O294" s="20"/>
      <c r="P294" s="20"/>
      <c r="Q294" s="20"/>
      <c r="R294" s="20"/>
    </row>
    <row r="295">
      <c r="A295" s="20"/>
      <c r="B295" s="20"/>
      <c r="C295" s="20"/>
      <c r="D295" s="20"/>
      <c r="E295" s="20"/>
      <c r="F295" s="20"/>
      <c r="G295" s="20"/>
      <c r="H295" s="20"/>
      <c r="I295" s="20"/>
      <c r="J295" s="20"/>
      <c r="K295" s="20"/>
      <c r="L295" s="20"/>
      <c r="M295" s="20"/>
      <c r="N295" s="20"/>
      <c r="O295" s="20"/>
      <c r="P295" s="20"/>
      <c r="Q295" s="20"/>
      <c r="R295" s="20"/>
    </row>
    <row r="296">
      <c r="A296" s="20"/>
      <c r="B296" s="20"/>
      <c r="C296" s="20"/>
      <c r="D296" s="20"/>
      <c r="E296" s="20"/>
      <c r="F296" s="20"/>
      <c r="G296" s="20"/>
      <c r="H296" s="20"/>
      <c r="I296" s="20"/>
      <c r="J296" s="20"/>
      <c r="K296" s="20"/>
      <c r="L296" s="20"/>
      <c r="M296" s="20"/>
      <c r="N296" s="20"/>
      <c r="O296" s="20"/>
      <c r="P296" s="20"/>
      <c r="Q296" s="20"/>
      <c r="R296" s="20"/>
    </row>
    <row r="297">
      <c r="A297" s="20"/>
      <c r="B297" s="20"/>
      <c r="C297" s="20"/>
      <c r="D297" s="20"/>
      <c r="E297" s="20"/>
      <c r="F297" s="20"/>
      <c r="G297" s="20"/>
      <c r="H297" s="20"/>
      <c r="I297" s="20"/>
      <c r="J297" s="20"/>
      <c r="K297" s="20"/>
      <c r="L297" s="20"/>
      <c r="M297" s="20"/>
      <c r="N297" s="20"/>
      <c r="O297" s="20"/>
      <c r="P297" s="20"/>
      <c r="Q297" s="20"/>
      <c r="R297" s="20"/>
    </row>
    <row r="298">
      <c r="A298" s="20"/>
      <c r="B298" s="20"/>
      <c r="C298" s="20"/>
      <c r="D298" s="20"/>
      <c r="E298" s="20"/>
      <c r="F298" s="20"/>
      <c r="G298" s="20"/>
      <c r="H298" s="20"/>
      <c r="I298" s="20"/>
      <c r="J298" s="20"/>
      <c r="K298" s="20"/>
      <c r="L298" s="20"/>
      <c r="M298" s="20"/>
      <c r="N298" s="20"/>
      <c r="O298" s="20"/>
      <c r="P298" s="20"/>
      <c r="Q298" s="20"/>
      <c r="R298" s="20"/>
    </row>
    <row r="299">
      <c r="A299" s="20"/>
      <c r="B299" s="20"/>
      <c r="C299" s="20"/>
      <c r="D299" s="20"/>
      <c r="E299" s="20"/>
      <c r="F299" s="20"/>
      <c r="G299" s="20"/>
      <c r="H299" s="20"/>
      <c r="I299" s="20"/>
      <c r="J299" s="20"/>
      <c r="K299" s="20"/>
      <c r="L299" s="20"/>
      <c r="M299" s="20"/>
      <c r="N299" s="20"/>
      <c r="O299" s="20"/>
      <c r="P299" s="20"/>
      <c r="Q299" s="20"/>
      <c r="R299" s="20"/>
    </row>
    <row r="300">
      <c r="A300" s="20"/>
      <c r="B300" s="20"/>
      <c r="C300" s="20"/>
      <c r="D300" s="20"/>
      <c r="E300" s="20"/>
      <c r="F300" s="20"/>
      <c r="G300" s="20"/>
      <c r="H300" s="20"/>
      <c r="I300" s="20"/>
      <c r="J300" s="20"/>
      <c r="K300" s="20"/>
      <c r="L300" s="20"/>
      <c r="M300" s="20"/>
      <c r="N300" s="20"/>
      <c r="O300" s="20"/>
      <c r="P300" s="20"/>
      <c r="Q300" s="20"/>
      <c r="R300" s="20"/>
    </row>
    <row r="301">
      <c r="A301" s="20"/>
      <c r="B301" s="20"/>
      <c r="C301" s="20"/>
      <c r="D301" s="20"/>
      <c r="E301" s="20"/>
      <c r="F301" s="20"/>
      <c r="G301" s="20"/>
      <c r="H301" s="20"/>
      <c r="I301" s="20"/>
      <c r="J301" s="20"/>
      <c r="K301" s="20"/>
      <c r="L301" s="20"/>
      <c r="M301" s="20"/>
      <c r="N301" s="20"/>
      <c r="O301" s="20"/>
      <c r="P301" s="20"/>
      <c r="Q301" s="20"/>
      <c r="R301" s="20"/>
    </row>
    <row r="302">
      <c r="A302" s="20"/>
      <c r="B302" s="20"/>
      <c r="C302" s="20"/>
      <c r="D302" s="20"/>
      <c r="E302" s="20"/>
      <c r="F302" s="20"/>
      <c r="G302" s="20"/>
      <c r="H302" s="20"/>
      <c r="I302" s="20"/>
      <c r="J302" s="20"/>
      <c r="K302" s="20"/>
      <c r="L302" s="20"/>
      <c r="M302" s="20"/>
      <c r="N302" s="20"/>
      <c r="O302" s="20"/>
      <c r="P302" s="20"/>
      <c r="Q302" s="20"/>
      <c r="R302" s="20"/>
    </row>
    <row r="303">
      <c r="A303" s="20"/>
      <c r="B303" s="20"/>
      <c r="C303" s="20"/>
      <c r="D303" s="20"/>
      <c r="E303" s="20"/>
      <c r="F303" s="20"/>
      <c r="G303" s="20"/>
      <c r="H303" s="20"/>
      <c r="I303" s="20"/>
      <c r="J303" s="20"/>
      <c r="K303" s="20"/>
      <c r="L303" s="20"/>
      <c r="M303" s="20"/>
      <c r="N303" s="20"/>
      <c r="O303" s="20"/>
      <c r="P303" s="20"/>
      <c r="Q303" s="20"/>
      <c r="R303" s="20"/>
    </row>
    <row r="304">
      <c r="A304" s="20"/>
      <c r="B304" s="20"/>
      <c r="C304" s="20"/>
      <c r="D304" s="20"/>
      <c r="E304" s="20"/>
      <c r="F304" s="20"/>
      <c r="G304" s="20"/>
      <c r="H304" s="20"/>
      <c r="I304" s="20"/>
      <c r="J304" s="20"/>
      <c r="K304" s="20"/>
      <c r="L304" s="20"/>
      <c r="M304" s="20"/>
      <c r="N304" s="20"/>
      <c r="O304" s="20"/>
      <c r="P304" s="20"/>
      <c r="Q304" s="20"/>
      <c r="R304" s="20"/>
    </row>
    <row r="305">
      <c r="A305" s="20"/>
      <c r="B305" s="20"/>
      <c r="C305" s="20"/>
      <c r="D305" s="20"/>
      <c r="E305" s="20"/>
      <c r="F305" s="20"/>
      <c r="G305" s="20"/>
      <c r="H305" s="20"/>
      <c r="I305" s="20"/>
      <c r="J305" s="20"/>
      <c r="K305" s="20"/>
      <c r="L305" s="20"/>
      <c r="M305" s="20"/>
      <c r="N305" s="20"/>
      <c r="O305" s="20"/>
      <c r="P305" s="20"/>
      <c r="Q305" s="20"/>
      <c r="R305" s="20"/>
    </row>
    <row r="306">
      <c r="A306" s="20"/>
      <c r="B306" s="20"/>
      <c r="C306" s="20"/>
      <c r="D306" s="20"/>
      <c r="E306" s="20"/>
      <c r="F306" s="20"/>
      <c r="G306" s="20"/>
      <c r="H306" s="20"/>
      <c r="I306" s="20"/>
      <c r="J306" s="20"/>
      <c r="K306" s="20"/>
      <c r="L306" s="20"/>
      <c r="M306" s="20"/>
      <c r="N306" s="20"/>
      <c r="O306" s="20"/>
      <c r="P306" s="20"/>
      <c r="Q306" s="20"/>
      <c r="R306" s="20"/>
    </row>
    <row r="307">
      <c r="A307" s="20"/>
      <c r="B307" s="20"/>
      <c r="C307" s="20"/>
      <c r="D307" s="20"/>
      <c r="E307" s="20"/>
      <c r="F307" s="20"/>
      <c r="G307" s="20"/>
      <c r="H307" s="20"/>
      <c r="I307" s="20"/>
      <c r="J307" s="20"/>
      <c r="K307" s="20"/>
      <c r="L307" s="20"/>
      <c r="M307" s="20"/>
      <c r="N307" s="20"/>
      <c r="O307" s="20"/>
      <c r="P307" s="20"/>
      <c r="Q307" s="20"/>
      <c r="R307" s="20"/>
    </row>
    <row r="308">
      <c r="A308" s="20"/>
      <c r="B308" s="20"/>
      <c r="C308" s="20"/>
      <c r="D308" s="20"/>
      <c r="E308" s="20"/>
      <c r="F308" s="20"/>
      <c r="G308" s="20"/>
      <c r="H308" s="20"/>
      <c r="I308" s="20"/>
      <c r="J308" s="20"/>
      <c r="K308" s="20"/>
      <c r="L308" s="20"/>
      <c r="M308" s="20"/>
      <c r="N308" s="20"/>
      <c r="O308" s="20"/>
      <c r="P308" s="20"/>
      <c r="Q308" s="20"/>
      <c r="R308" s="20"/>
    </row>
    <row r="309">
      <c r="A309" s="20"/>
      <c r="B309" s="20"/>
      <c r="C309" s="20"/>
      <c r="D309" s="20"/>
      <c r="E309" s="20"/>
      <c r="F309" s="20"/>
      <c r="G309" s="20"/>
      <c r="H309" s="20"/>
      <c r="I309" s="20"/>
      <c r="J309" s="20"/>
      <c r="K309" s="20"/>
      <c r="L309" s="20"/>
      <c r="M309" s="20"/>
      <c r="N309" s="20"/>
      <c r="O309" s="20"/>
      <c r="P309" s="20"/>
      <c r="Q309" s="20"/>
      <c r="R309" s="20"/>
    </row>
    <row r="310">
      <c r="A310" s="20"/>
      <c r="B310" s="20"/>
      <c r="C310" s="20"/>
      <c r="D310" s="20"/>
      <c r="E310" s="20"/>
      <c r="F310" s="20"/>
      <c r="G310" s="20"/>
      <c r="H310" s="20"/>
      <c r="I310" s="20"/>
      <c r="J310" s="20"/>
      <c r="K310" s="20"/>
      <c r="L310" s="20"/>
      <c r="M310" s="20"/>
      <c r="N310" s="20"/>
      <c r="O310" s="20"/>
      <c r="P310" s="20"/>
      <c r="Q310" s="20"/>
      <c r="R310" s="20"/>
    </row>
    <row r="311">
      <c r="A311" s="20"/>
      <c r="B311" s="20"/>
      <c r="C311" s="20"/>
      <c r="D311" s="20"/>
      <c r="E311" s="20"/>
      <c r="F311" s="20"/>
      <c r="G311" s="20"/>
      <c r="H311" s="20"/>
      <c r="I311" s="20"/>
      <c r="J311" s="20"/>
      <c r="K311" s="20"/>
      <c r="L311" s="20"/>
      <c r="M311" s="20"/>
      <c r="N311" s="20"/>
      <c r="O311" s="20"/>
      <c r="P311" s="20"/>
      <c r="Q311" s="20"/>
      <c r="R311" s="20"/>
    </row>
    <row r="312">
      <c r="A312" s="20"/>
      <c r="B312" s="20"/>
      <c r="C312" s="20"/>
      <c r="D312" s="20"/>
      <c r="E312" s="20"/>
      <c r="F312" s="20"/>
      <c r="G312" s="20"/>
      <c r="H312" s="20"/>
      <c r="I312" s="20"/>
      <c r="J312" s="20"/>
      <c r="K312" s="20"/>
      <c r="L312" s="20"/>
      <c r="M312" s="20"/>
      <c r="N312" s="20"/>
      <c r="O312" s="20"/>
      <c r="P312" s="20"/>
      <c r="Q312" s="20"/>
      <c r="R312" s="20"/>
    </row>
    <row r="313">
      <c r="A313" s="20"/>
      <c r="B313" s="20"/>
      <c r="C313" s="20"/>
      <c r="D313" s="20"/>
      <c r="E313" s="20"/>
      <c r="F313" s="20"/>
      <c r="G313" s="20"/>
      <c r="H313" s="20"/>
      <c r="I313" s="20"/>
      <c r="J313" s="20"/>
      <c r="K313" s="20"/>
      <c r="L313" s="20"/>
      <c r="M313" s="20"/>
      <c r="N313" s="20"/>
      <c r="O313" s="20"/>
      <c r="P313" s="20"/>
      <c r="Q313" s="20"/>
      <c r="R313" s="20"/>
    </row>
    <row r="314">
      <c r="A314" s="20"/>
      <c r="B314" s="20"/>
      <c r="C314" s="20"/>
      <c r="D314" s="20"/>
      <c r="E314" s="20"/>
      <c r="F314" s="20"/>
      <c r="G314" s="20"/>
      <c r="H314" s="20"/>
      <c r="I314" s="20"/>
      <c r="J314" s="20"/>
      <c r="K314" s="20"/>
      <c r="L314" s="20"/>
      <c r="M314" s="20"/>
      <c r="N314" s="20"/>
      <c r="O314" s="20"/>
      <c r="P314" s="20"/>
      <c r="Q314" s="20"/>
      <c r="R314" s="20"/>
    </row>
    <row r="315">
      <c r="A315" s="20"/>
      <c r="B315" s="20"/>
      <c r="C315" s="20"/>
      <c r="D315" s="20"/>
      <c r="E315" s="20"/>
      <c r="F315" s="20"/>
      <c r="G315" s="20"/>
      <c r="H315" s="20"/>
      <c r="I315" s="20"/>
      <c r="J315" s="20"/>
      <c r="K315" s="20"/>
      <c r="L315" s="20"/>
      <c r="M315" s="20"/>
      <c r="N315" s="20"/>
      <c r="O315" s="20"/>
      <c r="P315" s="20"/>
      <c r="Q315" s="20"/>
      <c r="R315" s="20"/>
    </row>
    <row r="316">
      <c r="A316" s="20"/>
      <c r="B316" s="20"/>
      <c r="C316" s="20"/>
      <c r="D316" s="20"/>
      <c r="E316" s="20"/>
      <c r="F316" s="20"/>
      <c r="G316" s="20"/>
      <c r="H316" s="20"/>
      <c r="I316" s="20"/>
      <c r="J316" s="20"/>
      <c r="K316" s="20"/>
      <c r="L316" s="20"/>
      <c r="M316" s="20"/>
      <c r="N316" s="20"/>
      <c r="O316" s="20"/>
      <c r="P316" s="20"/>
      <c r="Q316" s="20"/>
      <c r="R316" s="20"/>
    </row>
    <row r="317">
      <c r="A317" s="20"/>
      <c r="B317" s="20"/>
      <c r="C317" s="20"/>
      <c r="D317" s="20"/>
      <c r="E317" s="20"/>
      <c r="F317" s="20"/>
      <c r="G317" s="20"/>
      <c r="H317" s="20"/>
      <c r="I317" s="20"/>
      <c r="J317" s="20"/>
      <c r="K317" s="20"/>
      <c r="L317" s="20"/>
      <c r="M317" s="20"/>
      <c r="N317" s="20"/>
      <c r="O317" s="20"/>
      <c r="P317" s="20"/>
      <c r="Q317" s="20"/>
      <c r="R317" s="20"/>
    </row>
    <row r="318">
      <c r="A318" s="20"/>
      <c r="B318" s="20"/>
      <c r="C318" s="20"/>
      <c r="D318" s="20"/>
      <c r="E318" s="20"/>
      <c r="F318" s="20"/>
      <c r="G318" s="20"/>
      <c r="H318" s="20"/>
      <c r="I318" s="20"/>
      <c r="J318" s="20"/>
      <c r="K318" s="20"/>
      <c r="L318" s="20"/>
      <c r="M318" s="20"/>
      <c r="N318" s="20"/>
      <c r="O318" s="20"/>
      <c r="P318" s="20"/>
      <c r="Q318" s="20"/>
      <c r="R318" s="20"/>
    </row>
    <row r="319">
      <c r="A319" s="20"/>
      <c r="B319" s="20"/>
      <c r="C319" s="20"/>
      <c r="D319" s="20"/>
      <c r="E319" s="20"/>
      <c r="F319" s="20"/>
      <c r="G319" s="20"/>
      <c r="H319" s="20"/>
      <c r="I319" s="20"/>
      <c r="J319" s="20"/>
      <c r="K319" s="20"/>
      <c r="L319" s="20"/>
      <c r="M319" s="20"/>
      <c r="N319" s="20"/>
      <c r="O319" s="20"/>
      <c r="P319" s="20"/>
      <c r="Q319" s="20"/>
      <c r="R319" s="20"/>
    </row>
    <row r="320">
      <c r="A320" s="20"/>
      <c r="B320" s="20"/>
      <c r="C320" s="20"/>
      <c r="D320" s="20"/>
      <c r="E320" s="20"/>
      <c r="F320" s="20"/>
      <c r="G320" s="20"/>
      <c r="H320" s="20"/>
      <c r="I320" s="20"/>
      <c r="J320" s="20"/>
      <c r="K320" s="20"/>
      <c r="L320" s="20"/>
      <c r="M320" s="20"/>
      <c r="N320" s="20"/>
      <c r="O320" s="20"/>
      <c r="P320" s="20"/>
      <c r="Q320" s="20"/>
      <c r="R320" s="20"/>
    </row>
    <row r="321">
      <c r="A321" s="20"/>
      <c r="B321" s="20"/>
      <c r="C321" s="20"/>
      <c r="D321" s="20"/>
      <c r="E321" s="20"/>
      <c r="F321" s="20"/>
      <c r="G321" s="20"/>
      <c r="H321" s="20"/>
      <c r="I321" s="20"/>
      <c r="J321" s="20"/>
      <c r="K321" s="20"/>
      <c r="L321" s="20"/>
      <c r="M321" s="20"/>
      <c r="N321" s="20"/>
      <c r="O321" s="20"/>
      <c r="P321" s="20"/>
      <c r="Q321" s="20"/>
      <c r="R321" s="20"/>
    </row>
    <row r="322">
      <c r="A322" s="20"/>
      <c r="B322" s="20"/>
      <c r="C322" s="20"/>
      <c r="D322" s="20"/>
      <c r="E322" s="20"/>
      <c r="F322" s="20"/>
      <c r="G322" s="20"/>
      <c r="H322" s="20"/>
      <c r="I322" s="20"/>
      <c r="J322" s="20"/>
      <c r="K322" s="20"/>
      <c r="L322" s="20"/>
      <c r="M322" s="20"/>
      <c r="N322" s="20"/>
      <c r="O322" s="20"/>
      <c r="P322" s="20"/>
      <c r="Q322" s="20"/>
      <c r="R322" s="20"/>
    </row>
    <row r="323">
      <c r="A323" s="20"/>
      <c r="B323" s="20"/>
      <c r="C323" s="20"/>
      <c r="D323" s="20"/>
      <c r="E323" s="20"/>
      <c r="F323" s="20"/>
      <c r="G323" s="20"/>
      <c r="H323" s="20"/>
      <c r="I323" s="20"/>
      <c r="J323" s="20"/>
      <c r="K323" s="20"/>
      <c r="L323" s="20"/>
      <c r="M323" s="20"/>
      <c r="N323" s="20"/>
      <c r="O323" s="20"/>
      <c r="P323" s="20"/>
      <c r="Q323" s="20"/>
      <c r="R323" s="20"/>
    </row>
    <row r="324">
      <c r="A324" s="20"/>
      <c r="B324" s="20"/>
      <c r="C324" s="20"/>
      <c r="D324" s="20"/>
      <c r="E324" s="20"/>
      <c r="F324" s="20"/>
      <c r="G324" s="20"/>
      <c r="H324" s="20"/>
      <c r="I324" s="20"/>
      <c r="J324" s="20"/>
      <c r="K324" s="20"/>
      <c r="L324" s="20"/>
      <c r="M324" s="20"/>
      <c r="N324" s="20"/>
      <c r="O324" s="20"/>
      <c r="P324" s="20"/>
      <c r="Q324" s="20"/>
      <c r="R324" s="20"/>
    </row>
    <row r="325">
      <c r="A325" s="20"/>
      <c r="B325" s="20"/>
      <c r="C325" s="20"/>
      <c r="D325" s="20"/>
      <c r="E325" s="20"/>
      <c r="F325" s="20"/>
      <c r="G325" s="20"/>
      <c r="H325" s="20"/>
      <c r="I325" s="20"/>
      <c r="J325" s="20"/>
      <c r="K325" s="20"/>
      <c r="L325" s="20"/>
      <c r="M325" s="20"/>
      <c r="N325" s="20"/>
      <c r="O325" s="20"/>
      <c r="P325" s="20"/>
      <c r="Q325" s="20"/>
      <c r="R325" s="20"/>
    </row>
    <row r="326">
      <c r="A326" s="20"/>
      <c r="B326" s="20"/>
      <c r="C326" s="20"/>
      <c r="D326" s="20"/>
      <c r="E326" s="20"/>
      <c r="F326" s="20"/>
      <c r="G326" s="20"/>
      <c r="H326" s="20"/>
      <c r="I326" s="20"/>
      <c r="J326" s="20"/>
      <c r="K326" s="20"/>
      <c r="L326" s="20"/>
      <c r="M326" s="20"/>
      <c r="N326" s="20"/>
      <c r="O326" s="20"/>
      <c r="P326" s="20"/>
      <c r="Q326" s="20"/>
      <c r="R326" s="20"/>
    </row>
    <row r="327">
      <c r="A327" s="20"/>
      <c r="B327" s="20"/>
      <c r="C327" s="20"/>
      <c r="D327" s="20"/>
      <c r="E327" s="20"/>
      <c r="F327" s="20"/>
      <c r="G327" s="20"/>
      <c r="H327" s="20"/>
      <c r="I327" s="20"/>
      <c r="J327" s="20"/>
      <c r="K327" s="20"/>
      <c r="L327" s="20"/>
      <c r="M327" s="20"/>
      <c r="N327" s="20"/>
      <c r="O327" s="20"/>
      <c r="P327" s="20"/>
      <c r="Q327" s="20"/>
      <c r="R327" s="20"/>
    </row>
    <row r="328">
      <c r="A328" s="20"/>
      <c r="B328" s="20"/>
      <c r="C328" s="20"/>
      <c r="D328" s="20"/>
      <c r="E328" s="20"/>
      <c r="F328" s="20"/>
      <c r="G328" s="20"/>
      <c r="H328" s="20"/>
      <c r="I328" s="20"/>
      <c r="J328" s="20"/>
      <c r="K328" s="20"/>
      <c r="L328" s="20"/>
      <c r="M328" s="20"/>
      <c r="N328" s="20"/>
      <c r="O328" s="20"/>
      <c r="P328" s="20"/>
      <c r="Q328" s="20"/>
      <c r="R328" s="20"/>
    </row>
    <row r="329">
      <c r="A329" s="20"/>
      <c r="B329" s="20"/>
      <c r="C329" s="20"/>
      <c r="D329" s="20"/>
      <c r="E329" s="20"/>
      <c r="F329" s="20"/>
      <c r="G329" s="20"/>
      <c r="H329" s="20"/>
      <c r="I329" s="20"/>
      <c r="J329" s="20"/>
      <c r="K329" s="20"/>
      <c r="L329" s="20"/>
      <c r="M329" s="20"/>
      <c r="N329" s="20"/>
      <c r="O329" s="20"/>
      <c r="P329" s="20"/>
      <c r="Q329" s="20"/>
      <c r="R329" s="20"/>
    </row>
    <row r="330">
      <c r="A330" s="20"/>
      <c r="B330" s="20"/>
      <c r="C330" s="20"/>
      <c r="D330" s="20"/>
      <c r="E330" s="20"/>
      <c r="F330" s="20"/>
      <c r="G330" s="20"/>
      <c r="H330" s="20"/>
      <c r="I330" s="20"/>
      <c r="J330" s="20"/>
      <c r="K330" s="20"/>
      <c r="L330" s="20"/>
      <c r="M330" s="20"/>
      <c r="N330" s="20"/>
      <c r="O330" s="20"/>
      <c r="P330" s="20"/>
      <c r="Q330" s="20"/>
      <c r="R330" s="20"/>
    </row>
    <row r="331">
      <c r="A331" s="20"/>
      <c r="B331" s="20"/>
      <c r="C331" s="20"/>
      <c r="D331" s="20"/>
      <c r="E331" s="20"/>
      <c r="F331" s="20"/>
      <c r="G331" s="20"/>
      <c r="H331" s="20"/>
      <c r="I331" s="20"/>
      <c r="J331" s="20"/>
      <c r="K331" s="20"/>
      <c r="L331" s="20"/>
      <c r="M331" s="20"/>
      <c r="N331" s="20"/>
      <c r="O331" s="20"/>
      <c r="P331" s="20"/>
      <c r="Q331" s="20"/>
      <c r="R331" s="20"/>
    </row>
    <row r="332">
      <c r="A332" s="20"/>
      <c r="B332" s="20"/>
      <c r="C332" s="20"/>
      <c r="D332" s="20"/>
      <c r="E332" s="20"/>
      <c r="F332" s="20"/>
      <c r="G332" s="20"/>
      <c r="H332" s="20"/>
      <c r="I332" s="20"/>
      <c r="J332" s="20"/>
      <c r="K332" s="20"/>
      <c r="L332" s="20"/>
      <c r="M332" s="20"/>
      <c r="N332" s="20"/>
      <c r="O332" s="20"/>
      <c r="P332" s="20"/>
      <c r="Q332" s="20"/>
      <c r="R332" s="20"/>
    </row>
    <row r="333">
      <c r="A333" s="20"/>
      <c r="B333" s="20"/>
      <c r="C333" s="20"/>
      <c r="D333" s="20"/>
      <c r="E333" s="20"/>
      <c r="F333" s="20"/>
      <c r="G333" s="20"/>
      <c r="H333" s="20"/>
      <c r="I333" s="20"/>
      <c r="J333" s="20"/>
      <c r="K333" s="20"/>
      <c r="L333" s="20"/>
      <c r="M333" s="20"/>
      <c r="N333" s="20"/>
      <c r="O333" s="20"/>
      <c r="P333" s="20"/>
      <c r="Q333" s="20"/>
      <c r="R333" s="20"/>
    </row>
    <row r="334">
      <c r="A334" s="20"/>
      <c r="B334" s="20"/>
      <c r="C334" s="20"/>
      <c r="D334" s="20"/>
      <c r="E334" s="20"/>
      <c r="F334" s="20"/>
      <c r="G334" s="20"/>
      <c r="H334" s="20"/>
      <c r="I334" s="20"/>
      <c r="J334" s="20"/>
      <c r="K334" s="20"/>
      <c r="L334" s="20"/>
      <c r="M334" s="20"/>
      <c r="N334" s="20"/>
      <c r="O334" s="20"/>
      <c r="P334" s="20"/>
      <c r="Q334" s="20"/>
      <c r="R334" s="20"/>
    </row>
    <row r="335">
      <c r="A335" s="20"/>
      <c r="B335" s="20"/>
      <c r="C335" s="20"/>
      <c r="D335" s="20"/>
      <c r="E335" s="20"/>
      <c r="F335" s="20"/>
      <c r="G335" s="20"/>
      <c r="H335" s="20"/>
      <c r="I335" s="20"/>
      <c r="J335" s="20"/>
      <c r="K335" s="20"/>
      <c r="L335" s="20"/>
      <c r="M335" s="20"/>
      <c r="N335" s="20"/>
      <c r="O335" s="20"/>
      <c r="P335" s="20"/>
      <c r="Q335" s="20"/>
      <c r="R335" s="20"/>
    </row>
    <row r="336">
      <c r="A336" s="20"/>
      <c r="B336" s="20"/>
      <c r="C336" s="20"/>
      <c r="D336" s="20"/>
      <c r="E336" s="20"/>
      <c r="F336" s="20"/>
      <c r="G336" s="20"/>
      <c r="H336" s="20"/>
      <c r="I336" s="20"/>
      <c r="J336" s="20"/>
      <c r="K336" s="20"/>
      <c r="L336" s="20"/>
      <c r="M336" s="20"/>
      <c r="N336" s="20"/>
      <c r="O336" s="20"/>
      <c r="P336" s="20"/>
      <c r="Q336" s="20"/>
      <c r="R336" s="20"/>
    </row>
    <row r="337">
      <c r="A337" s="20"/>
      <c r="B337" s="20"/>
      <c r="C337" s="20"/>
      <c r="D337" s="20"/>
      <c r="E337" s="20"/>
      <c r="F337" s="20"/>
      <c r="G337" s="20"/>
      <c r="H337" s="20"/>
      <c r="I337" s="20"/>
      <c r="J337" s="20"/>
      <c r="K337" s="20"/>
      <c r="L337" s="20"/>
      <c r="M337" s="20"/>
      <c r="N337" s="20"/>
      <c r="O337" s="20"/>
      <c r="P337" s="20"/>
      <c r="Q337" s="20"/>
      <c r="R337" s="20"/>
    </row>
    <row r="338">
      <c r="A338" s="20"/>
      <c r="B338" s="20"/>
      <c r="C338" s="20"/>
      <c r="D338" s="20"/>
      <c r="E338" s="20"/>
      <c r="F338" s="20"/>
      <c r="G338" s="20"/>
      <c r="H338" s="20"/>
      <c r="I338" s="20"/>
      <c r="J338" s="20"/>
      <c r="K338" s="20"/>
      <c r="L338" s="20"/>
      <c r="M338" s="20"/>
      <c r="N338" s="20"/>
      <c r="O338" s="20"/>
      <c r="P338" s="20"/>
      <c r="Q338" s="20"/>
      <c r="R338" s="20"/>
    </row>
    <row r="339">
      <c r="A339" s="20"/>
      <c r="B339" s="20"/>
      <c r="C339" s="20"/>
      <c r="D339" s="20"/>
      <c r="E339" s="20"/>
      <c r="F339" s="20"/>
      <c r="G339" s="20"/>
      <c r="H339" s="20"/>
      <c r="I339" s="20"/>
      <c r="J339" s="20"/>
      <c r="K339" s="20"/>
      <c r="L339" s="20"/>
      <c r="M339" s="20"/>
      <c r="N339" s="20"/>
      <c r="O339" s="20"/>
      <c r="P339" s="20"/>
      <c r="Q339" s="20"/>
      <c r="R339" s="20"/>
    </row>
    <row r="340">
      <c r="A340" s="20"/>
      <c r="B340" s="20"/>
      <c r="C340" s="20"/>
      <c r="D340" s="20"/>
      <c r="E340" s="20"/>
      <c r="F340" s="20"/>
      <c r="G340" s="20"/>
      <c r="H340" s="20"/>
      <c r="I340" s="20"/>
      <c r="J340" s="20"/>
      <c r="K340" s="20"/>
      <c r="L340" s="20"/>
      <c r="M340" s="20"/>
      <c r="N340" s="20"/>
      <c r="O340" s="20"/>
      <c r="P340" s="20"/>
      <c r="Q340" s="20"/>
      <c r="R340" s="20"/>
    </row>
    <row r="341">
      <c r="A341" s="20"/>
      <c r="B341" s="20"/>
      <c r="C341" s="20"/>
      <c r="D341" s="20"/>
      <c r="E341" s="20"/>
      <c r="F341" s="20"/>
      <c r="G341" s="20"/>
      <c r="H341" s="20"/>
      <c r="I341" s="20"/>
      <c r="J341" s="20"/>
      <c r="K341" s="20"/>
      <c r="L341" s="20"/>
      <c r="M341" s="20"/>
      <c r="N341" s="20"/>
      <c r="O341" s="20"/>
      <c r="P341" s="20"/>
      <c r="Q341" s="20"/>
      <c r="R341" s="20"/>
    </row>
    <row r="342">
      <c r="A342" s="20"/>
      <c r="B342" s="20"/>
      <c r="C342" s="20"/>
      <c r="D342" s="20"/>
      <c r="E342" s="20"/>
      <c r="F342" s="20"/>
      <c r="G342" s="20"/>
      <c r="H342" s="20"/>
      <c r="I342" s="20"/>
      <c r="J342" s="20"/>
      <c r="K342" s="20"/>
      <c r="L342" s="20"/>
      <c r="M342" s="20"/>
      <c r="N342" s="20"/>
      <c r="O342" s="20"/>
      <c r="P342" s="20"/>
      <c r="Q342" s="20"/>
      <c r="R342" s="20"/>
    </row>
    <row r="343">
      <c r="A343" s="20"/>
      <c r="B343" s="20"/>
      <c r="C343" s="20"/>
      <c r="D343" s="20"/>
      <c r="E343" s="20"/>
      <c r="F343" s="20"/>
      <c r="G343" s="20"/>
      <c r="H343" s="20"/>
      <c r="I343" s="20"/>
      <c r="J343" s="20"/>
      <c r="K343" s="20"/>
      <c r="L343" s="20"/>
      <c r="M343" s="20"/>
      <c r="N343" s="20"/>
      <c r="O343" s="20"/>
      <c r="P343" s="20"/>
      <c r="Q343" s="20"/>
      <c r="R343" s="20"/>
    </row>
    <row r="344">
      <c r="A344" s="20"/>
      <c r="B344" s="20"/>
      <c r="C344" s="20"/>
      <c r="D344" s="20"/>
      <c r="E344" s="20"/>
      <c r="F344" s="20"/>
      <c r="G344" s="20"/>
      <c r="H344" s="20"/>
      <c r="I344" s="20"/>
      <c r="J344" s="20"/>
      <c r="K344" s="20"/>
      <c r="L344" s="20"/>
      <c r="M344" s="20"/>
      <c r="N344" s="20"/>
      <c r="O344" s="20"/>
      <c r="P344" s="20"/>
      <c r="Q344" s="20"/>
      <c r="R344" s="20"/>
    </row>
    <row r="345">
      <c r="A345" s="20"/>
      <c r="B345" s="20"/>
      <c r="C345" s="20"/>
      <c r="D345" s="20"/>
      <c r="E345" s="20"/>
      <c r="F345" s="20"/>
      <c r="G345" s="20"/>
      <c r="H345" s="20"/>
      <c r="I345" s="20"/>
      <c r="J345" s="20"/>
      <c r="K345" s="20"/>
      <c r="L345" s="20"/>
      <c r="M345" s="20"/>
      <c r="N345" s="20"/>
      <c r="O345" s="20"/>
      <c r="P345" s="20"/>
      <c r="Q345" s="20"/>
      <c r="R345" s="20"/>
    </row>
    <row r="346">
      <c r="A346" s="20"/>
      <c r="B346" s="20"/>
      <c r="C346" s="20"/>
      <c r="D346" s="20"/>
      <c r="E346" s="20"/>
      <c r="F346" s="20"/>
      <c r="G346" s="20"/>
      <c r="H346" s="20"/>
      <c r="I346" s="20"/>
      <c r="J346" s="20"/>
      <c r="K346" s="20"/>
      <c r="L346" s="20"/>
      <c r="M346" s="20"/>
      <c r="N346" s="20"/>
      <c r="O346" s="20"/>
      <c r="P346" s="20"/>
      <c r="Q346" s="20"/>
      <c r="R346" s="20"/>
    </row>
    <row r="347">
      <c r="A347" s="20"/>
      <c r="B347" s="20"/>
      <c r="C347" s="20"/>
      <c r="D347" s="20"/>
      <c r="E347" s="20"/>
      <c r="F347" s="20"/>
      <c r="G347" s="20"/>
      <c r="H347" s="20"/>
      <c r="I347" s="20"/>
      <c r="J347" s="20"/>
      <c r="K347" s="20"/>
      <c r="L347" s="20"/>
      <c r="M347" s="20"/>
      <c r="N347" s="20"/>
      <c r="O347" s="20"/>
      <c r="P347" s="20"/>
      <c r="Q347" s="20"/>
      <c r="R347" s="20"/>
    </row>
    <row r="348">
      <c r="A348" s="20"/>
      <c r="B348" s="20"/>
      <c r="C348" s="20"/>
      <c r="D348" s="20"/>
      <c r="E348" s="20"/>
      <c r="F348" s="20"/>
      <c r="G348" s="20"/>
      <c r="H348" s="20"/>
      <c r="I348" s="20"/>
      <c r="J348" s="20"/>
      <c r="K348" s="20"/>
      <c r="L348" s="20"/>
      <c r="M348" s="20"/>
      <c r="N348" s="20"/>
      <c r="O348" s="20"/>
      <c r="P348" s="20"/>
      <c r="Q348" s="20"/>
      <c r="R348" s="20"/>
    </row>
    <row r="349">
      <c r="A349" s="20"/>
      <c r="B349" s="20"/>
      <c r="C349" s="20"/>
      <c r="D349" s="20"/>
      <c r="E349" s="20"/>
      <c r="F349" s="20"/>
      <c r="G349" s="20"/>
      <c r="H349" s="20"/>
      <c r="I349" s="20"/>
      <c r="J349" s="20"/>
      <c r="K349" s="20"/>
      <c r="L349" s="20"/>
      <c r="M349" s="20"/>
      <c r="N349" s="20"/>
      <c r="O349" s="20"/>
      <c r="P349" s="20"/>
      <c r="Q349" s="20"/>
      <c r="R349" s="20"/>
    </row>
    <row r="350">
      <c r="A350" s="20"/>
      <c r="B350" s="20"/>
      <c r="C350" s="20"/>
      <c r="D350" s="20"/>
      <c r="E350" s="20"/>
      <c r="F350" s="20"/>
      <c r="G350" s="20"/>
      <c r="H350" s="20"/>
      <c r="I350" s="20"/>
      <c r="J350" s="20"/>
      <c r="K350" s="20"/>
      <c r="L350" s="20"/>
      <c r="M350" s="20"/>
      <c r="N350" s="20"/>
      <c r="O350" s="20"/>
      <c r="P350" s="20"/>
      <c r="Q350" s="20"/>
      <c r="R350" s="20"/>
    </row>
    <row r="351">
      <c r="A351" s="20"/>
      <c r="B351" s="20"/>
      <c r="C351" s="20"/>
      <c r="D351" s="20"/>
      <c r="E351" s="20"/>
      <c r="F351" s="20"/>
      <c r="G351" s="20"/>
      <c r="H351" s="20"/>
      <c r="I351" s="20"/>
      <c r="J351" s="20"/>
      <c r="K351" s="20"/>
      <c r="L351" s="20"/>
      <c r="M351" s="20"/>
      <c r="N351" s="20"/>
      <c r="O351" s="20"/>
      <c r="P351" s="20"/>
      <c r="Q351" s="20"/>
      <c r="R351" s="20"/>
    </row>
    <row r="352">
      <c r="A352" s="20"/>
      <c r="B352" s="20"/>
      <c r="C352" s="20"/>
      <c r="D352" s="20"/>
      <c r="E352" s="20"/>
      <c r="F352" s="20"/>
      <c r="G352" s="20"/>
      <c r="H352" s="20"/>
      <c r="I352" s="20"/>
      <c r="J352" s="20"/>
      <c r="K352" s="20"/>
      <c r="L352" s="20"/>
      <c r="M352" s="20"/>
      <c r="N352" s="20"/>
      <c r="O352" s="20"/>
      <c r="P352" s="20"/>
      <c r="Q352" s="20"/>
      <c r="R352" s="20"/>
    </row>
    <row r="353">
      <c r="A353" s="20"/>
      <c r="B353" s="20"/>
      <c r="C353" s="20"/>
      <c r="D353" s="20"/>
      <c r="E353" s="20"/>
      <c r="F353" s="20"/>
      <c r="G353" s="20"/>
      <c r="H353" s="20"/>
      <c r="I353" s="20"/>
      <c r="J353" s="20"/>
      <c r="K353" s="20"/>
      <c r="L353" s="20"/>
      <c r="M353" s="20"/>
      <c r="N353" s="20"/>
      <c r="O353" s="20"/>
      <c r="P353" s="20"/>
      <c r="Q353" s="20"/>
      <c r="R353" s="20"/>
    </row>
    <row r="354">
      <c r="A354" s="20"/>
      <c r="B354" s="20"/>
      <c r="C354" s="20"/>
      <c r="D354" s="20"/>
      <c r="E354" s="20"/>
      <c r="F354" s="20"/>
      <c r="G354" s="20"/>
      <c r="H354" s="20"/>
      <c r="I354" s="20"/>
      <c r="J354" s="20"/>
      <c r="K354" s="20"/>
      <c r="L354" s="20"/>
      <c r="M354" s="20"/>
      <c r="N354" s="20"/>
      <c r="O354" s="20"/>
      <c r="P354" s="20"/>
      <c r="Q354" s="20"/>
      <c r="R354" s="20"/>
    </row>
    <row r="355">
      <c r="A355" s="20"/>
      <c r="B355" s="20"/>
      <c r="C355" s="20"/>
      <c r="D355" s="20"/>
      <c r="E355" s="20"/>
      <c r="F355" s="20"/>
      <c r="G355" s="20"/>
      <c r="H355" s="20"/>
      <c r="I355" s="20"/>
      <c r="J355" s="20"/>
      <c r="K355" s="20"/>
      <c r="L355" s="20"/>
      <c r="M355" s="20"/>
      <c r="N355" s="20"/>
      <c r="O355" s="20"/>
      <c r="P355" s="20"/>
      <c r="Q355" s="20"/>
      <c r="R355" s="20"/>
    </row>
    <row r="356">
      <c r="A356" s="20"/>
      <c r="B356" s="20"/>
      <c r="C356" s="20"/>
      <c r="D356" s="20"/>
      <c r="E356" s="20"/>
      <c r="F356" s="20"/>
      <c r="G356" s="20"/>
      <c r="H356" s="20"/>
      <c r="I356" s="20"/>
      <c r="J356" s="20"/>
      <c r="K356" s="20"/>
      <c r="L356" s="20"/>
      <c r="M356" s="20"/>
      <c r="N356" s="20"/>
      <c r="O356" s="20"/>
      <c r="P356" s="20"/>
      <c r="Q356" s="20"/>
      <c r="R356" s="20"/>
    </row>
    <row r="357">
      <c r="A357" s="20"/>
      <c r="B357" s="20"/>
      <c r="C357" s="20"/>
      <c r="D357" s="20"/>
      <c r="E357" s="20"/>
      <c r="F357" s="20"/>
      <c r="G357" s="20"/>
      <c r="H357" s="20"/>
      <c r="I357" s="20"/>
      <c r="J357" s="20"/>
      <c r="K357" s="20"/>
      <c r="L357" s="20"/>
      <c r="M357" s="20"/>
      <c r="N357" s="20"/>
      <c r="O357" s="20"/>
      <c r="P357" s="20"/>
      <c r="Q357" s="20"/>
      <c r="R357" s="20"/>
    </row>
    <row r="358">
      <c r="A358" s="20"/>
      <c r="B358" s="20"/>
      <c r="C358" s="20"/>
      <c r="D358" s="20"/>
      <c r="E358" s="20"/>
      <c r="F358" s="20"/>
      <c r="G358" s="20"/>
      <c r="H358" s="20"/>
      <c r="I358" s="20"/>
      <c r="J358" s="20"/>
      <c r="K358" s="20"/>
      <c r="L358" s="20"/>
      <c r="M358" s="20"/>
      <c r="N358" s="20"/>
      <c r="O358" s="20"/>
      <c r="P358" s="20"/>
      <c r="Q358" s="20"/>
      <c r="R358" s="20"/>
    </row>
    <row r="359">
      <c r="A359" s="20"/>
      <c r="B359" s="20"/>
      <c r="C359" s="20"/>
      <c r="D359" s="20"/>
      <c r="E359" s="20"/>
      <c r="F359" s="20"/>
      <c r="G359" s="20"/>
      <c r="H359" s="20"/>
      <c r="I359" s="20"/>
      <c r="J359" s="20"/>
      <c r="K359" s="20"/>
      <c r="L359" s="20"/>
      <c r="M359" s="20"/>
      <c r="N359" s="20"/>
      <c r="O359" s="20"/>
      <c r="P359" s="20"/>
      <c r="Q359" s="20"/>
      <c r="R359" s="20"/>
    </row>
    <row r="360">
      <c r="A360" s="20"/>
      <c r="B360" s="20"/>
      <c r="C360" s="20"/>
      <c r="D360" s="20"/>
      <c r="E360" s="20"/>
      <c r="F360" s="20"/>
      <c r="G360" s="20"/>
      <c r="H360" s="20"/>
      <c r="I360" s="20"/>
      <c r="J360" s="20"/>
      <c r="K360" s="20"/>
      <c r="L360" s="20"/>
      <c r="M360" s="20"/>
      <c r="N360" s="20"/>
      <c r="O360" s="20"/>
      <c r="P360" s="20"/>
      <c r="Q360" s="20"/>
      <c r="R360" s="20"/>
    </row>
    <row r="361">
      <c r="A361" s="20"/>
      <c r="B361" s="20"/>
      <c r="C361" s="20"/>
      <c r="D361" s="20"/>
      <c r="E361" s="20"/>
      <c r="F361" s="20"/>
      <c r="G361" s="20"/>
      <c r="H361" s="20"/>
      <c r="I361" s="20"/>
      <c r="J361" s="20"/>
      <c r="K361" s="20"/>
      <c r="L361" s="20"/>
      <c r="M361" s="20"/>
      <c r="N361" s="20"/>
      <c r="O361" s="20"/>
      <c r="P361" s="20"/>
      <c r="Q361" s="20"/>
      <c r="R361" s="20"/>
    </row>
    <row r="362">
      <c r="A362" s="20"/>
      <c r="B362" s="20"/>
      <c r="C362" s="20"/>
      <c r="D362" s="20"/>
      <c r="E362" s="20"/>
      <c r="F362" s="20"/>
      <c r="G362" s="20"/>
      <c r="H362" s="20"/>
      <c r="I362" s="20"/>
      <c r="J362" s="20"/>
      <c r="K362" s="20"/>
      <c r="L362" s="20"/>
      <c r="M362" s="20"/>
      <c r="N362" s="20"/>
      <c r="O362" s="20"/>
      <c r="P362" s="20"/>
      <c r="Q362" s="20"/>
      <c r="R362" s="20"/>
    </row>
    <row r="363">
      <c r="A363" s="20"/>
      <c r="B363" s="20"/>
      <c r="C363" s="20"/>
      <c r="D363" s="20"/>
      <c r="E363" s="20"/>
      <c r="F363" s="20"/>
      <c r="G363" s="20"/>
      <c r="H363" s="20"/>
      <c r="I363" s="20"/>
      <c r="J363" s="20"/>
      <c r="K363" s="20"/>
      <c r="L363" s="20"/>
      <c r="M363" s="20"/>
      <c r="N363" s="20"/>
      <c r="O363" s="20"/>
      <c r="P363" s="20"/>
      <c r="Q363" s="20"/>
      <c r="R363" s="20"/>
    </row>
    <row r="364">
      <c r="A364" s="20"/>
      <c r="B364" s="20"/>
      <c r="C364" s="20"/>
      <c r="D364" s="20"/>
      <c r="E364" s="20"/>
      <c r="F364" s="20"/>
      <c r="G364" s="20"/>
      <c r="H364" s="20"/>
      <c r="I364" s="20"/>
      <c r="J364" s="20"/>
      <c r="K364" s="20"/>
      <c r="L364" s="20"/>
      <c r="M364" s="20"/>
      <c r="N364" s="20"/>
      <c r="O364" s="20"/>
      <c r="P364" s="20"/>
      <c r="Q364" s="20"/>
      <c r="R364" s="20"/>
    </row>
    <row r="365">
      <c r="A365" s="20"/>
      <c r="B365" s="20"/>
      <c r="C365" s="20"/>
      <c r="D365" s="20"/>
      <c r="E365" s="20"/>
      <c r="F365" s="20"/>
      <c r="G365" s="20"/>
      <c r="H365" s="20"/>
      <c r="I365" s="20"/>
      <c r="J365" s="20"/>
      <c r="K365" s="20"/>
      <c r="L365" s="20"/>
      <c r="M365" s="20"/>
      <c r="N365" s="20"/>
      <c r="O365" s="20"/>
      <c r="P365" s="20"/>
      <c r="Q365" s="20"/>
      <c r="R365" s="20"/>
    </row>
    <row r="366">
      <c r="A366" s="20"/>
      <c r="B366" s="20"/>
      <c r="C366" s="20"/>
      <c r="D366" s="20"/>
      <c r="E366" s="20"/>
      <c r="F366" s="20"/>
      <c r="G366" s="20"/>
      <c r="H366" s="20"/>
      <c r="I366" s="20"/>
      <c r="J366" s="20"/>
      <c r="K366" s="20"/>
      <c r="L366" s="20"/>
      <c r="M366" s="20"/>
      <c r="N366" s="20"/>
      <c r="O366" s="20"/>
      <c r="P366" s="20"/>
      <c r="Q366" s="20"/>
      <c r="R366" s="20"/>
    </row>
    <row r="367">
      <c r="A367" s="20"/>
      <c r="B367" s="20"/>
      <c r="C367" s="20"/>
      <c r="D367" s="20"/>
      <c r="E367" s="20"/>
      <c r="F367" s="20"/>
      <c r="G367" s="20"/>
      <c r="H367" s="20"/>
      <c r="I367" s="20"/>
      <c r="J367" s="20"/>
      <c r="K367" s="20"/>
      <c r="L367" s="20"/>
      <c r="M367" s="20"/>
      <c r="N367" s="20"/>
      <c r="O367" s="20"/>
      <c r="P367" s="20"/>
      <c r="Q367" s="20"/>
      <c r="R367" s="20"/>
    </row>
    <row r="368">
      <c r="A368" s="20"/>
      <c r="B368" s="20"/>
      <c r="C368" s="20"/>
      <c r="D368" s="20"/>
      <c r="E368" s="20"/>
      <c r="F368" s="20"/>
      <c r="G368" s="20"/>
      <c r="H368" s="20"/>
      <c r="I368" s="20"/>
      <c r="J368" s="20"/>
      <c r="K368" s="20"/>
      <c r="L368" s="20"/>
      <c r="M368" s="20"/>
      <c r="N368" s="20"/>
      <c r="O368" s="20"/>
      <c r="P368" s="20"/>
      <c r="Q368" s="20"/>
      <c r="R368" s="20"/>
    </row>
    <row r="369">
      <c r="A369" s="20"/>
      <c r="B369" s="20"/>
      <c r="C369" s="20"/>
      <c r="D369" s="20"/>
      <c r="E369" s="20"/>
      <c r="F369" s="20"/>
      <c r="G369" s="20"/>
      <c r="H369" s="20"/>
      <c r="I369" s="20"/>
      <c r="J369" s="20"/>
      <c r="K369" s="20"/>
      <c r="L369" s="20"/>
      <c r="M369" s="20"/>
      <c r="N369" s="20"/>
      <c r="O369" s="20"/>
      <c r="P369" s="20"/>
      <c r="Q369" s="20"/>
      <c r="R369" s="20"/>
    </row>
    <row r="370">
      <c r="A370" s="20"/>
      <c r="B370" s="20"/>
      <c r="C370" s="20"/>
      <c r="D370" s="20"/>
      <c r="E370" s="20"/>
      <c r="F370" s="20"/>
      <c r="G370" s="20"/>
      <c r="H370" s="20"/>
      <c r="I370" s="20"/>
      <c r="J370" s="20"/>
      <c r="K370" s="20"/>
      <c r="L370" s="20"/>
      <c r="M370" s="20"/>
      <c r="N370" s="20"/>
      <c r="O370" s="20"/>
      <c r="P370" s="20"/>
      <c r="Q370" s="20"/>
      <c r="R370" s="20"/>
    </row>
    <row r="371">
      <c r="A371" s="20"/>
      <c r="B371" s="20"/>
      <c r="C371" s="20"/>
      <c r="D371" s="20"/>
      <c r="E371" s="20"/>
      <c r="F371" s="20"/>
      <c r="G371" s="20"/>
      <c r="H371" s="20"/>
      <c r="I371" s="20"/>
      <c r="J371" s="20"/>
      <c r="K371" s="20"/>
      <c r="L371" s="20"/>
      <c r="M371" s="20"/>
      <c r="N371" s="20"/>
      <c r="O371" s="20"/>
      <c r="P371" s="20"/>
      <c r="Q371" s="20"/>
      <c r="R371" s="20"/>
    </row>
    <row r="372">
      <c r="A372" s="20"/>
      <c r="B372" s="20"/>
      <c r="C372" s="20"/>
      <c r="D372" s="20"/>
      <c r="E372" s="20"/>
      <c r="F372" s="20"/>
      <c r="G372" s="20"/>
      <c r="H372" s="20"/>
      <c r="I372" s="20"/>
      <c r="J372" s="20"/>
      <c r="K372" s="20"/>
      <c r="L372" s="20"/>
      <c r="M372" s="20"/>
      <c r="N372" s="20"/>
      <c r="O372" s="20"/>
      <c r="P372" s="20"/>
      <c r="Q372" s="20"/>
      <c r="R372" s="20"/>
    </row>
    <row r="373">
      <c r="A373" s="20"/>
      <c r="B373" s="20"/>
      <c r="C373" s="20"/>
      <c r="D373" s="20"/>
      <c r="E373" s="20"/>
      <c r="F373" s="20"/>
      <c r="G373" s="20"/>
      <c r="H373" s="20"/>
      <c r="I373" s="20"/>
      <c r="J373" s="20"/>
      <c r="K373" s="20"/>
      <c r="L373" s="20"/>
      <c r="M373" s="20"/>
      <c r="N373" s="20"/>
      <c r="O373" s="20"/>
      <c r="P373" s="20"/>
      <c r="Q373" s="20"/>
      <c r="R373" s="20"/>
    </row>
    <row r="374">
      <c r="A374" s="20"/>
      <c r="B374" s="20"/>
      <c r="C374" s="20"/>
      <c r="D374" s="20"/>
      <c r="E374" s="20"/>
      <c r="F374" s="20"/>
      <c r="G374" s="20"/>
      <c r="H374" s="20"/>
      <c r="I374" s="20"/>
      <c r="J374" s="20"/>
      <c r="K374" s="20"/>
      <c r="L374" s="20"/>
      <c r="M374" s="20"/>
      <c r="N374" s="20"/>
      <c r="O374" s="20"/>
      <c r="P374" s="20"/>
      <c r="Q374" s="20"/>
      <c r="R374" s="20"/>
    </row>
    <row r="375">
      <c r="A375" s="20"/>
      <c r="B375" s="20"/>
      <c r="C375" s="20"/>
      <c r="D375" s="20"/>
      <c r="E375" s="20"/>
      <c r="F375" s="20"/>
      <c r="G375" s="20"/>
      <c r="H375" s="20"/>
      <c r="I375" s="20"/>
      <c r="J375" s="20"/>
      <c r="K375" s="20"/>
      <c r="L375" s="20"/>
      <c r="M375" s="20"/>
      <c r="N375" s="20"/>
      <c r="O375" s="20"/>
      <c r="P375" s="20"/>
      <c r="Q375" s="20"/>
      <c r="R375" s="20"/>
    </row>
    <row r="376">
      <c r="A376" s="20"/>
      <c r="B376" s="20"/>
      <c r="C376" s="20"/>
      <c r="D376" s="20"/>
      <c r="E376" s="20"/>
      <c r="F376" s="20"/>
      <c r="G376" s="20"/>
      <c r="H376" s="20"/>
      <c r="I376" s="20"/>
      <c r="J376" s="20"/>
      <c r="K376" s="20"/>
      <c r="L376" s="20"/>
      <c r="M376" s="20"/>
      <c r="N376" s="20"/>
      <c r="O376" s="20"/>
      <c r="P376" s="20"/>
      <c r="Q376" s="20"/>
      <c r="R376" s="20"/>
    </row>
    <row r="377">
      <c r="A377" s="20"/>
      <c r="B377" s="20"/>
      <c r="C377" s="20"/>
      <c r="D377" s="20"/>
      <c r="E377" s="20"/>
      <c r="F377" s="20"/>
      <c r="G377" s="20"/>
      <c r="H377" s="20"/>
      <c r="I377" s="20"/>
      <c r="J377" s="20"/>
      <c r="K377" s="20"/>
      <c r="L377" s="20"/>
      <c r="M377" s="20"/>
      <c r="N377" s="20"/>
      <c r="O377" s="20"/>
      <c r="P377" s="20"/>
      <c r="Q377" s="20"/>
      <c r="R377" s="20"/>
    </row>
    <row r="378">
      <c r="A378" s="20"/>
      <c r="B378" s="20"/>
      <c r="C378" s="20"/>
      <c r="D378" s="20"/>
      <c r="E378" s="20"/>
      <c r="F378" s="20"/>
      <c r="G378" s="20"/>
      <c r="H378" s="20"/>
      <c r="I378" s="20"/>
      <c r="J378" s="20"/>
      <c r="K378" s="20"/>
      <c r="L378" s="20"/>
      <c r="M378" s="20"/>
      <c r="N378" s="20"/>
      <c r="O378" s="20"/>
      <c r="P378" s="20"/>
      <c r="Q378" s="20"/>
      <c r="R378" s="20"/>
    </row>
    <row r="379">
      <c r="A379" s="20"/>
      <c r="B379" s="20"/>
      <c r="C379" s="20"/>
      <c r="D379" s="20"/>
      <c r="E379" s="20"/>
      <c r="F379" s="20"/>
      <c r="G379" s="20"/>
      <c r="H379" s="20"/>
      <c r="I379" s="20"/>
      <c r="J379" s="20"/>
      <c r="K379" s="20"/>
      <c r="L379" s="20"/>
      <c r="M379" s="20"/>
      <c r="N379" s="20"/>
      <c r="O379" s="20"/>
      <c r="P379" s="20"/>
      <c r="Q379" s="20"/>
      <c r="R379" s="20"/>
    </row>
    <row r="380">
      <c r="A380" s="20"/>
      <c r="B380" s="20"/>
      <c r="C380" s="20"/>
      <c r="D380" s="20"/>
      <c r="E380" s="20"/>
      <c r="F380" s="20"/>
      <c r="G380" s="20"/>
      <c r="H380" s="20"/>
      <c r="I380" s="20"/>
      <c r="J380" s="20"/>
      <c r="K380" s="20"/>
      <c r="L380" s="20"/>
      <c r="M380" s="20"/>
      <c r="N380" s="20"/>
      <c r="O380" s="20"/>
      <c r="P380" s="20"/>
      <c r="Q380" s="20"/>
      <c r="R380" s="20"/>
    </row>
    <row r="381">
      <c r="A381" s="20"/>
      <c r="B381" s="20"/>
      <c r="C381" s="20"/>
      <c r="D381" s="20"/>
      <c r="E381" s="20"/>
      <c r="F381" s="20"/>
      <c r="G381" s="20"/>
      <c r="H381" s="20"/>
      <c r="I381" s="20"/>
      <c r="J381" s="20"/>
      <c r="K381" s="20"/>
      <c r="L381" s="20"/>
      <c r="M381" s="20"/>
      <c r="N381" s="20"/>
      <c r="O381" s="20"/>
      <c r="P381" s="20"/>
      <c r="Q381" s="20"/>
      <c r="R381" s="20"/>
    </row>
    <row r="382">
      <c r="A382" s="20"/>
      <c r="B382" s="20"/>
      <c r="C382" s="20"/>
      <c r="D382" s="20"/>
      <c r="E382" s="20"/>
      <c r="F382" s="20"/>
      <c r="G382" s="20"/>
      <c r="H382" s="20"/>
      <c r="I382" s="20"/>
      <c r="J382" s="20"/>
      <c r="K382" s="20"/>
      <c r="L382" s="20"/>
      <c r="M382" s="20"/>
      <c r="N382" s="20"/>
      <c r="O382" s="20"/>
      <c r="P382" s="20"/>
      <c r="Q382" s="20"/>
      <c r="R382" s="20"/>
    </row>
    <row r="383">
      <c r="A383" s="20"/>
      <c r="B383" s="20"/>
      <c r="C383" s="20"/>
      <c r="D383" s="20"/>
      <c r="E383" s="20"/>
      <c r="F383" s="20"/>
      <c r="G383" s="20"/>
      <c r="H383" s="20"/>
      <c r="I383" s="20"/>
      <c r="J383" s="20"/>
      <c r="K383" s="20"/>
      <c r="L383" s="20"/>
      <c r="M383" s="20"/>
      <c r="N383" s="20"/>
      <c r="O383" s="20"/>
      <c r="P383" s="20"/>
      <c r="Q383" s="20"/>
      <c r="R383" s="20"/>
    </row>
    <row r="384">
      <c r="A384" s="20"/>
      <c r="B384" s="20"/>
      <c r="C384" s="20"/>
      <c r="D384" s="20"/>
      <c r="E384" s="20"/>
      <c r="F384" s="20"/>
      <c r="G384" s="20"/>
      <c r="H384" s="20"/>
      <c r="I384" s="20"/>
      <c r="J384" s="20"/>
      <c r="K384" s="20"/>
      <c r="L384" s="20"/>
      <c r="M384" s="20"/>
      <c r="N384" s="20"/>
      <c r="O384" s="20"/>
      <c r="P384" s="20"/>
      <c r="Q384" s="20"/>
      <c r="R384" s="20"/>
    </row>
    <row r="385">
      <c r="A385" s="20"/>
      <c r="B385" s="20"/>
      <c r="C385" s="20"/>
      <c r="D385" s="20"/>
      <c r="E385" s="20"/>
      <c r="F385" s="20"/>
      <c r="G385" s="20"/>
      <c r="H385" s="20"/>
      <c r="I385" s="20"/>
      <c r="J385" s="20"/>
      <c r="K385" s="20"/>
      <c r="L385" s="20"/>
      <c r="M385" s="20"/>
      <c r="N385" s="20"/>
      <c r="O385" s="20"/>
      <c r="P385" s="20"/>
      <c r="Q385" s="20"/>
      <c r="R385" s="20"/>
    </row>
    <row r="386">
      <c r="A386" s="20"/>
      <c r="B386" s="20"/>
      <c r="C386" s="20"/>
      <c r="D386" s="20"/>
      <c r="E386" s="20"/>
      <c r="F386" s="20"/>
      <c r="G386" s="20"/>
      <c r="H386" s="20"/>
      <c r="I386" s="20"/>
      <c r="J386" s="20"/>
      <c r="K386" s="20"/>
      <c r="L386" s="20"/>
      <c r="M386" s="20"/>
      <c r="N386" s="20"/>
      <c r="O386" s="20"/>
      <c r="P386" s="20"/>
      <c r="Q386" s="20"/>
      <c r="R386" s="20"/>
    </row>
    <row r="387">
      <c r="A387" s="20"/>
      <c r="B387" s="20"/>
      <c r="C387" s="20"/>
      <c r="D387" s="20"/>
      <c r="E387" s="20"/>
      <c r="F387" s="20"/>
      <c r="G387" s="20"/>
      <c r="H387" s="20"/>
      <c r="I387" s="20"/>
      <c r="J387" s="20"/>
      <c r="K387" s="20"/>
      <c r="L387" s="20"/>
      <c r="M387" s="20"/>
      <c r="N387" s="20"/>
      <c r="O387" s="20"/>
      <c r="P387" s="20"/>
      <c r="Q387" s="20"/>
      <c r="R387" s="20"/>
    </row>
    <row r="388">
      <c r="A388" s="20"/>
      <c r="B388" s="20"/>
      <c r="C388" s="20"/>
      <c r="D388" s="20"/>
      <c r="E388" s="20"/>
      <c r="F388" s="20"/>
      <c r="G388" s="20"/>
      <c r="H388" s="20"/>
      <c r="I388" s="20"/>
      <c r="J388" s="20"/>
      <c r="K388" s="20"/>
      <c r="L388" s="20"/>
      <c r="M388" s="20"/>
      <c r="N388" s="20"/>
      <c r="O388" s="20"/>
      <c r="P388" s="20"/>
      <c r="Q388" s="20"/>
      <c r="R388" s="20"/>
    </row>
    <row r="389">
      <c r="A389" s="20"/>
      <c r="B389" s="20"/>
      <c r="C389" s="20"/>
      <c r="D389" s="20"/>
      <c r="E389" s="20"/>
      <c r="F389" s="20"/>
      <c r="G389" s="20"/>
      <c r="H389" s="20"/>
      <c r="I389" s="20"/>
      <c r="J389" s="20"/>
      <c r="K389" s="20"/>
      <c r="L389" s="20"/>
      <c r="M389" s="20"/>
      <c r="N389" s="20"/>
      <c r="O389" s="20"/>
      <c r="P389" s="20"/>
      <c r="Q389" s="20"/>
      <c r="R389" s="20"/>
    </row>
    <row r="390">
      <c r="A390" s="20"/>
      <c r="B390" s="20"/>
      <c r="C390" s="20"/>
      <c r="D390" s="20"/>
      <c r="E390" s="20"/>
      <c r="F390" s="20"/>
      <c r="G390" s="20"/>
      <c r="H390" s="20"/>
      <c r="I390" s="20"/>
      <c r="J390" s="20"/>
      <c r="K390" s="20"/>
      <c r="L390" s="20"/>
      <c r="M390" s="20"/>
      <c r="N390" s="20"/>
      <c r="O390" s="20"/>
      <c r="P390" s="20"/>
      <c r="Q390" s="20"/>
      <c r="R390" s="20"/>
    </row>
    <row r="391">
      <c r="A391" s="20"/>
      <c r="B391" s="20"/>
      <c r="C391" s="20"/>
      <c r="D391" s="20"/>
      <c r="E391" s="20"/>
      <c r="F391" s="20"/>
      <c r="G391" s="20"/>
      <c r="H391" s="20"/>
      <c r="I391" s="20"/>
      <c r="J391" s="20"/>
      <c r="K391" s="20"/>
      <c r="L391" s="20"/>
      <c r="M391" s="20"/>
      <c r="N391" s="20"/>
      <c r="O391" s="20"/>
      <c r="P391" s="20"/>
      <c r="Q391" s="20"/>
      <c r="R391" s="20"/>
    </row>
    <row r="392">
      <c r="A392" s="20"/>
      <c r="B392" s="20"/>
      <c r="C392" s="20"/>
      <c r="D392" s="20"/>
      <c r="E392" s="20"/>
      <c r="F392" s="20"/>
      <c r="G392" s="20"/>
      <c r="H392" s="20"/>
      <c r="I392" s="20"/>
      <c r="J392" s="20"/>
      <c r="K392" s="20"/>
      <c r="L392" s="20"/>
      <c r="M392" s="20"/>
      <c r="N392" s="20"/>
      <c r="O392" s="20"/>
      <c r="P392" s="20"/>
      <c r="Q392" s="20"/>
      <c r="R392" s="20"/>
    </row>
    <row r="393">
      <c r="A393" s="20"/>
      <c r="B393" s="20"/>
      <c r="C393" s="20"/>
      <c r="D393" s="20"/>
      <c r="E393" s="20"/>
      <c r="F393" s="20"/>
      <c r="G393" s="20"/>
      <c r="H393" s="20"/>
      <c r="I393" s="20"/>
      <c r="J393" s="20"/>
      <c r="K393" s="20"/>
      <c r="L393" s="20"/>
      <c r="M393" s="20"/>
      <c r="N393" s="20"/>
      <c r="O393" s="20"/>
      <c r="P393" s="20"/>
      <c r="Q393" s="20"/>
      <c r="R393" s="20"/>
    </row>
    <row r="394">
      <c r="A394" s="20"/>
      <c r="B394" s="20"/>
      <c r="C394" s="20"/>
      <c r="D394" s="20"/>
      <c r="E394" s="20"/>
      <c r="F394" s="20"/>
      <c r="G394" s="20"/>
      <c r="H394" s="20"/>
      <c r="I394" s="20"/>
      <c r="J394" s="20"/>
      <c r="K394" s="20"/>
      <c r="L394" s="20"/>
      <c r="M394" s="20"/>
      <c r="N394" s="20"/>
      <c r="O394" s="20"/>
      <c r="P394" s="20"/>
      <c r="Q394" s="20"/>
      <c r="R394" s="20"/>
    </row>
    <row r="395">
      <c r="A395" s="20"/>
      <c r="B395" s="20"/>
      <c r="C395" s="20"/>
      <c r="D395" s="20"/>
      <c r="E395" s="20"/>
      <c r="F395" s="20"/>
      <c r="G395" s="20"/>
      <c r="H395" s="20"/>
      <c r="I395" s="20"/>
      <c r="J395" s="20"/>
      <c r="K395" s="20"/>
      <c r="L395" s="20"/>
      <c r="M395" s="20"/>
      <c r="N395" s="20"/>
      <c r="O395" s="20"/>
      <c r="P395" s="20"/>
      <c r="Q395" s="20"/>
      <c r="R395" s="20"/>
    </row>
    <row r="396">
      <c r="A396" s="20"/>
      <c r="B396" s="20"/>
      <c r="C396" s="20"/>
      <c r="D396" s="20"/>
      <c r="E396" s="20"/>
      <c r="F396" s="20"/>
      <c r="G396" s="20"/>
      <c r="H396" s="20"/>
      <c r="I396" s="20"/>
      <c r="J396" s="20"/>
      <c r="K396" s="20"/>
      <c r="L396" s="20"/>
      <c r="M396" s="20"/>
      <c r="N396" s="20"/>
      <c r="O396" s="20"/>
      <c r="P396" s="20"/>
      <c r="Q396" s="20"/>
      <c r="R396" s="20"/>
    </row>
    <row r="397">
      <c r="A397" s="20"/>
      <c r="B397" s="20"/>
      <c r="C397" s="20"/>
      <c r="D397" s="20"/>
      <c r="E397" s="20"/>
      <c r="F397" s="20"/>
      <c r="G397" s="20"/>
      <c r="H397" s="20"/>
      <c r="I397" s="20"/>
      <c r="J397" s="20"/>
      <c r="K397" s="20"/>
      <c r="L397" s="20"/>
      <c r="M397" s="20"/>
      <c r="N397" s="20"/>
      <c r="O397" s="20"/>
      <c r="P397" s="20"/>
      <c r="Q397" s="20"/>
      <c r="R397" s="20"/>
    </row>
    <row r="398">
      <c r="A398" s="20"/>
      <c r="B398" s="20"/>
      <c r="C398" s="20"/>
      <c r="D398" s="20"/>
      <c r="E398" s="20"/>
      <c r="F398" s="20"/>
      <c r="G398" s="20"/>
      <c r="H398" s="20"/>
      <c r="I398" s="20"/>
      <c r="J398" s="20"/>
      <c r="K398" s="20"/>
      <c r="L398" s="20"/>
      <c r="M398" s="20"/>
      <c r="N398" s="20"/>
      <c r="O398" s="20"/>
      <c r="P398" s="20"/>
      <c r="Q398" s="20"/>
      <c r="R398" s="20"/>
    </row>
    <row r="399">
      <c r="A399" s="20"/>
      <c r="B399" s="20"/>
      <c r="C399" s="20"/>
      <c r="D399" s="20"/>
      <c r="E399" s="20"/>
      <c r="F399" s="20"/>
      <c r="G399" s="20"/>
      <c r="H399" s="20"/>
      <c r="I399" s="20"/>
      <c r="J399" s="20"/>
      <c r="K399" s="20"/>
      <c r="L399" s="20"/>
      <c r="M399" s="20"/>
      <c r="N399" s="20"/>
      <c r="O399" s="20"/>
      <c r="P399" s="20"/>
      <c r="Q399" s="20"/>
      <c r="R399" s="20"/>
    </row>
    <row r="400">
      <c r="A400" s="20"/>
      <c r="B400" s="20"/>
      <c r="C400" s="20"/>
      <c r="D400" s="20"/>
      <c r="E400" s="20"/>
      <c r="F400" s="20"/>
      <c r="G400" s="20"/>
      <c r="H400" s="20"/>
      <c r="I400" s="20"/>
      <c r="J400" s="20"/>
      <c r="K400" s="20"/>
      <c r="L400" s="20"/>
      <c r="M400" s="20"/>
      <c r="N400" s="20"/>
      <c r="O400" s="20"/>
      <c r="P400" s="20"/>
      <c r="Q400" s="20"/>
      <c r="R400" s="20"/>
    </row>
    <row r="401">
      <c r="A401" s="20"/>
      <c r="B401" s="20"/>
      <c r="C401" s="20"/>
      <c r="D401" s="20"/>
      <c r="E401" s="20"/>
      <c r="F401" s="20"/>
      <c r="G401" s="20"/>
      <c r="H401" s="20"/>
      <c r="I401" s="20"/>
      <c r="J401" s="20"/>
      <c r="K401" s="20"/>
      <c r="L401" s="20"/>
      <c r="M401" s="20"/>
      <c r="N401" s="20"/>
      <c r="O401" s="20"/>
      <c r="P401" s="20"/>
      <c r="Q401" s="20"/>
      <c r="R401" s="20"/>
    </row>
    <row r="402">
      <c r="A402" s="20"/>
      <c r="B402" s="20"/>
      <c r="C402" s="20"/>
      <c r="D402" s="20"/>
      <c r="E402" s="20"/>
      <c r="F402" s="20"/>
      <c r="G402" s="20"/>
      <c r="H402" s="20"/>
      <c r="I402" s="20"/>
      <c r="J402" s="20"/>
      <c r="K402" s="20"/>
      <c r="L402" s="20"/>
      <c r="M402" s="20"/>
      <c r="N402" s="20"/>
      <c r="O402" s="20"/>
      <c r="P402" s="20"/>
      <c r="Q402" s="20"/>
      <c r="R402" s="20"/>
    </row>
    <row r="403">
      <c r="A403" s="20"/>
      <c r="B403" s="20"/>
      <c r="C403" s="20"/>
      <c r="D403" s="20"/>
      <c r="E403" s="20"/>
      <c r="F403" s="20"/>
      <c r="G403" s="20"/>
      <c r="H403" s="20"/>
      <c r="I403" s="20"/>
      <c r="J403" s="20"/>
      <c r="K403" s="20"/>
      <c r="L403" s="20"/>
      <c r="M403" s="20"/>
      <c r="N403" s="20"/>
      <c r="O403" s="20"/>
      <c r="P403" s="20"/>
      <c r="Q403" s="20"/>
      <c r="R403" s="20"/>
    </row>
    <row r="404">
      <c r="A404" s="20"/>
      <c r="B404" s="20"/>
      <c r="C404" s="20"/>
      <c r="D404" s="20"/>
      <c r="E404" s="20"/>
      <c r="F404" s="20"/>
      <c r="G404" s="20"/>
      <c r="H404" s="20"/>
      <c r="I404" s="20"/>
      <c r="J404" s="20"/>
      <c r="K404" s="20"/>
      <c r="L404" s="20"/>
      <c r="M404" s="20"/>
      <c r="N404" s="20"/>
      <c r="O404" s="20"/>
      <c r="P404" s="20"/>
      <c r="Q404" s="20"/>
      <c r="R404" s="20"/>
    </row>
    <row r="405">
      <c r="A405" s="20"/>
      <c r="B405" s="20"/>
      <c r="C405" s="20"/>
      <c r="D405" s="20"/>
      <c r="E405" s="20"/>
      <c r="F405" s="20"/>
      <c r="G405" s="20"/>
      <c r="H405" s="20"/>
      <c r="I405" s="20"/>
      <c r="J405" s="20"/>
      <c r="K405" s="20"/>
      <c r="L405" s="20"/>
      <c r="M405" s="20"/>
      <c r="N405" s="20"/>
      <c r="O405" s="20"/>
      <c r="P405" s="20"/>
      <c r="Q405" s="20"/>
      <c r="R405" s="20"/>
    </row>
    <row r="406">
      <c r="A406" s="20"/>
      <c r="B406" s="20"/>
      <c r="C406" s="20"/>
      <c r="D406" s="20"/>
      <c r="E406" s="20"/>
      <c r="F406" s="20"/>
      <c r="G406" s="20"/>
      <c r="H406" s="20"/>
      <c r="I406" s="20"/>
      <c r="J406" s="20"/>
      <c r="K406" s="20"/>
      <c r="L406" s="20"/>
      <c r="M406" s="20"/>
      <c r="N406" s="20"/>
      <c r="O406" s="20"/>
      <c r="P406" s="20"/>
      <c r="Q406" s="20"/>
      <c r="R406" s="20"/>
    </row>
    <row r="407">
      <c r="A407" s="20"/>
      <c r="B407" s="20"/>
      <c r="C407" s="20"/>
      <c r="D407" s="20"/>
      <c r="E407" s="20"/>
      <c r="F407" s="20"/>
      <c r="G407" s="20"/>
      <c r="H407" s="20"/>
      <c r="I407" s="20"/>
      <c r="J407" s="20"/>
      <c r="K407" s="20"/>
      <c r="L407" s="20"/>
      <c r="M407" s="20"/>
      <c r="N407" s="20"/>
      <c r="O407" s="20"/>
      <c r="P407" s="20"/>
      <c r="Q407" s="20"/>
      <c r="R407" s="20"/>
    </row>
    <row r="408">
      <c r="A408" s="20"/>
      <c r="B408" s="20"/>
      <c r="C408" s="20"/>
      <c r="D408" s="20"/>
      <c r="E408" s="20"/>
      <c r="F408" s="20"/>
      <c r="G408" s="20"/>
      <c r="H408" s="20"/>
      <c r="I408" s="20"/>
      <c r="J408" s="20"/>
      <c r="K408" s="20"/>
      <c r="L408" s="20"/>
      <c r="M408" s="20"/>
      <c r="N408" s="20"/>
      <c r="O408" s="20"/>
      <c r="P408" s="20"/>
      <c r="Q408" s="20"/>
      <c r="R408" s="20"/>
    </row>
    <row r="409">
      <c r="A409" s="20"/>
      <c r="B409" s="20"/>
      <c r="C409" s="20"/>
      <c r="D409" s="20"/>
      <c r="E409" s="20"/>
      <c r="F409" s="20"/>
      <c r="G409" s="20"/>
      <c r="H409" s="20"/>
      <c r="I409" s="20"/>
      <c r="J409" s="20"/>
      <c r="K409" s="20"/>
      <c r="L409" s="20"/>
      <c r="M409" s="20"/>
      <c r="N409" s="20"/>
      <c r="O409" s="20"/>
      <c r="P409" s="20"/>
      <c r="Q409" s="20"/>
      <c r="R409" s="20"/>
    </row>
    <row r="410">
      <c r="A410" s="20"/>
      <c r="B410" s="20"/>
      <c r="C410" s="20"/>
      <c r="D410" s="20"/>
      <c r="E410" s="20"/>
      <c r="F410" s="20"/>
      <c r="G410" s="20"/>
      <c r="H410" s="20"/>
      <c r="I410" s="20"/>
      <c r="J410" s="20"/>
      <c r="K410" s="20"/>
      <c r="L410" s="20"/>
      <c r="M410" s="20"/>
      <c r="N410" s="20"/>
      <c r="O410" s="20"/>
      <c r="P410" s="20"/>
      <c r="Q410" s="20"/>
      <c r="R410" s="20"/>
    </row>
    <row r="411">
      <c r="A411" s="20"/>
      <c r="B411" s="20"/>
      <c r="C411" s="20"/>
      <c r="D411" s="20"/>
      <c r="E411" s="20"/>
      <c r="F411" s="20"/>
      <c r="G411" s="20"/>
      <c r="H411" s="20"/>
      <c r="I411" s="20"/>
      <c r="J411" s="20"/>
      <c r="K411" s="20"/>
      <c r="L411" s="20"/>
      <c r="M411" s="20"/>
      <c r="N411" s="20"/>
      <c r="O411" s="20"/>
      <c r="P411" s="20"/>
      <c r="Q411" s="20"/>
      <c r="R411" s="20"/>
    </row>
    <row r="412">
      <c r="A412" s="20"/>
      <c r="B412" s="20"/>
      <c r="C412" s="20"/>
      <c r="D412" s="20"/>
      <c r="E412" s="20"/>
      <c r="F412" s="20"/>
      <c r="G412" s="20"/>
      <c r="H412" s="20"/>
      <c r="I412" s="20"/>
      <c r="J412" s="20"/>
      <c r="K412" s="20"/>
      <c r="L412" s="20"/>
      <c r="M412" s="20"/>
      <c r="N412" s="20"/>
      <c r="O412" s="20"/>
      <c r="P412" s="20"/>
      <c r="Q412" s="20"/>
      <c r="R412" s="20"/>
    </row>
    <row r="413">
      <c r="A413" s="20"/>
      <c r="B413" s="20"/>
      <c r="C413" s="20"/>
      <c r="D413" s="20"/>
      <c r="E413" s="20"/>
      <c r="F413" s="20"/>
      <c r="G413" s="20"/>
      <c r="H413" s="20"/>
      <c r="I413" s="20"/>
      <c r="J413" s="20"/>
      <c r="K413" s="20"/>
      <c r="L413" s="20"/>
      <c r="M413" s="20"/>
      <c r="N413" s="20"/>
      <c r="O413" s="20"/>
      <c r="P413" s="20"/>
      <c r="Q413" s="20"/>
      <c r="R413" s="20"/>
    </row>
    <row r="414">
      <c r="A414" s="20"/>
      <c r="B414" s="20"/>
      <c r="C414" s="20"/>
      <c r="D414" s="20"/>
      <c r="E414" s="20"/>
      <c r="F414" s="20"/>
      <c r="G414" s="20"/>
      <c r="H414" s="20"/>
      <c r="I414" s="20"/>
      <c r="J414" s="20"/>
      <c r="K414" s="20"/>
      <c r="L414" s="20"/>
      <c r="M414" s="20"/>
      <c r="N414" s="20"/>
      <c r="O414" s="20"/>
      <c r="P414" s="20"/>
      <c r="Q414" s="20"/>
      <c r="R414" s="20"/>
    </row>
    <row r="415">
      <c r="A415" s="20"/>
      <c r="B415" s="20"/>
      <c r="C415" s="20"/>
      <c r="D415" s="20"/>
      <c r="E415" s="20"/>
      <c r="F415" s="20"/>
      <c r="G415" s="20"/>
      <c r="H415" s="20"/>
      <c r="I415" s="20"/>
      <c r="J415" s="20"/>
      <c r="K415" s="20"/>
      <c r="L415" s="20"/>
      <c r="M415" s="20"/>
      <c r="N415" s="20"/>
      <c r="O415" s="20"/>
      <c r="P415" s="20"/>
      <c r="Q415" s="20"/>
      <c r="R415" s="20"/>
    </row>
    <row r="416">
      <c r="A416" s="20"/>
      <c r="B416" s="20"/>
      <c r="C416" s="20"/>
      <c r="D416" s="20"/>
      <c r="E416" s="20"/>
      <c r="F416" s="20"/>
      <c r="G416" s="20"/>
      <c r="H416" s="20"/>
      <c r="I416" s="20"/>
      <c r="J416" s="20"/>
      <c r="K416" s="20"/>
      <c r="L416" s="20"/>
      <c r="M416" s="20"/>
      <c r="N416" s="20"/>
      <c r="O416" s="20"/>
      <c r="P416" s="20"/>
      <c r="Q416" s="20"/>
      <c r="R416" s="20"/>
    </row>
    <row r="417">
      <c r="A417" s="20"/>
      <c r="B417" s="20"/>
      <c r="C417" s="20"/>
      <c r="D417" s="20"/>
      <c r="E417" s="20"/>
      <c r="F417" s="20"/>
      <c r="G417" s="20"/>
      <c r="H417" s="20"/>
      <c r="I417" s="20"/>
      <c r="J417" s="20"/>
      <c r="K417" s="20"/>
      <c r="L417" s="20"/>
      <c r="M417" s="20"/>
      <c r="N417" s="20"/>
      <c r="O417" s="20"/>
      <c r="P417" s="20"/>
      <c r="Q417" s="20"/>
      <c r="R417" s="20"/>
    </row>
    <row r="418">
      <c r="A418" s="20"/>
      <c r="B418" s="20"/>
      <c r="C418" s="20"/>
      <c r="D418" s="20"/>
      <c r="E418" s="20"/>
      <c r="F418" s="20"/>
      <c r="G418" s="20"/>
      <c r="H418" s="20"/>
      <c r="I418" s="20"/>
      <c r="J418" s="20"/>
      <c r="K418" s="20"/>
      <c r="L418" s="20"/>
      <c r="M418" s="20"/>
      <c r="N418" s="20"/>
      <c r="O418" s="20"/>
      <c r="P418" s="20"/>
      <c r="Q418" s="20"/>
      <c r="R418" s="20"/>
    </row>
    <row r="419">
      <c r="A419" s="20"/>
      <c r="B419" s="20"/>
      <c r="C419" s="20"/>
      <c r="D419" s="20"/>
      <c r="E419" s="20"/>
      <c r="F419" s="20"/>
      <c r="G419" s="20"/>
      <c r="H419" s="20"/>
      <c r="I419" s="20"/>
      <c r="J419" s="20"/>
      <c r="K419" s="20"/>
      <c r="L419" s="20"/>
      <c r="M419" s="20"/>
      <c r="N419" s="20"/>
      <c r="O419" s="20"/>
      <c r="P419" s="20"/>
      <c r="Q419" s="20"/>
      <c r="R419" s="20"/>
    </row>
    <row r="420">
      <c r="A420" s="20"/>
      <c r="B420" s="20"/>
      <c r="C420" s="20"/>
      <c r="D420" s="20"/>
      <c r="E420" s="20"/>
      <c r="F420" s="20"/>
      <c r="G420" s="20"/>
      <c r="H420" s="20"/>
      <c r="I420" s="20"/>
      <c r="J420" s="20"/>
      <c r="K420" s="20"/>
      <c r="L420" s="20"/>
      <c r="M420" s="20"/>
      <c r="N420" s="20"/>
      <c r="O420" s="20"/>
      <c r="P420" s="20"/>
      <c r="Q420" s="20"/>
      <c r="R420" s="20"/>
    </row>
    <row r="421">
      <c r="A421" s="20"/>
      <c r="B421" s="20"/>
      <c r="C421" s="20"/>
      <c r="D421" s="20"/>
      <c r="E421" s="20"/>
      <c r="F421" s="20"/>
      <c r="G421" s="20"/>
      <c r="H421" s="20"/>
      <c r="I421" s="20"/>
      <c r="J421" s="20"/>
      <c r="K421" s="20"/>
      <c r="L421" s="20"/>
      <c r="M421" s="20"/>
      <c r="N421" s="20"/>
      <c r="O421" s="20"/>
      <c r="P421" s="20"/>
      <c r="Q421" s="20"/>
      <c r="R421" s="20"/>
    </row>
    <row r="422">
      <c r="A422" s="20"/>
      <c r="B422" s="20"/>
      <c r="C422" s="20"/>
      <c r="D422" s="20"/>
      <c r="E422" s="20"/>
      <c r="F422" s="20"/>
      <c r="G422" s="20"/>
      <c r="H422" s="20"/>
      <c r="I422" s="20"/>
      <c r="J422" s="20"/>
      <c r="K422" s="20"/>
      <c r="L422" s="20"/>
      <c r="M422" s="20"/>
      <c r="N422" s="20"/>
      <c r="O422" s="20"/>
      <c r="P422" s="20"/>
      <c r="Q422" s="20"/>
      <c r="R422" s="20"/>
    </row>
    <row r="423">
      <c r="A423" s="20"/>
      <c r="B423" s="20"/>
      <c r="C423" s="20"/>
      <c r="D423" s="20"/>
      <c r="E423" s="20"/>
      <c r="F423" s="20"/>
      <c r="G423" s="20"/>
      <c r="H423" s="20"/>
      <c r="I423" s="20"/>
      <c r="J423" s="20"/>
      <c r="K423" s="20"/>
      <c r="L423" s="20"/>
      <c r="M423" s="20"/>
      <c r="N423" s="20"/>
      <c r="O423" s="20"/>
      <c r="P423" s="20"/>
      <c r="Q423" s="20"/>
      <c r="R423" s="20"/>
    </row>
    <row r="424">
      <c r="A424" s="20"/>
      <c r="B424" s="20"/>
      <c r="C424" s="20"/>
      <c r="D424" s="20"/>
      <c r="E424" s="20"/>
      <c r="F424" s="20"/>
      <c r="G424" s="20"/>
      <c r="H424" s="20"/>
      <c r="I424" s="20"/>
      <c r="J424" s="20"/>
      <c r="K424" s="20"/>
      <c r="L424" s="20"/>
      <c r="M424" s="20"/>
      <c r="N424" s="20"/>
      <c r="O424" s="20"/>
      <c r="P424" s="20"/>
      <c r="Q424" s="20"/>
      <c r="R424" s="20"/>
    </row>
    <row r="425">
      <c r="A425" s="20"/>
      <c r="B425" s="20"/>
      <c r="C425" s="20"/>
      <c r="D425" s="20"/>
      <c r="E425" s="20"/>
      <c r="F425" s="20"/>
      <c r="G425" s="20"/>
      <c r="H425" s="20"/>
      <c r="I425" s="20"/>
      <c r="J425" s="20"/>
      <c r="K425" s="20"/>
      <c r="L425" s="20"/>
      <c r="M425" s="20"/>
      <c r="N425" s="20"/>
      <c r="O425" s="20"/>
      <c r="P425" s="20"/>
      <c r="Q425" s="20"/>
      <c r="R425" s="20"/>
    </row>
    <row r="426">
      <c r="A426" s="20"/>
      <c r="B426" s="20"/>
      <c r="C426" s="20"/>
      <c r="D426" s="20"/>
      <c r="E426" s="20"/>
      <c r="F426" s="20"/>
      <c r="G426" s="20"/>
      <c r="H426" s="20"/>
      <c r="I426" s="20"/>
      <c r="J426" s="20"/>
      <c r="K426" s="20"/>
      <c r="L426" s="20"/>
      <c r="M426" s="20"/>
      <c r="N426" s="20"/>
      <c r="O426" s="20"/>
      <c r="P426" s="20"/>
      <c r="Q426" s="20"/>
      <c r="R426" s="20"/>
    </row>
    <row r="427">
      <c r="A427" s="20"/>
      <c r="B427" s="20"/>
      <c r="C427" s="20"/>
      <c r="D427" s="20"/>
      <c r="E427" s="20"/>
      <c r="F427" s="20"/>
      <c r="G427" s="20"/>
      <c r="H427" s="20"/>
      <c r="I427" s="20"/>
      <c r="J427" s="20"/>
      <c r="K427" s="20"/>
      <c r="L427" s="20"/>
      <c r="M427" s="20"/>
      <c r="N427" s="20"/>
      <c r="O427" s="20"/>
      <c r="P427" s="20"/>
      <c r="Q427" s="20"/>
      <c r="R427" s="20"/>
    </row>
    <row r="428">
      <c r="A428" s="20"/>
      <c r="B428" s="20"/>
      <c r="C428" s="20"/>
      <c r="D428" s="20"/>
      <c r="E428" s="20"/>
      <c r="F428" s="20"/>
      <c r="G428" s="20"/>
      <c r="H428" s="20"/>
      <c r="I428" s="20"/>
      <c r="J428" s="20"/>
      <c r="K428" s="20"/>
      <c r="L428" s="20"/>
      <c r="M428" s="20"/>
      <c r="N428" s="20"/>
      <c r="O428" s="20"/>
      <c r="P428" s="20"/>
      <c r="Q428" s="20"/>
      <c r="R428" s="20"/>
    </row>
    <row r="429">
      <c r="A429" s="20"/>
      <c r="B429" s="20"/>
      <c r="C429" s="20"/>
      <c r="D429" s="20"/>
      <c r="E429" s="20"/>
      <c r="F429" s="20"/>
      <c r="G429" s="20"/>
      <c r="H429" s="20"/>
      <c r="I429" s="20"/>
      <c r="J429" s="20"/>
      <c r="K429" s="20"/>
      <c r="L429" s="20"/>
      <c r="M429" s="20"/>
      <c r="N429" s="20"/>
      <c r="O429" s="20"/>
      <c r="P429" s="20"/>
      <c r="Q429" s="20"/>
      <c r="R429" s="20"/>
    </row>
    <row r="430">
      <c r="A430" s="20"/>
      <c r="B430" s="20"/>
      <c r="C430" s="20"/>
      <c r="D430" s="20"/>
      <c r="E430" s="20"/>
      <c r="F430" s="20"/>
      <c r="G430" s="20"/>
      <c r="H430" s="20"/>
      <c r="I430" s="20"/>
      <c r="J430" s="20"/>
      <c r="K430" s="20"/>
      <c r="L430" s="20"/>
      <c r="M430" s="20"/>
      <c r="N430" s="20"/>
      <c r="O430" s="20"/>
      <c r="P430" s="20"/>
      <c r="Q430" s="20"/>
      <c r="R430" s="20"/>
    </row>
    <row r="431">
      <c r="A431" s="20"/>
      <c r="B431" s="20"/>
      <c r="C431" s="20"/>
      <c r="D431" s="20"/>
      <c r="E431" s="20"/>
      <c r="F431" s="20"/>
      <c r="G431" s="20"/>
      <c r="H431" s="20"/>
      <c r="I431" s="20"/>
      <c r="J431" s="20"/>
      <c r="K431" s="20"/>
      <c r="L431" s="20"/>
      <c r="M431" s="20"/>
      <c r="N431" s="20"/>
      <c r="O431" s="20"/>
      <c r="P431" s="20"/>
      <c r="Q431" s="20"/>
      <c r="R431" s="20"/>
    </row>
    <row r="432">
      <c r="A432" s="20"/>
      <c r="B432" s="20"/>
      <c r="C432" s="20"/>
      <c r="D432" s="20"/>
      <c r="E432" s="20"/>
      <c r="F432" s="20"/>
      <c r="G432" s="20"/>
      <c r="H432" s="20"/>
      <c r="I432" s="20"/>
      <c r="J432" s="20"/>
      <c r="K432" s="20"/>
      <c r="L432" s="20"/>
      <c r="M432" s="20"/>
      <c r="N432" s="20"/>
      <c r="O432" s="20"/>
      <c r="P432" s="20"/>
      <c r="Q432" s="20"/>
      <c r="R432" s="20"/>
    </row>
    <row r="433">
      <c r="A433" s="20"/>
      <c r="B433" s="20"/>
      <c r="C433" s="20"/>
      <c r="D433" s="20"/>
      <c r="E433" s="20"/>
      <c r="F433" s="20"/>
      <c r="G433" s="20"/>
      <c r="H433" s="20"/>
      <c r="I433" s="20"/>
      <c r="J433" s="20"/>
      <c r="K433" s="20"/>
      <c r="L433" s="20"/>
      <c r="M433" s="20"/>
      <c r="N433" s="20"/>
      <c r="O433" s="20"/>
      <c r="P433" s="20"/>
      <c r="Q433" s="20"/>
      <c r="R433" s="20"/>
    </row>
    <row r="434">
      <c r="A434" s="20"/>
      <c r="B434" s="20"/>
      <c r="C434" s="20"/>
      <c r="D434" s="20"/>
      <c r="E434" s="20"/>
      <c r="F434" s="20"/>
      <c r="G434" s="20"/>
      <c r="H434" s="20"/>
      <c r="I434" s="20"/>
      <c r="J434" s="20"/>
      <c r="K434" s="20"/>
      <c r="L434" s="20"/>
      <c r="M434" s="20"/>
      <c r="N434" s="20"/>
      <c r="O434" s="20"/>
      <c r="P434" s="20"/>
      <c r="Q434" s="20"/>
      <c r="R434" s="20"/>
    </row>
    <row r="435">
      <c r="A435" s="20"/>
      <c r="B435" s="20"/>
      <c r="C435" s="20"/>
      <c r="D435" s="20"/>
      <c r="E435" s="20"/>
      <c r="F435" s="20"/>
      <c r="G435" s="20"/>
      <c r="H435" s="20"/>
      <c r="I435" s="20"/>
      <c r="J435" s="20"/>
      <c r="K435" s="20"/>
      <c r="L435" s="20"/>
      <c r="M435" s="20"/>
      <c r="N435" s="20"/>
      <c r="O435" s="20"/>
      <c r="P435" s="20"/>
      <c r="Q435" s="20"/>
      <c r="R435" s="20"/>
    </row>
    <row r="436">
      <c r="A436" s="20"/>
      <c r="B436" s="20"/>
      <c r="C436" s="20"/>
      <c r="D436" s="20"/>
      <c r="E436" s="20"/>
      <c r="F436" s="20"/>
      <c r="G436" s="20"/>
      <c r="H436" s="20"/>
      <c r="I436" s="20"/>
      <c r="J436" s="20"/>
      <c r="K436" s="20"/>
      <c r="L436" s="20"/>
      <c r="M436" s="20"/>
      <c r="N436" s="20"/>
      <c r="O436" s="20"/>
      <c r="P436" s="20"/>
      <c r="Q436" s="20"/>
      <c r="R436" s="20"/>
    </row>
    <row r="437">
      <c r="A437" s="20"/>
      <c r="B437" s="20"/>
      <c r="C437" s="20"/>
      <c r="D437" s="20"/>
      <c r="E437" s="20"/>
      <c r="F437" s="20"/>
      <c r="G437" s="20"/>
      <c r="H437" s="20"/>
      <c r="I437" s="20"/>
      <c r="J437" s="20"/>
      <c r="K437" s="20"/>
      <c r="L437" s="20"/>
      <c r="M437" s="20"/>
      <c r="N437" s="20"/>
      <c r="O437" s="20"/>
      <c r="P437" s="20"/>
      <c r="Q437" s="20"/>
      <c r="R437" s="20"/>
    </row>
    <row r="438">
      <c r="A438" s="20"/>
      <c r="B438" s="20"/>
      <c r="C438" s="20"/>
      <c r="D438" s="20"/>
      <c r="E438" s="20"/>
      <c r="F438" s="20"/>
      <c r="G438" s="20"/>
      <c r="H438" s="20"/>
      <c r="I438" s="20"/>
      <c r="J438" s="20"/>
      <c r="K438" s="20"/>
      <c r="L438" s="20"/>
      <c r="M438" s="20"/>
      <c r="N438" s="20"/>
      <c r="O438" s="20"/>
      <c r="P438" s="20"/>
      <c r="Q438" s="20"/>
      <c r="R438" s="20"/>
    </row>
    <row r="439">
      <c r="A439" s="20"/>
      <c r="B439" s="20"/>
      <c r="C439" s="20"/>
      <c r="D439" s="20"/>
      <c r="E439" s="20"/>
      <c r="F439" s="20"/>
      <c r="G439" s="20"/>
      <c r="H439" s="20"/>
      <c r="I439" s="20"/>
      <c r="J439" s="20"/>
      <c r="K439" s="20"/>
      <c r="L439" s="20"/>
      <c r="M439" s="20"/>
      <c r="N439" s="20"/>
      <c r="O439" s="20"/>
      <c r="P439" s="20"/>
      <c r="Q439" s="20"/>
      <c r="R439" s="20"/>
    </row>
    <row r="440">
      <c r="A440" s="20"/>
      <c r="B440" s="20"/>
      <c r="C440" s="20"/>
      <c r="D440" s="20"/>
      <c r="E440" s="20"/>
      <c r="F440" s="20"/>
      <c r="G440" s="20"/>
      <c r="H440" s="20"/>
      <c r="I440" s="20"/>
      <c r="J440" s="20"/>
      <c r="K440" s="20"/>
      <c r="L440" s="20"/>
      <c r="M440" s="20"/>
      <c r="N440" s="20"/>
      <c r="O440" s="20"/>
      <c r="P440" s="20"/>
      <c r="Q440" s="20"/>
      <c r="R440" s="20"/>
    </row>
    <row r="441">
      <c r="A441" s="20"/>
      <c r="B441" s="20"/>
      <c r="C441" s="20"/>
      <c r="D441" s="20"/>
      <c r="E441" s="20"/>
      <c r="F441" s="20"/>
      <c r="G441" s="20"/>
      <c r="H441" s="20"/>
      <c r="I441" s="20"/>
      <c r="J441" s="20"/>
      <c r="K441" s="20"/>
      <c r="L441" s="20"/>
      <c r="M441" s="20"/>
      <c r="N441" s="20"/>
      <c r="O441" s="20"/>
      <c r="P441" s="20"/>
      <c r="Q441" s="20"/>
      <c r="R441" s="20"/>
    </row>
    <row r="442">
      <c r="A442" s="20"/>
      <c r="B442" s="20"/>
      <c r="C442" s="20"/>
      <c r="D442" s="20"/>
      <c r="E442" s="20"/>
      <c r="F442" s="20"/>
      <c r="G442" s="20"/>
      <c r="H442" s="20"/>
      <c r="I442" s="20"/>
      <c r="J442" s="20"/>
      <c r="K442" s="20"/>
      <c r="L442" s="20"/>
      <c r="M442" s="20"/>
      <c r="N442" s="20"/>
      <c r="O442" s="20"/>
      <c r="P442" s="20"/>
      <c r="Q442" s="20"/>
      <c r="R442" s="20"/>
    </row>
    <row r="443">
      <c r="A443" s="20"/>
      <c r="B443" s="20"/>
      <c r="C443" s="20"/>
      <c r="D443" s="20"/>
      <c r="E443" s="20"/>
      <c r="F443" s="20"/>
      <c r="G443" s="20"/>
      <c r="H443" s="20"/>
      <c r="I443" s="20"/>
      <c r="J443" s="20"/>
      <c r="K443" s="20"/>
      <c r="L443" s="20"/>
      <c r="M443" s="20"/>
      <c r="N443" s="20"/>
      <c r="O443" s="20"/>
      <c r="P443" s="20"/>
      <c r="Q443" s="20"/>
      <c r="R443" s="20"/>
    </row>
    <row r="444">
      <c r="A444" s="20"/>
      <c r="B444" s="20"/>
      <c r="C444" s="20"/>
      <c r="D444" s="20"/>
      <c r="E444" s="20"/>
      <c r="F444" s="20"/>
      <c r="G444" s="20"/>
      <c r="H444" s="20"/>
      <c r="I444" s="20"/>
      <c r="J444" s="20"/>
      <c r="K444" s="20"/>
      <c r="L444" s="20"/>
      <c r="M444" s="20"/>
      <c r="N444" s="20"/>
      <c r="O444" s="20"/>
      <c r="P444" s="20"/>
      <c r="Q444" s="20"/>
      <c r="R444" s="20"/>
    </row>
    <row r="445">
      <c r="A445" s="20"/>
      <c r="B445" s="20"/>
      <c r="C445" s="20"/>
      <c r="D445" s="20"/>
      <c r="E445" s="20"/>
      <c r="F445" s="20"/>
      <c r="G445" s="20"/>
      <c r="H445" s="20"/>
      <c r="I445" s="20"/>
      <c r="J445" s="20"/>
      <c r="K445" s="20"/>
      <c r="L445" s="20"/>
      <c r="M445" s="20"/>
      <c r="N445" s="20"/>
      <c r="O445" s="20"/>
      <c r="P445" s="20"/>
      <c r="Q445" s="20"/>
      <c r="R445" s="20"/>
    </row>
    <row r="446">
      <c r="A446" s="20"/>
      <c r="B446" s="20"/>
      <c r="C446" s="20"/>
      <c r="D446" s="20"/>
      <c r="E446" s="20"/>
      <c r="F446" s="20"/>
      <c r="G446" s="20"/>
      <c r="H446" s="20"/>
      <c r="I446" s="20"/>
      <c r="J446" s="20"/>
      <c r="K446" s="20"/>
      <c r="L446" s="20"/>
      <c r="M446" s="20"/>
      <c r="N446" s="20"/>
      <c r="O446" s="20"/>
      <c r="P446" s="20"/>
      <c r="Q446" s="20"/>
      <c r="R446" s="20"/>
    </row>
    <row r="447">
      <c r="A447" s="20"/>
      <c r="B447" s="20"/>
      <c r="C447" s="20"/>
      <c r="D447" s="20"/>
      <c r="E447" s="20"/>
      <c r="F447" s="20"/>
      <c r="G447" s="20"/>
      <c r="H447" s="20"/>
      <c r="I447" s="20"/>
      <c r="J447" s="20"/>
      <c r="K447" s="20"/>
      <c r="L447" s="20"/>
      <c r="M447" s="20"/>
      <c r="N447" s="20"/>
      <c r="O447" s="20"/>
      <c r="P447" s="20"/>
      <c r="Q447" s="20"/>
      <c r="R447" s="20"/>
    </row>
    <row r="448">
      <c r="A448" s="20"/>
      <c r="B448" s="20"/>
      <c r="C448" s="20"/>
      <c r="D448" s="20"/>
      <c r="E448" s="20"/>
      <c r="F448" s="20"/>
      <c r="G448" s="20"/>
      <c r="H448" s="20"/>
      <c r="I448" s="20"/>
      <c r="J448" s="20"/>
      <c r="K448" s="20"/>
      <c r="L448" s="20"/>
      <c r="M448" s="20"/>
      <c r="N448" s="20"/>
      <c r="O448" s="20"/>
      <c r="P448" s="20"/>
      <c r="Q448" s="20"/>
      <c r="R448" s="20"/>
    </row>
    <row r="449">
      <c r="A449" s="20"/>
      <c r="B449" s="20"/>
      <c r="C449" s="20"/>
      <c r="D449" s="20"/>
      <c r="E449" s="20"/>
      <c r="F449" s="20"/>
      <c r="G449" s="20"/>
      <c r="H449" s="20"/>
      <c r="I449" s="20"/>
      <c r="J449" s="20"/>
      <c r="K449" s="20"/>
      <c r="L449" s="20"/>
      <c r="M449" s="20"/>
      <c r="N449" s="20"/>
      <c r="O449" s="20"/>
      <c r="P449" s="20"/>
      <c r="Q449" s="20"/>
      <c r="R449" s="20"/>
    </row>
    <row r="450">
      <c r="A450" s="20"/>
      <c r="B450" s="20"/>
      <c r="C450" s="20"/>
      <c r="D450" s="20"/>
      <c r="E450" s="20"/>
      <c r="F450" s="20"/>
      <c r="G450" s="20"/>
      <c r="H450" s="20"/>
      <c r="I450" s="20"/>
      <c r="J450" s="20"/>
      <c r="K450" s="20"/>
      <c r="L450" s="20"/>
      <c r="M450" s="20"/>
      <c r="N450" s="20"/>
      <c r="O450" s="20"/>
      <c r="P450" s="20"/>
      <c r="Q450" s="20"/>
      <c r="R450" s="20"/>
    </row>
    <row r="451">
      <c r="A451" s="20"/>
      <c r="B451" s="20"/>
      <c r="C451" s="20"/>
      <c r="D451" s="20"/>
      <c r="E451" s="20"/>
      <c r="F451" s="20"/>
      <c r="G451" s="20"/>
      <c r="H451" s="20"/>
      <c r="I451" s="20"/>
      <c r="J451" s="20"/>
      <c r="K451" s="20"/>
      <c r="L451" s="20"/>
      <c r="M451" s="20"/>
      <c r="N451" s="20"/>
      <c r="O451" s="20"/>
      <c r="P451" s="20"/>
      <c r="Q451" s="20"/>
      <c r="R451" s="20"/>
    </row>
    <row r="452">
      <c r="A452" s="20"/>
      <c r="B452" s="20"/>
      <c r="C452" s="20"/>
      <c r="D452" s="20"/>
      <c r="E452" s="20"/>
      <c r="F452" s="20"/>
      <c r="G452" s="20"/>
      <c r="H452" s="20"/>
      <c r="I452" s="20"/>
      <c r="J452" s="20"/>
      <c r="K452" s="20"/>
      <c r="L452" s="20"/>
      <c r="M452" s="20"/>
      <c r="N452" s="20"/>
      <c r="O452" s="20"/>
      <c r="P452" s="20"/>
      <c r="Q452" s="20"/>
      <c r="R452" s="20"/>
    </row>
    <row r="453">
      <c r="A453" s="20"/>
      <c r="B453" s="20"/>
      <c r="C453" s="20"/>
      <c r="D453" s="20"/>
      <c r="E453" s="20"/>
      <c r="F453" s="20"/>
      <c r="G453" s="20"/>
      <c r="H453" s="20"/>
      <c r="I453" s="20"/>
      <c r="J453" s="20"/>
      <c r="K453" s="20"/>
      <c r="L453" s="20"/>
      <c r="M453" s="20"/>
      <c r="N453" s="20"/>
      <c r="O453" s="20"/>
      <c r="P453" s="20"/>
      <c r="Q453" s="20"/>
      <c r="R453" s="20"/>
    </row>
    <row r="454">
      <c r="A454" s="20"/>
      <c r="B454" s="20"/>
      <c r="C454" s="20"/>
      <c r="D454" s="20"/>
      <c r="E454" s="20"/>
      <c r="F454" s="20"/>
      <c r="G454" s="20"/>
      <c r="H454" s="20"/>
      <c r="I454" s="20"/>
      <c r="J454" s="20"/>
      <c r="K454" s="20"/>
      <c r="L454" s="20"/>
      <c r="M454" s="20"/>
      <c r="N454" s="20"/>
      <c r="O454" s="20"/>
      <c r="P454" s="20"/>
      <c r="Q454" s="20"/>
      <c r="R454" s="20"/>
    </row>
    <row r="455">
      <c r="A455" s="20"/>
      <c r="B455" s="20"/>
      <c r="C455" s="20"/>
      <c r="D455" s="20"/>
      <c r="E455" s="20"/>
      <c r="F455" s="20"/>
      <c r="G455" s="20"/>
      <c r="H455" s="20"/>
      <c r="I455" s="20"/>
      <c r="J455" s="20"/>
      <c r="K455" s="20"/>
      <c r="L455" s="20"/>
      <c r="M455" s="20"/>
      <c r="N455" s="20"/>
      <c r="O455" s="20"/>
      <c r="P455" s="20"/>
      <c r="Q455" s="20"/>
      <c r="R455" s="20"/>
    </row>
    <row r="456">
      <c r="A456" s="20"/>
      <c r="B456" s="20"/>
      <c r="C456" s="20"/>
      <c r="D456" s="20"/>
      <c r="E456" s="20"/>
      <c r="F456" s="20"/>
      <c r="G456" s="20"/>
      <c r="H456" s="20"/>
      <c r="I456" s="20"/>
      <c r="J456" s="20"/>
      <c r="K456" s="20"/>
      <c r="L456" s="20"/>
      <c r="M456" s="20"/>
      <c r="N456" s="20"/>
      <c r="O456" s="20"/>
      <c r="P456" s="20"/>
      <c r="Q456" s="20"/>
      <c r="R456" s="20"/>
    </row>
    <row r="457">
      <c r="A457" s="20"/>
      <c r="B457" s="20"/>
      <c r="C457" s="20"/>
      <c r="D457" s="20"/>
      <c r="E457" s="20"/>
      <c r="F457" s="20"/>
      <c r="G457" s="20"/>
      <c r="H457" s="20"/>
      <c r="I457" s="20"/>
      <c r="J457" s="20"/>
      <c r="K457" s="20"/>
      <c r="L457" s="20"/>
      <c r="M457" s="20"/>
      <c r="N457" s="20"/>
      <c r="O457" s="20"/>
      <c r="P457" s="20"/>
      <c r="Q457" s="20"/>
      <c r="R457" s="20"/>
    </row>
    <row r="458">
      <c r="A458" s="20"/>
      <c r="B458" s="20"/>
      <c r="C458" s="20"/>
      <c r="D458" s="20"/>
      <c r="E458" s="20"/>
      <c r="F458" s="20"/>
      <c r="G458" s="20"/>
      <c r="H458" s="20"/>
      <c r="I458" s="20"/>
      <c r="J458" s="20"/>
      <c r="K458" s="20"/>
      <c r="L458" s="20"/>
      <c r="M458" s="20"/>
      <c r="N458" s="20"/>
      <c r="O458" s="20"/>
      <c r="P458" s="20"/>
      <c r="Q458" s="20"/>
      <c r="R458" s="20"/>
    </row>
    <row r="459">
      <c r="A459" s="20"/>
      <c r="B459" s="20"/>
      <c r="C459" s="20"/>
      <c r="D459" s="20"/>
      <c r="E459" s="20"/>
      <c r="F459" s="20"/>
      <c r="G459" s="20"/>
      <c r="H459" s="20"/>
      <c r="I459" s="20"/>
      <c r="J459" s="20"/>
      <c r="K459" s="20"/>
      <c r="L459" s="20"/>
      <c r="M459" s="20"/>
      <c r="N459" s="20"/>
      <c r="O459" s="20"/>
      <c r="P459" s="20"/>
      <c r="Q459" s="20"/>
      <c r="R459" s="20"/>
    </row>
    <row r="460">
      <c r="A460" s="20"/>
      <c r="B460" s="20"/>
      <c r="C460" s="20"/>
      <c r="D460" s="20"/>
      <c r="E460" s="20"/>
      <c r="F460" s="20"/>
      <c r="G460" s="20"/>
      <c r="H460" s="20"/>
      <c r="I460" s="20"/>
      <c r="J460" s="20"/>
      <c r="K460" s="20"/>
      <c r="L460" s="20"/>
      <c r="M460" s="20"/>
      <c r="N460" s="20"/>
      <c r="O460" s="20"/>
      <c r="P460" s="20"/>
      <c r="Q460" s="20"/>
      <c r="R460" s="20"/>
    </row>
    <row r="461">
      <c r="A461" s="20"/>
      <c r="B461" s="20"/>
      <c r="C461" s="20"/>
      <c r="D461" s="20"/>
      <c r="E461" s="20"/>
      <c r="F461" s="20"/>
      <c r="G461" s="20"/>
      <c r="H461" s="20"/>
      <c r="I461" s="20"/>
      <c r="J461" s="20"/>
      <c r="K461" s="20"/>
      <c r="L461" s="20"/>
      <c r="M461" s="20"/>
      <c r="N461" s="20"/>
      <c r="O461" s="20"/>
      <c r="P461" s="20"/>
      <c r="Q461" s="20"/>
      <c r="R461" s="20"/>
    </row>
    <row r="462">
      <c r="A462" s="20"/>
      <c r="B462" s="20"/>
      <c r="C462" s="20"/>
      <c r="D462" s="20"/>
      <c r="E462" s="20"/>
      <c r="F462" s="20"/>
      <c r="G462" s="20"/>
      <c r="H462" s="20"/>
      <c r="I462" s="20"/>
      <c r="J462" s="20"/>
      <c r="K462" s="20"/>
      <c r="L462" s="20"/>
      <c r="M462" s="20"/>
      <c r="N462" s="20"/>
      <c r="O462" s="20"/>
      <c r="P462" s="20"/>
      <c r="Q462" s="20"/>
      <c r="R462" s="20"/>
    </row>
    <row r="463">
      <c r="A463" s="20"/>
      <c r="B463" s="20"/>
      <c r="C463" s="20"/>
      <c r="D463" s="20"/>
      <c r="E463" s="20"/>
      <c r="F463" s="20"/>
      <c r="G463" s="20"/>
      <c r="H463" s="20"/>
      <c r="I463" s="20"/>
      <c r="J463" s="20"/>
      <c r="K463" s="20"/>
      <c r="L463" s="20"/>
      <c r="M463" s="20"/>
      <c r="N463" s="20"/>
      <c r="O463" s="20"/>
      <c r="P463" s="20"/>
      <c r="Q463" s="20"/>
      <c r="R463" s="20"/>
    </row>
    <row r="464">
      <c r="A464" s="20"/>
      <c r="B464" s="20"/>
      <c r="C464" s="20"/>
      <c r="D464" s="20"/>
      <c r="E464" s="20"/>
      <c r="F464" s="20"/>
      <c r="G464" s="20"/>
      <c r="H464" s="20"/>
      <c r="I464" s="20"/>
      <c r="J464" s="20"/>
      <c r="K464" s="20"/>
      <c r="L464" s="20"/>
      <c r="M464" s="20"/>
      <c r="N464" s="20"/>
      <c r="O464" s="20"/>
      <c r="P464" s="20"/>
      <c r="Q464" s="20"/>
      <c r="R464" s="20"/>
    </row>
    <row r="465">
      <c r="A465" s="20"/>
      <c r="B465" s="20"/>
      <c r="C465" s="20"/>
      <c r="D465" s="20"/>
      <c r="E465" s="20"/>
      <c r="F465" s="20"/>
      <c r="G465" s="20"/>
      <c r="H465" s="20"/>
      <c r="I465" s="20"/>
      <c r="J465" s="20"/>
      <c r="K465" s="20"/>
      <c r="L465" s="20"/>
      <c r="M465" s="20"/>
      <c r="N465" s="20"/>
      <c r="O465" s="20"/>
      <c r="P465" s="20"/>
      <c r="Q465" s="20"/>
      <c r="R465" s="20"/>
    </row>
    <row r="466">
      <c r="A466" s="20"/>
      <c r="B466" s="20"/>
      <c r="C466" s="20"/>
      <c r="D466" s="20"/>
      <c r="E466" s="20"/>
      <c r="F466" s="20"/>
      <c r="G466" s="20"/>
      <c r="H466" s="20"/>
      <c r="I466" s="20"/>
      <c r="J466" s="20"/>
      <c r="K466" s="20"/>
      <c r="L466" s="20"/>
      <c r="M466" s="20"/>
      <c r="N466" s="20"/>
      <c r="O466" s="20"/>
      <c r="P466" s="20"/>
      <c r="Q466" s="20"/>
      <c r="R466" s="20"/>
    </row>
    <row r="467">
      <c r="A467" s="20"/>
      <c r="B467" s="20"/>
      <c r="C467" s="20"/>
      <c r="D467" s="20"/>
      <c r="E467" s="20"/>
      <c r="F467" s="20"/>
      <c r="G467" s="20"/>
      <c r="H467" s="20"/>
      <c r="I467" s="20"/>
      <c r="J467" s="20"/>
      <c r="K467" s="20"/>
      <c r="L467" s="20"/>
      <c r="M467" s="20"/>
      <c r="N467" s="20"/>
      <c r="O467" s="20"/>
      <c r="P467" s="20"/>
      <c r="Q467" s="20"/>
      <c r="R467" s="20"/>
    </row>
    <row r="468">
      <c r="A468" s="20"/>
      <c r="B468" s="20"/>
      <c r="C468" s="20"/>
      <c r="D468" s="20"/>
      <c r="E468" s="20"/>
      <c r="F468" s="20"/>
      <c r="G468" s="20"/>
      <c r="H468" s="20"/>
      <c r="I468" s="20"/>
      <c r="J468" s="20"/>
      <c r="K468" s="20"/>
      <c r="L468" s="20"/>
      <c r="M468" s="20"/>
      <c r="N468" s="20"/>
      <c r="O468" s="20"/>
      <c r="P468" s="20"/>
      <c r="Q468" s="20"/>
      <c r="R468" s="20"/>
    </row>
    <row r="469">
      <c r="A469" s="20"/>
      <c r="B469" s="20"/>
      <c r="C469" s="20"/>
      <c r="D469" s="20"/>
      <c r="E469" s="20"/>
      <c r="F469" s="20"/>
      <c r="G469" s="20"/>
      <c r="H469" s="20"/>
      <c r="I469" s="20"/>
      <c r="J469" s="20"/>
      <c r="K469" s="20"/>
      <c r="L469" s="20"/>
      <c r="M469" s="20"/>
      <c r="N469" s="20"/>
      <c r="O469" s="20"/>
      <c r="P469" s="20"/>
      <c r="Q469" s="20"/>
      <c r="R469" s="20"/>
    </row>
    <row r="470">
      <c r="A470" s="20"/>
      <c r="B470" s="20"/>
      <c r="C470" s="20"/>
      <c r="D470" s="20"/>
      <c r="E470" s="20"/>
      <c r="F470" s="20"/>
      <c r="G470" s="20"/>
      <c r="H470" s="20"/>
      <c r="I470" s="20"/>
      <c r="J470" s="20"/>
      <c r="K470" s="20"/>
      <c r="L470" s="20"/>
      <c r="M470" s="20"/>
      <c r="N470" s="20"/>
      <c r="O470" s="20"/>
      <c r="P470" s="20"/>
      <c r="Q470" s="20"/>
      <c r="R470" s="20"/>
    </row>
    <row r="471">
      <c r="A471" s="20"/>
      <c r="B471" s="20"/>
      <c r="C471" s="20"/>
      <c r="D471" s="20"/>
      <c r="E471" s="20"/>
      <c r="F471" s="20"/>
      <c r="G471" s="20"/>
      <c r="H471" s="20"/>
      <c r="I471" s="20"/>
      <c r="J471" s="20"/>
      <c r="K471" s="20"/>
      <c r="L471" s="20"/>
      <c r="M471" s="20"/>
      <c r="N471" s="20"/>
      <c r="O471" s="20"/>
      <c r="P471" s="20"/>
      <c r="Q471" s="20"/>
      <c r="R471" s="20"/>
    </row>
    <row r="472">
      <c r="A472" s="20"/>
      <c r="B472" s="20"/>
      <c r="C472" s="20"/>
      <c r="D472" s="20"/>
      <c r="E472" s="20"/>
      <c r="F472" s="20"/>
      <c r="G472" s="20"/>
      <c r="H472" s="20"/>
      <c r="I472" s="20"/>
      <c r="J472" s="20"/>
      <c r="K472" s="20"/>
      <c r="L472" s="20"/>
      <c r="M472" s="20"/>
      <c r="N472" s="20"/>
      <c r="O472" s="20"/>
      <c r="P472" s="20"/>
      <c r="Q472" s="20"/>
      <c r="R472" s="20"/>
    </row>
    <row r="473">
      <c r="A473" s="20"/>
      <c r="B473" s="20"/>
      <c r="C473" s="20"/>
      <c r="D473" s="20"/>
      <c r="E473" s="20"/>
      <c r="F473" s="20"/>
      <c r="G473" s="20"/>
      <c r="H473" s="20"/>
      <c r="I473" s="20"/>
      <c r="J473" s="20"/>
      <c r="K473" s="20"/>
      <c r="L473" s="20"/>
      <c r="M473" s="20"/>
      <c r="N473" s="20"/>
      <c r="O473" s="20"/>
      <c r="P473" s="20"/>
      <c r="Q473" s="20"/>
      <c r="R473" s="20"/>
    </row>
    <row r="474">
      <c r="A474" s="20"/>
      <c r="B474" s="20"/>
      <c r="C474" s="20"/>
      <c r="D474" s="20"/>
      <c r="E474" s="20"/>
      <c r="F474" s="20"/>
      <c r="G474" s="20"/>
      <c r="H474" s="20"/>
      <c r="I474" s="20"/>
      <c r="J474" s="20"/>
      <c r="K474" s="20"/>
      <c r="L474" s="20"/>
      <c r="M474" s="20"/>
      <c r="N474" s="20"/>
      <c r="O474" s="20"/>
      <c r="P474" s="20"/>
      <c r="Q474" s="20"/>
      <c r="R474" s="20"/>
    </row>
    <row r="475">
      <c r="A475" s="20"/>
      <c r="B475" s="20"/>
      <c r="C475" s="20"/>
      <c r="D475" s="20"/>
      <c r="E475" s="20"/>
      <c r="F475" s="20"/>
      <c r="G475" s="20"/>
      <c r="H475" s="20"/>
      <c r="I475" s="20"/>
      <c r="J475" s="20"/>
      <c r="K475" s="20"/>
      <c r="L475" s="20"/>
      <c r="M475" s="20"/>
      <c r="N475" s="20"/>
      <c r="O475" s="20"/>
      <c r="P475" s="20"/>
      <c r="Q475" s="20"/>
      <c r="R475" s="20"/>
    </row>
    <row r="476">
      <c r="A476" s="20"/>
      <c r="B476" s="20"/>
      <c r="C476" s="20"/>
      <c r="D476" s="20"/>
      <c r="E476" s="20"/>
      <c r="F476" s="20"/>
      <c r="G476" s="20"/>
      <c r="H476" s="20"/>
      <c r="I476" s="20"/>
      <c r="J476" s="20"/>
      <c r="K476" s="20"/>
      <c r="L476" s="20"/>
      <c r="M476" s="20"/>
      <c r="N476" s="20"/>
      <c r="O476" s="20"/>
      <c r="P476" s="20"/>
      <c r="Q476" s="20"/>
      <c r="R476" s="20"/>
    </row>
    <row r="477">
      <c r="A477" s="20"/>
      <c r="B477" s="20"/>
      <c r="C477" s="20"/>
      <c r="D477" s="20"/>
      <c r="E477" s="20"/>
      <c r="F477" s="20"/>
      <c r="G477" s="20"/>
      <c r="H477" s="20"/>
      <c r="I477" s="20"/>
      <c r="J477" s="20"/>
      <c r="K477" s="20"/>
      <c r="L477" s="20"/>
      <c r="M477" s="20"/>
      <c r="N477" s="20"/>
      <c r="O477" s="20"/>
      <c r="P477" s="20"/>
      <c r="Q477" s="20"/>
      <c r="R477" s="20"/>
    </row>
    <row r="478">
      <c r="A478" s="20"/>
      <c r="B478" s="20"/>
      <c r="C478" s="20"/>
      <c r="D478" s="20"/>
      <c r="E478" s="20"/>
      <c r="F478" s="20"/>
      <c r="G478" s="20"/>
      <c r="H478" s="20"/>
      <c r="I478" s="20"/>
      <c r="J478" s="20"/>
      <c r="K478" s="20"/>
      <c r="L478" s="20"/>
      <c r="M478" s="20"/>
      <c r="N478" s="20"/>
      <c r="O478" s="20"/>
      <c r="P478" s="20"/>
      <c r="Q478" s="20"/>
      <c r="R478" s="20"/>
    </row>
    <row r="479">
      <c r="A479" s="20"/>
      <c r="B479" s="20"/>
      <c r="C479" s="20"/>
      <c r="D479" s="20"/>
      <c r="E479" s="20"/>
      <c r="F479" s="20"/>
      <c r="G479" s="20"/>
      <c r="H479" s="20"/>
      <c r="I479" s="20"/>
      <c r="J479" s="20"/>
      <c r="K479" s="20"/>
      <c r="L479" s="20"/>
      <c r="M479" s="20"/>
      <c r="N479" s="20"/>
      <c r="O479" s="20"/>
      <c r="P479" s="20"/>
      <c r="Q479" s="20"/>
      <c r="R479" s="20"/>
    </row>
    <row r="480">
      <c r="A480" s="20"/>
      <c r="B480" s="20"/>
      <c r="C480" s="20"/>
      <c r="D480" s="20"/>
      <c r="E480" s="20"/>
      <c r="F480" s="20"/>
      <c r="G480" s="20"/>
      <c r="H480" s="20"/>
      <c r="I480" s="20"/>
      <c r="J480" s="20"/>
      <c r="K480" s="20"/>
      <c r="L480" s="20"/>
      <c r="M480" s="20"/>
      <c r="N480" s="20"/>
      <c r="O480" s="20"/>
      <c r="P480" s="20"/>
      <c r="Q480" s="20"/>
      <c r="R480" s="20"/>
    </row>
    <row r="481">
      <c r="A481" s="20"/>
      <c r="B481" s="20"/>
      <c r="C481" s="20"/>
      <c r="D481" s="20"/>
      <c r="E481" s="20"/>
      <c r="F481" s="20"/>
      <c r="G481" s="20"/>
      <c r="H481" s="20"/>
      <c r="I481" s="20"/>
      <c r="J481" s="20"/>
      <c r="K481" s="20"/>
      <c r="L481" s="20"/>
      <c r="M481" s="20"/>
      <c r="N481" s="20"/>
      <c r="O481" s="20"/>
      <c r="P481" s="20"/>
      <c r="Q481" s="20"/>
      <c r="R481" s="20"/>
    </row>
    <row r="482">
      <c r="A482" s="20"/>
      <c r="B482" s="20"/>
      <c r="C482" s="20"/>
      <c r="D482" s="20"/>
      <c r="E482" s="20"/>
      <c r="F482" s="20"/>
      <c r="G482" s="20"/>
      <c r="H482" s="20"/>
      <c r="I482" s="20"/>
      <c r="J482" s="20"/>
      <c r="K482" s="20"/>
      <c r="L482" s="20"/>
      <c r="M482" s="20"/>
      <c r="N482" s="20"/>
      <c r="O482" s="20"/>
      <c r="P482" s="20"/>
      <c r="Q482" s="20"/>
      <c r="R482" s="20"/>
    </row>
    <row r="483">
      <c r="A483" s="20"/>
      <c r="B483" s="20"/>
      <c r="C483" s="20"/>
      <c r="D483" s="20"/>
      <c r="E483" s="20"/>
      <c r="F483" s="20"/>
      <c r="G483" s="20"/>
      <c r="H483" s="20"/>
      <c r="I483" s="20"/>
      <c r="J483" s="20"/>
      <c r="K483" s="20"/>
      <c r="L483" s="20"/>
      <c r="M483" s="20"/>
      <c r="N483" s="20"/>
      <c r="O483" s="20"/>
      <c r="P483" s="20"/>
      <c r="Q483" s="20"/>
      <c r="R483" s="20"/>
    </row>
    <row r="484">
      <c r="A484" s="20"/>
      <c r="B484" s="20"/>
      <c r="C484" s="20"/>
      <c r="D484" s="20"/>
      <c r="E484" s="20"/>
      <c r="F484" s="20"/>
      <c r="G484" s="20"/>
      <c r="H484" s="20"/>
      <c r="I484" s="20"/>
      <c r="J484" s="20"/>
      <c r="K484" s="20"/>
      <c r="L484" s="20"/>
      <c r="M484" s="20"/>
      <c r="N484" s="20"/>
      <c r="O484" s="20"/>
      <c r="P484" s="20"/>
      <c r="Q484" s="20"/>
      <c r="R484" s="20"/>
    </row>
    <row r="485">
      <c r="A485" s="20"/>
      <c r="B485" s="20"/>
      <c r="C485" s="20"/>
      <c r="D485" s="20"/>
      <c r="E485" s="20"/>
      <c r="F485" s="20"/>
      <c r="G485" s="20"/>
      <c r="H485" s="20"/>
      <c r="I485" s="20"/>
      <c r="J485" s="20"/>
      <c r="K485" s="20"/>
      <c r="L485" s="20"/>
      <c r="M485" s="20"/>
      <c r="N485" s="20"/>
      <c r="O485" s="20"/>
      <c r="P485" s="20"/>
      <c r="Q485" s="20"/>
      <c r="R485" s="20"/>
    </row>
    <row r="486">
      <c r="A486" s="20"/>
      <c r="B486" s="20"/>
      <c r="C486" s="20"/>
      <c r="D486" s="20"/>
      <c r="E486" s="20"/>
      <c r="F486" s="20"/>
      <c r="G486" s="20"/>
      <c r="H486" s="20"/>
      <c r="I486" s="20"/>
      <c r="J486" s="20"/>
      <c r="K486" s="20"/>
      <c r="L486" s="20"/>
      <c r="M486" s="20"/>
      <c r="N486" s="20"/>
      <c r="O486" s="20"/>
      <c r="P486" s="20"/>
      <c r="Q486" s="20"/>
      <c r="R486" s="20"/>
    </row>
    <row r="487">
      <c r="A487" s="20"/>
      <c r="B487" s="20"/>
      <c r="C487" s="20"/>
      <c r="D487" s="20"/>
      <c r="E487" s="20"/>
      <c r="F487" s="20"/>
      <c r="G487" s="20"/>
      <c r="H487" s="20"/>
      <c r="I487" s="20"/>
      <c r="J487" s="20"/>
      <c r="K487" s="20"/>
      <c r="L487" s="20"/>
      <c r="M487" s="20"/>
      <c r="N487" s="20"/>
      <c r="O487" s="20"/>
      <c r="P487" s="20"/>
      <c r="Q487" s="20"/>
      <c r="R487" s="20"/>
    </row>
    <row r="488">
      <c r="A488" s="20"/>
      <c r="B488" s="20"/>
      <c r="C488" s="20"/>
      <c r="D488" s="20"/>
      <c r="E488" s="20"/>
      <c r="F488" s="20"/>
      <c r="G488" s="20"/>
      <c r="H488" s="20"/>
      <c r="I488" s="20"/>
      <c r="J488" s="20"/>
      <c r="K488" s="20"/>
      <c r="L488" s="20"/>
      <c r="M488" s="20"/>
      <c r="N488" s="20"/>
      <c r="O488" s="20"/>
      <c r="P488" s="20"/>
      <c r="Q488" s="20"/>
      <c r="R488" s="20"/>
    </row>
    <row r="489">
      <c r="A489" s="20"/>
      <c r="B489" s="20"/>
      <c r="C489" s="20"/>
      <c r="D489" s="20"/>
      <c r="E489" s="20"/>
      <c r="F489" s="20"/>
      <c r="G489" s="20"/>
      <c r="H489" s="20"/>
      <c r="I489" s="20"/>
      <c r="J489" s="20"/>
      <c r="K489" s="20"/>
      <c r="L489" s="20"/>
      <c r="M489" s="20"/>
      <c r="N489" s="20"/>
      <c r="O489" s="20"/>
      <c r="P489" s="20"/>
      <c r="Q489" s="20"/>
      <c r="R489" s="20"/>
    </row>
    <row r="490">
      <c r="A490" s="20"/>
      <c r="B490" s="20"/>
      <c r="C490" s="20"/>
      <c r="D490" s="20"/>
      <c r="E490" s="20"/>
      <c r="F490" s="20"/>
      <c r="G490" s="20"/>
      <c r="H490" s="20"/>
      <c r="I490" s="20"/>
      <c r="J490" s="20"/>
      <c r="K490" s="20"/>
      <c r="L490" s="20"/>
      <c r="M490" s="20"/>
      <c r="N490" s="20"/>
      <c r="O490" s="20"/>
      <c r="P490" s="20"/>
      <c r="Q490" s="20"/>
      <c r="R490" s="20"/>
    </row>
    <row r="491">
      <c r="A491" s="20"/>
      <c r="B491" s="20"/>
      <c r="C491" s="20"/>
      <c r="D491" s="20"/>
      <c r="E491" s="20"/>
      <c r="F491" s="20"/>
      <c r="G491" s="20"/>
      <c r="H491" s="20"/>
      <c r="I491" s="20"/>
      <c r="J491" s="20"/>
      <c r="K491" s="20"/>
      <c r="L491" s="20"/>
      <c r="M491" s="20"/>
      <c r="N491" s="20"/>
      <c r="O491" s="20"/>
      <c r="P491" s="20"/>
      <c r="Q491" s="20"/>
      <c r="R491" s="20"/>
    </row>
    <row r="492">
      <c r="A492" s="20"/>
      <c r="B492" s="20"/>
      <c r="C492" s="20"/>
      <c r="D492" s="20"/>
      <c r="E492" s="20"/>
      <c r="F492" s="20"/>
      <c r="G492" s="20"/>
      <c r="H492" s="20"/>
      <c r="I492" s="20"/>
      <c r="J492" s="20"/>
      <c r="K492" s="20"/>
      <c r="L492" s="20"/>
      <c r="M492" s="20"/>
      <c r="N492" s="20"/>
      <c r="O492" s="20"/>
      <c r="P492" s="20"/>
      <c r="Q492" s="20"/>
      <c r="R492" s="20"/>
    </row>
    <row r="493">
      <c r="A493" s="20"/>
      <c r="B493" s="20"/>
      <c r="C493" s="20"/>
      <c r="D493" s="20"/>
      <c r="E493" s="20"/>
      <c r="F493" s="20"/>
      <c r="G493" s="20"/>
      <c r="H493" s="20"/>
      <c r="I493" s="20"/>
      <c r="J493" s="20"/>
      <c r="K493" s="20"/>
      <c r="L493" s="20"/>
      <c r="M493" s="20"/>
      <c r="N493" s="20"/>
      <c r="O493" s="20"/>
      <c r="P493" s="20"/>
      <c r="Q493" s="20"/>
      <c r="R493" s="20"/>
    </row>
    <row r="494">
      <c r="A494" s="20"/>
      <c r="B494" s="20"/>
      <c r="C494" s="20"/>
      <c r="D494" s="20"/>
      <c r="E494" s="20"/>
      <c r="F494" s="20"/>
      <c r="G494" s="20"/>
      <c r="H494" s="20"/>
      <c r="I494" s="20"/>
      <c r="J494" s="20"/>
      <c r="K494" s="20"/>
      <c r="L494" s="20"/>
      <c r="M494" s="20"/>
      <c r="N494" s="20"/>
      <c r="O494" s="20"/>
      <c r="P494" s="20"/>
      <c r="Q494" s="20"/>
      <c r="R494" s="20"/>
    </row>
    <row r="495">
      <c r="A495" s="20"/>
      <c r="B495" s="20"/>
      <c r="C495" s="20"/>
      <c r="D495" s="20"/>
      <c r="E495" s="20"/>
      <c r="F495" s="20"/>
      <c r="G495" s="20"/>
      <c r="H495" s="20"/>
      <c r="I495" s="20"/>
      <c r="J495" s="20"/>
      <c r="K495" s="20"/>
      <c r="L495" s="20"/>
      <c r="M495" s="20"/>
      <c r="N495" s="20"/>
      <c r="O495" s="20"/>
      <c r="P495" s="20"/>
      <c r="Q495" s="20"/>
      <c r="R495" s="20"/>
    </row>
    <row r="496">
      <c r="A496" s="20"/>
      <c r="B496" s="20"/>
      <c r="C496" s="20"/>
      <c r="D496" s="20"/>
      <c r="E496" s="20"/>
      <c r="F496" s="20"/>
      <c r="G496" s="20"/>
      <c r="H496" s="20"/>
      <c r="I496" s="20"/>
      <c r="J496" s="20"/>
      <c r="K496" s="20"/>
      <c r="L496" s="20"/>
      <c r="M496" s="20"/>
      <c r="N496" s="20"/>
      <c r="O496" s="20"/>
      <c r="P496" s="20"/>
      <c r="Q496" s="20"/>
      <c r="R496" s="20"/>
    </row>
    <row r="497">
      <c r="A497" s="20"/>
      <c r="B497" s="20"/>
      <c r="C497" s="20"/>
      <c r="D497" s="20"/>
      <c r="E497" s="20"/>
      <c r="F497" s="20"/>
      <c r="G497" s="20"/>
      <c r="H497" s="20"/>
      <c r="I497" s="20"/>
      <c r="J497" s="20"/>
      <c r="K497" s="20"/>
      <c r="L497" s="20"/>
      <c r="M497" s="20"/>
      <c r="N497" s="20"/>
      <c r="O497" s="20"/>
      <c r="P497" s="20"/>
      <c r="Q497" s="20"/>
      <c r="R497" s="20"/>
    </row>
    <row r="498">
      <c r="A498" s="20"/>
      <c r="B498" s="20"/>
      <c r="C498" s="20"/>
      <c r="D498" s="20"/>
      <c r="E498" s="20"/>
      <c r="F498" s="20"/>
      <c r="G498" s="20"/>
      <c r="H498" s="20"/>
      <c r="I498" s="20"/>
      <c r="J498" s="20"/>
      <c r="K498" s="20"/>
      <c r="L498" s="20"/>
      <c r="M498" s="20"/>
      <c r="N498" s="20"/>
      <c r="O498" s="20"/>
      <c r="P498" s="20"/>
      <c r="Q498" s="20"/>
      <c r="R498" s="20"/>
    </row>
    <row r="499">
      <c r="A499" s="20"/>
      <c r="B499" s="20"/>
      <c r="C499" s="20"/>
      <c r="D499" s="20"/>
      <c r="E499" s="20"/>
      <c r="F499" s="20"/>
      <c r="G499" s="20"/>
      <c r="H499" s="20"/>
      <c r="I499" s="20"/>
      <c r="J499" s="20"/>
      <c r="K499" s="20"/>
      <c r="L499" s="20"/>
      <c r="M499" s="20"/>
      <c r="N499" s="20"/>
      <c r="O499" s="20"/>
      <c r="P499" s="20"/>
      <c r="Q499" s="20"/>
      <c r="R499" s="20"/>
    </row>
    <row r="500">
      <c r="A500" s="20"/>
      <c r="B500" s="20"/>
      <c r="C500" s="20"/>
      <c r="D500" s="20"/>
      <c r="E500" s="20"/>
      <c r="F500" s="20"/>
      <c r="G500" s="20"/>
      <c r="H500" s="20"/>
      <c r="I500" s="20"/>
      <c r="J500" s="20"/>
      <c r="K500" s="20"/>
      <c r="L500" s="20"/>
      <c r="M500" s="20"/>
      <c r="N500" s="20"/>
      <c r="O500" s="20"/>
      <c r="P500" s="20"/>
      <c r="Q500" s="20"/>
      <c r="R500" s="20"/>
    </row>
    <row r="501">
      <c r="A501" s="20"/>
      <c r="B501" s="20"/>
      <c r="C501" s="20"/>
      <c r="D501" s="20"/>
      <c r="E501" s="20"/>
      <c r="F501" s="20"/>
      <c r="G501" s="20"/>
      <c r="H501" s="20"/>
      <c r="I501" s="20"/>
      <c r="J501" s="20"/>
      <c r="K501" s="20"/>
      <c r="L501" s="20"/>
      <c r="M501" s="20"/>
      <c r="N501" s="20"/>
      <c r="O501" s="20"/>
      <c r="P501" s="20"/>
      <c r="Q501" s="20"/>
      <c r="R501" s="20"/>
    </row>
    <row r="502">
      <c r="A502" s="20"/>
      <c r="B502" s="20"/>
      <c r="C502" s="20"/>
      <c r="D502" s="20"/>
      <c r="E502" s="20"/>
      <c r="F502" s="20"/>
      <c r="G502" s="20"/>
      <c r="H502" s="20"/>
      <c r="I502" s="20"/>
      <c r="J502" s="20"/>
      <c r="K502" s="20"/>
      <c r="L502" s="20"/>
      <c r="M502" s="20"/>
      <c r="N502" s="20"/>
      <c r="O502" s="20"/>
      <c r="P502" s="20"/>
      <c r="Q502" s="20"/>
      <c r="R502" s="20"/>
    </row>
    <row r="503">
      <c r="A503" s="20"/>
      <c r="B503" s="20"/>
      <c r="C503" s="20"/>
      <c r="D503" s="20"/>
      <c r="E503" s="20"/>
      <c r="F503" s="20"/>
      <c r="G503" s="20"/>
      <c r="H503" s="20"/>
      <c r="I503" s="20"/>
      <c r="J503" s="20"/>
      <c r="K503" s="20"/>
      <c r="L503" s="20"/>
      <c r="M503" s="20"/>
      <c r="N503" s="20"/>
      <c r="O503" s="20"/>
      <c r="P503" s="20"/>
      <c r="Q503" s="20"/>
      <c r="R503" s="20"/>
    </row>
    <row r="504">
      <c r="A504" s="20"/>
      <c r="B504" s="20"/>
      <c r="C504" s="20"/>
      <c r="D504" s="20"/>
      <c r="E504" s="20"/>
      <c r="F504" s="20"/>
      <c r="G504" s="20"/>
      <c r="H504" s="20"/>
      <c r="I504" s="20"/>
      <c r="J504" s="20"/>
      <c r="K504" s="20"/>
      <c r="L504" s="20"/>
      <c r="M504" s="20"/>
      <c r="N504" s="20"/>
      <c r="O504" s="20"/>
      <c r="P504" s="20"/>
      <c r="Q504" s="20"/>
      <c r="R504" s="20"/>
    </row>
    <row r="505">
      <c r="A505" s="20"/>
      <c r="B505" s="20"/>
      <c r="C505" s="20"/>
      <c r="D505" s="20"/>
      <c r="E505" s="20"/>
      <c r="F505" s="20"/>
      <c r="G505" s="20"/>
      <c r="H505" s="20"/>
      <c r="I505" s="20"/>
      <c r="J505" s="20"/>
      <c r="K505" s="20"/>
      <c r="L505" s="20"/>
      <c r="M505" s="20"/>
      <c r="N505" s="20"/>
      <c r="O505" s="20"/>
      <c r="P505" s="20"/>
      <c r="Q505" s="20"/>
      <c r="R505" s="20"/>
    </row>
    <row r="506">
      <c r="A506" s="20"/>
      <c r="B506" s="20"/>
      <c r="C506" s="20"/>
      <c r="D506" s="20"/>
      <c r="E506" s="20"/>
      <c r="F506" s="20"/>
      <c r="G506" s="20"/>
      <c r="H506" s="20"/>
      <c r="I506" s="20"/>
      <c r="J506" s="20"/>
      <c r="K506" s="20"/>
      <c r="L506" s="20"/>
      <c r="M506" s="20"/>
      <c r="N506" s="20"/>
      <c r="O506" s="20"/>
      <c r="P506" s="20"/>
      <c r="Q506" s="20"/>
      <c r="R506" s="20"/>
    </row>
    <row r="507">
      <c r="A507" s="20"/>
      <c r="B507" s="20"/>
      <c r="C507" s="20"/>
      <c r="D507" s="20"/>
      <c r="E507" s="20"/>
      <c r="F507" s="20"/>
      <c r="G507" s="20"/>
      <c r="H507" s="20"/>
      <c r="I507" s="20"/>
      <c r="J507" s="20"/>
      <c r="K507" s="20"/>
      <c r="L507" s="20"/>
      <c r="M507" s="20"/>
      <c r="N507" s="20"/>
      <c r="O507" s="20"/>
      <c r="P507" s="20"/>
      <c r="Q507" s="20"/>
      <c r="R507" s="20"/>
    </row>
    <row r="508">
      <c r="A508" s="20"/>
      <c r="B508" s="20"/>
      <c r="C508" s="20"/>
      <c r="D508" s="20"/>
      <c r="E508" s="20"/>
      <c r="F508" s="20"/>
      <c r="G508" s="20"/>
      <c r="H508" s="20"/>
      <c r="I508" s="20"/>
      <c r="J508" s="20"/>
      <c r="K508" s="20"/>
      <c r="L508" s="20"/>
      <c r="M508" s="20"/>
      <c r="N508" s="20"/>
      <c r="O508" s="20"/>
      <c r="P508" s="20"/>
      <c r="Q508" s="20"/>
      <c r="R508" s="20"/>
    </row>
    <row r="509">
      <c r="A509" s="20"/>
      <c r="B509" s="20"/>
      <c r="C509" s="20"/>
      <c r="D509" s="20"/>
      <c r="E509" s="20"/>
      <c r="F509" s="20"/>
      <c r="G509" s="20"/>
      <c r="H509" s="20"/>
      <c r="I509" s="20"/>
      <c r="J509" s="20"/>
      <c r="K509" s="20"/>
      <c r="L509" s="20"/>
      <c r="M509" s="20"/>
      <c r="N509" s="20"/>
      <c r="O509" s="20"/>
      <c r="P509" s="20"/>
      <c r="Q509" s="20"/>
      <c r="R509" s="20"/>
    </row>
    <row r="510">
      <c r="A510" s="20"/>
      <c r="B510" s="20"/>
      <c r="C510" s="20"/>
      <c r="D510" s="20"/>
      <c r="E510" s="20"/>
      <c r="F510" s="20"/>
      <c r="G510" s="20"/>
      <c r="H510" s="20"/>
      <c r="I510" s="20"/>
      <c r="J510" s="20"/>
      <c r="K510" s="20"/>
      <c r="L510" s="20"/>
      <c r="M510" s="20"/>
      <c r="N510" s="20"/>
      <c r="O510" s="20"/>
      <c r="P510" s="20"/>
      <c r="Q510" s="20"/>
      <c r="R510" s="20"/>
    </row>
    <row r="511">
      <c r="A511" s="20"/>
      <c r="B511" s="20"/>
      <c r="C511" s="20"/>
      <c r="D511" s="20"/>
      <c r="E511" s="20"/>
      <c r="F511" s="20"/>
      <c r="G511" s="20"/>
      <c r="H511" s="20"/>
      <c r="I511" s="20"/>
      <c r="J511" s="20"/>
      <c r="K511" s="20"/>
      <c r="L511" s="20"/>
      <c r="M511" s="20"/>
      <c r="N511" s="20"/>
      <c r="O511" s="20"/>
      <c r="P511" s="20"/>
      <c r="Q511" s="20"/>
      <c r="R511" s="20"/>
    </row>
    <row r="512">
      <c r="A512" s="20"/>
      <c r="B512" s="20"/>
      <c r="C512" s="20"/>
      <c r="D512" s="20"/>
      <c r="E512" s="20"/>
      <c r="F512" s="20"/>
      <c r="G512" s="20"/>
      <c r="H512" s="20"/>
      <c r="I512" s="20"/>
      <c r="J512" s="20"/>
      <c r="K512" s="20"/>
      <c r="L512" s="20"/>
      <c r="M512" s="20"/>
      <c r="N512" s="20"/>
      <c r="O512" s="20"/>
      <c r="P512" s="20"/>
      <c r="Q512" s="20"/>
      <c r="R512" s="20"/>
    </row>
    <row r="513">
      <c r="A513" s="20"/>
      <c r="B513" s="20"/>
      <c r="C513" s="20"/>
      <c r="D513" s="20"/>
      <c r="E513" s="20"/>
      <c r="F513" s="20"/>
      <c r="G513" s="20"/>
      <c r="H513" s="20"/>
      <c r="I513" s="20"/>
      <c r="J513" s="20"/>
      <c r="K513" s="20"/>
      <c r="L513" s="20"/>
      <c r="M513" s="20"/>
      <c r="N513" s="20"/>
      <c r="O513" s="20"/>
      <c r="P513" s="20"/>
      <c r="Q513" s="20"/>
      <c r="R513" s="20"/>
    </row>
    <row r="514">
      <c r="A514" s="20"/>
      <c r="B514" s="20"/>
      <c r="C514" s="20"/>
      <c r="D514" s="20"/>
      <c r="E514" s="20"/>
      <c r="F514" s="20"/>
      <c r="G514" s="20"/>
      <c r="H514" s="20"/>
      <c r="I514" s="20"/>
      <c r="J514" s="20"/>
      <c r="K514" s="20"/>
      <c r="L514" s="20"/>
      <c r="M514" s="20"/>
      <c r="N514" s="20"/>
      <c r="O514" s="20"/>
      <c r="P514" s="20"/>
      <c r="Q514" s="20"/>
      <c r="R514" s="20"/>
    </row>
    <row r="515">
      <c r="A515" s="20"/>
      <c r="B515" s="20"/>
      <c r="C515" s="20"/>
      <c r="D515" s="20"/>
      <c r="E515" s="20"/>
      <c r="F515" s="20"/>
      <c r="G515" s="20"/>
      <c r="H515" s="20"/>
      <c r="I515" s="20"/>
      <c r="J515" s="20"/>
      <c r="K515" s="20"/>
      <c r="L515" s="20"/>
      <c r="M515" s="20"/>
      <c r="N515" s="20"/>
      <c r="O515" s="20"/>
      <c r="P515" s="20"/>
      <c r="Q515" s="20"/>
      <c r="R515" s="20"/>
    </row>
    <row r="516">
      <c r="A516" s="20"/>
      <c r="B516" s="20"/>
      <c r="C516" s="20"/>
      <c r="D516" s="20"/>
      <c r="E516" s="20"/>
      <c r="F516" s="20"/>
      <c r="G516" s="20"/>
      <c r="H516" s="20"/>
      <c r="I516" s="20"/>
      <c r="J516" s="20"/>
      <c r="K516" s="20"/>
      <c r="L516" s="20"/>
      <c r="M516" s="20"/>
      <c r="N516" s="20"/>
      <c r="O516" s="20"/>
      <c r="P516" s="20"/>
      <c r="Q516" s="20"/>
      <c r="R516" s="20"/>
    </row>
    <row r="517">
      <c r="A517" s="20"/>
      <c r="B517" s="20"/>
      <c r="C517" s="20"/>
      <c r="D517" s="20"/>
      <c r="E517" s="20"/>
      <c r="F517" s="20"/>
      <c r="G517" s="20"/>
      <c r="H517" s="20"/>
      <c r="I517" s="20"/>
      <c r="J517" s="20"/>
      <c r="K517" s="20"/>
      <c r="L517" s="20"/>
      <c r="M517" s="20"/>
      <c r="N517" s="20"/>
      <c r="O517" s="20"/>
      <c r="P517" s="20"/>
      <c r="Q517" s="20"/>
      <c r="R517" s="20"/>
    </row>
    <row r="518">
      <c r="A518" s="20"/>
      <c r="B518" s="20"/>
      <c r="C518" s="20"/>
      <c r="D518" s="20"/>
      <c r="E518" s="20"/>
      <c r="F518" s="20"/>
      <c r="G518" s="20"/>
      <c r="H518" s="20"/>
      <c r="I518" s="20"/>
      <c r="J518" s="20"/>
      <c r="K518" s="20"/>
      <c r="L518" s="20"/>
      <c r="M518" s="20"/>
      <c r="N518" s="20"/>
      <c r="O518" s="20"/>
      <c r="P518" s="20"/>
      <c r="Q518" s="20"/>
      <c r="R518" s="20"/>
    </row>
    <row r="519">
      <c r="A519" s="20"/>
      <c r="B519" s="20"/>
      <c r="C519" s="20"/>
      <c r="D519" s="20"/>
      <c r="E519" s="20"/>
      <c r="F519" s="20"/>
      <c r="G519" s="20"/>
      <c r="H519" s="20"/>
      <c r="I519" s="20"/>
      <c r="J519" s="20"/>
      <c r="K519" s="20"/>
      <c r="L519" s="20"/>
      <c r="M519" s="20"/>
      <c r="N519" s="20"/>
      <c r="O519" s="20"/>
      <c r="P519" s="20"/>
      <c r="Q519" s="20"/>
      <c r="R519" s="20"/>
    </row>
    <row r="520">
      <c r="A520" s="20"/>
      <c r="B520" s="20"/>
      <c r="C520" s="20"/>
      <c r="D520" s="20"/>
      <c r="E520" s="20"/>
      <c r="F520" s="20"/>
      <c r="G520" s="20"/>
      <c r="H520" s="20"/>
      <c r="I520" s="20"/>
      <c r="J520" s="20"/>
      <c r="K520" s="20"/>
      <c r="L520" s="20"/>
      <c r="M520" s="20"/>
      <c r="N520" s="20"/>
      <c r="O520" s="20"/>
      <c r="P520" s="20"/>
      <c r="Q520" s="20"/>
      <c r="R520" s="20"/>
    </row>
    <row r="521">
      <c r="A521" s="20"/>
      <c r="B521" s="20"/>
      <c r="C521" s="20"/>
      <c r="D521" s="20"/>
      <c r="E521" s="20"/>
      <c r="F521" s="20"/>
      <c r="G521" s="20"/>
      <c r="H521" s="20"/>
      <c r="I521" s="20"/>
      <c r="J521" s="20"/>
      <c r="K521" s="20"/>
      <c r="L521" s="20"/>
      <c r="M521" s="20"/>
      <c r="N521" s="20"/>
      <c r="O521" s="20"/>
      <c r="P521" s="20"/>
      <c r="Q521" s="20"/>
      <c r="R521" s="20"/>
    </row>
    <row r="522">
      <c r="A522" s="20"/>
      <c r="B522" s="20"/>
      <c r="C522" s="20"/>
      <c r="D522" s="20"/>
      <c r="E522" s="20"/>
      <c r="F522" s="20"/>
      <c r="G522" s="20"/>
      <c r="H522" s="20"/>
      <c r="I522" s="20"/>
      <c r="J522" s="20"/>
      <c r="K522" s="20"/>
      <c r="L522" s="20"/>
      <c r="M522" s="20"/>
      <c r="N522" s="20"/>
      <c r="O522" s="20"/>
      <c r="P522" s="20"/>
      <c r="Q522" s="20"/>
      <c r="R522" s="20"/>
    </row>
    <row r="523">
      <c r="A523" s="20"/>
      <c r="B523" s="20"/>
      <c r="C523" s="20"/>
      <c r="D523" s="20"/>
      <c r="E523" s="20"/>
      <c r="F523" s="20"/>
      <c r="G523" s="20"/>
      <c r="H523" s="20"/>
      <c r="I523" s="20"/>
      <c r="J523" s="20"/>
      <c r="K523" s="20"/>
      <c r="L523" s="20"/>
      <c r="M523" s="20"/>
      <c r="N523" s="20"/>
      <c r="O523" s="20"/>
      <c r="P523" s="20"/>
      <c r="Q523" s="20"/>
      <c r="R523" s="20"/>
    </row>
    <row r="524">
      <c r="A524" s="20"/>
      <c r="B524" s="20"/>
      <c r="C524" s="20"/>
      <c r="D524" s="20"/>
      <c r="E524" s="20"/>
      <c r="F524" s="20"/>
      <c r="G524" s="20"/>
      <c r="H524" s="20"/>
      <c r="I524" s="20"/>
      <c r="J524" s="20"/>
      <c r="K524" s="20"/>
      <c r="L524" s="20"/>
      <c r="M524" s="20"/>
      <c r="N524" s="20"/>
      <c r="O524" s="20"/>
      <c r="P524" s="20"/>
      <c r="Q524" s="20"/>
      <c r="R524" s="20"/>
    </row>
    <row r="525">
      <c r="A525" s="20"/>
      <c r="B525" s="20"/>
      <c r="C525" s="20"/>
      <c r="D525" s="20"/>
      <c r="E525" s="20"/>
      <c r="F525" s="20"/>
      <c r="G525" s="20"/>
      <c r="H525" s="20"/>
      <c r="I525" s="20"/>
      <c r="J525" s="20"/>
      <c r="K525" s="20"/>
      <c r="L525" s="20"/>
      <c r="M525" s="20"/>
      <c r="N525" s="20"/>
      <c r="O525" s="20"/>
      <c r="P525" s="20"/>
      <c r="Q525" s="20"/>
      <c r="R525" s="20"/>
    </row>
    <row r="526">
      <c r="A526" s="20"/>
      <c r="B526" s="20"/>
      <c r="C526" s="20"/>
      <c r="D526" s="20"/>
      <c r="E526" s="20"/>
      <c r="F526" s="20"/>
      <c r="G526" s="20"/>
      <c r="H526" s="20"/>
      <c r="I526" s="20"/>
      <c r="J526" s="20"/>
      <c r="K526" s="20"/>
      <c r="L526" s="20"/>
      <c r="M526" s="20"/>
      <c r="N526" s="20"/>
      <c r="O526" s="20"/>
      <c r="P526" s="20"/>
      <c r="Q526" s="20"/>
      <c r="R526" s="20"/>
    </row>
    <row r="527">
      <c r="A527" s="20"/>
      <c r="B527" s="20"/>
      <c r="C527" s="20"/>
      <c r="D527" s="20"/>
      <c r="E527" s="20"/>
      <c r="F527" s="20"/>
      <c r="G527" s="20"/>
      <c r="H527" s="20"/>
      <c r="I527" s="20"/>
      <c r="J527" s="20"/>
      <c r="K527" s="20"/>
      <c r="L527" s="20"/>
      <c r="M527" s="20"/>
      <c r="N527" s="20"/>
      <c r="O527" s="20"/>
      <c r="P527" s="20"/>
      <c r="Q527" s="20"/>
      <c r="R527" s="20"/>
    </row>
    <row r="528">
      <c r="A528" s="20"/>
      <c r="B528" s="20"/>
      <c r="C528" s="20"/>
      <c r="D528" s="20"/>
      <c r="E528" s="20"/>
      <c r="F528" s="20"/>
      <c r="G528" s="20"/>
      <c r="H528" s="20"/>
      <c r="I528" s="20"/>
      <c r="J528" s="20"/>
      <c r="K528" s="20"/>
      <c r="L528" s="20"/>
      <c r="M528" s="20"/>
      <c r="N528" s="20"/>
      <c r="O528" s="20"/>
      <c r="P528" s="20"/>
      <c r="Q528" s="20"/>
      <c r="R528" s="20"/>
    </row>
    <row r="529">
      <c r="A529" s="20"/>
      <c r="B529" s="20"/>
      <c r="C529" s="20"/>
      <c r="D529" s="20"/>
      <c r="E529" s="20"/>
      <c r="F529" s="20"/>
      <c r="G529" s="20"/>
      <c r="H529" s="20"/>
      <c r="I529" s="20"/>
      <c r="J529" s="20"/>
      <c r="K529" s="20"/>
      <c r="L529" s="20"/>
      <c r="M529" s="20"/>
      <c r="N529" s="20"/>
      <c r="O529" s="20"/>
      <c r="P529" s="20"/>
      <c r="Q529" s="20"/>
      <c r="R529" s="20"/>
    </row>
    <row r="530">
      <c r="A530" s="20"/>
      <c r="B530" s="20"/>
      <c r="C530" s="20"/>
      <c r="D530" s="20"/>
      <c r="E530" s="20"/>
      <c r="F530" s="20"/>
      <c r="G530" s="20"/>
      <c r="H530" s="20"/>
      <c r="I530" s="20"/>
      <c r="J530" s="20"/>
      <c r="K530" s="20"/>
      <c r="L530" s="20"/>
      <c r="M530" s="20"/>
      <c r="N530" s="20"/>
      <c r="O530" s="20"/>
      <c r="P530" s="20"/>
      <c r="Q530" s="20"/>
      <c r="R530" s="20"/>
    </row>
    <row r="531">
      <c r="A531" s="20"/>
      <c r="B531" s="20"/>
      <c r="C531" s="20"/>
      <c r="D531" s="20"/>
      <c r="E531" s="20"/>
      <c r="F531" s="20"/>
      <c r="G531" s="20"/>
      <c r="H531" s="20"/>
      <c r="I531" s="20"/>
      <c r="J531" s="20"/>
      <c r="K531" s="20"/>
      <c r="L531" s="20"/>
      <c r="M531" s="20"/>
      <c r="N531" s="20"/>
      <c r="O531" s="20"/>
      <c r="P531" s="20"/>
      <c r="Q531" s="20"/>
      <c r="R531" s="20"/>
    </row>
    <row r="532">
      <c r="A532" s="20"/>
      <c r="B532" s="20"/>
      <c r="C532" s="20"/>
      <c r="D532" s="20"/>
      <c r="E532" s="20"/>
      <c r="F532" s="20"/>
      <c r="G532" s="20"/>
      <c r="H532" s="20"/>
      <c r="I532" s="20"/>
      <c r="J532" s="20"/>
      <c r="K532" s="20"/>
      <c r="L532" s="20"/>
      <c r="M532" s="20"/>
      <c r="N532" s="20"/>
      <c r="O532" s="20"/>
      <c r="P532" s="20"/>
      <c r="Q532" s="20"/>
      <c r="R532" s="20"/>
    </row>
    <row r="533">
      <c r="A533" s="20"/>
      <c r="B533" s="20"/>
      <c r="C533" s="20"/>
      <c r="D533" s="20"/>
      <c r="E533" s="20"/>
      <c r="F533" s="20"/>
      <c r="G533" s="20"/>
      <c r="H533" s="20"/>
      <c r="I533" s="20"/>
      <c r="J533" s="20"/>
      <c r="K533" s="20"/>
      <c r="L533" s="20"/>
      <c r="M533" s="20"/>
      <c r="N533" s="20"/>
      <c r="O533" s="20"/>
      <c r="P533" s="20"/>
      <c r="Q533" s="20"/>
      <c r="R533" s="20"/>
    </row>
    <row r="534">
      <c r="A534" s="20"/>
      <c r="B534" s="20"/>
      <c r="C534" s="20"/>
      <c r="D534" s="20"/>
      <c r="E534" s="20"/>
      <c r="F534" s="20"/>
      <c r="G534" s="20"/>
      <c r="H534" s="20"/>
      <c r="I534" s="20"/>
      <c r="J534" s="20"/>
      <c r="K534" s="20"/>
      <c r="L534" s="20"/>
      <c r="M534" s="20"/>
      <c r="N534" s="20"/>
      <c r="O534" s="20"/>
      <c r="P534" s="20"/>
      <c r="Q534" s="20"/>
      <c r="R534" s="20"/>
    </row>
    <row r="535">
      <c r="A535" s="20"/>
      <c r="B535" s="20"/>
      <c r="C535" s="20"/>
      <c r="D535" s="20"/>
      <c r="E535" s="20"/>
      <c r="F535" s="20"/>
      <c r="G535" s="20"/>
      <c r="H535" s="20"/>
      <c r="I535" s="20"/>
      <c r="J535" s="20"/>
      <c r="K535" s="20"/>
      <c r="L535" s="20"/>
      <c r="M535" s="20"/>
      <c r="N535" s="20"/>
      <c r="O535" s="20"/>
      <c r="P535" s="20"/>
      <c r="Q535" s="20"/>
      <c r="R535" s="20"/>
    </row>
    <row r="536">
      <c r="A536" s="20"/>
      <c r="B536" s="20"/>
      <c r="C536" s="20"/>
      <c r="D536" s="20"/>
      <c r="E536" s="20"/>
      <c r="F536" s="20"/>
      <c r="G536" s="20"/>
      <c r="H536" s="20"/>
      <c r="I536" s="20"/>
      <c r="J536" s="20"/>
      <c r="K536" s="20"/>
      <c r="L536" s="20"/>
      <c r="M536" s="20"/>
      <c r="N536" s="20"/>
      <c r="O536" s="20"/>
      <c r="P536" s="20"/>
      <c r="Q536" s="20"/>
      <c r="R536" s="20"/>
    </row>
    <row r="537">
      <c r="A537" s="20"/>
      <c r="B537" s="20"/>
      <c r="C537" s="20"/>
      <c r="D537" s="20"/>
      <c r="E537" s="20"/>
      <c r="F537" s="20"/>
      <c r="G537" s="20"/>
      <c r="H537" s="20"/>
      <c r="I537" s="20"/>
      <c r="J537" s="20"/>
      <c r="K537" s="20"/>
      <c r="L537" s="20"/>
      <c r="M537" s="20"/>
      <c r="N537" s="20"/>
      <c r="O537" s="20"/>
      <c r="P537" s="20"/>
      <c r="Q537" s="20"/>
      <c r="R537" s="20"/>
    </row>
    <row r="538">
      <c r="A538" s="20"/>
      <c r="B538" s="20"/>
      <c r="C538" s="20"/>
      <c r="D538" s="20"/>
      <c r="E538" s="20"/>
      <c r="F538" s="20"/>
      <c r="G538" s="20"/>
      <c r="H538" s="20"/>
      <c r="I538" s="20"/>
      <c r="J538" s="20"/>
      <c r="K538" s="20"/>
      <c r="L538" s="20"/>
      <c r="M538" s="20"/>
      <c r="N538" s="20"/>
      <c r="O538" s="20"/>
      <c r="P538" s="20"/>
      <c r="Q538" s="20"/>
      <c r="R538" s="20"/>
    </row>
    <row r="539">
      <c r="A539" s="20"/>
      <c r="B539" s="20"/>
      <c r="C539" s="20"/>
      <c r="D539" s="20"/>
      <c r="E539" s="20"/>
      <c r="F539" s="20"/>
      <c r="G539" s="20"/>
      <c r="H539" s="20"/>
      <c r="I539" s="20"/>
      <c r="J539" s="20"/>
      <c r="K539" s="20"/>
      <c r="L539" s="20"/>
      <c r="M539" s="20"/>
      <c r="N539" s="20"/>
      <c r="O539" s="20"/>
      <c r="P539" s="20"/>
      <c r="Q539" s="20"/>
      <c r="R539" s="20"/>
    </row>
    <row r="540">
      <c r="A540" s="20"/>
      <c r="B540" s="20"/>
      <c r="C540" s="20"/>
      <c r="D540" s="20"/>
      <c r="E540" s="20"/>
      <c r="F540" s="20"/>
      <c r="G540" s="20"/>
      <c r="H540" s="20"/>
      <c r="I540" s="20"/>
      <c r="J540" s="20"/>
      <c r="K540" s="20"/>
      <c r="L540" s="20"/>
      <c r="M540" s="20"/>
      <c r="N540" s="20"/>
      <c r="O540" s="20"/>
      <c r="P540" s="20"/>
      <c r="Q540" s="20"/>
      <c r="R540" s="20"/>
    </row>
    <row r="541">
      <c r="A541" s="20"/>
      <c r="B541" s="20"/>
      <c r="C541" s="20"/>
      <c r="D541" s="20"/>
      <c r="E541" s="20"/>
      <c r="F541" s="20"/>
      <c r="G541" s="20"/>
      <c r="H541" s="20"/>
      <c r="I541" s="20"/>
      <c r="J541" s="20"/>
      <c r="K541" s="20"/>
      <c r="L541" s="20"/>
      <c r="M541" s="20"/>
      <c r="N541" s="20"/>
      <c r="O541" s="20"/>
      <c r="P541" s="20"/>
      <c r="Q541" s="20"/>
      <c r="R541" s="20"/>
    </row>
    <row r="542">
      <c r="A542" s="20"/>
      <c r="B542" s="20"/>
      <c r="C542" s="20"/>
      <c r="D542" s="20"/>
      <c r="E542" s="20"/>
      <c r="F542" s="20"/>
      <c r="G542" s="20"/>
      <c r="H542" s="20"/>
      <c r="I542" s="20"/>
      <c r="J542" s="20"/>
      <c r="K542" s="20"/>
      <c r="L542" s="20"/>
      <c r="M542" s="20"/>
      <c r="N542" s="20"/>
      <c r="O542" s="20"/>
      <c r="P542" s="20"/>
      <c r="Q542" s="20"/>
      <c r="R542" s="20"/>
    </row>
    <row r="543">
      <c r="A543" s="20"/>
      <c r="B543" s="20"/>
      <c r="C543" s="20"/>
      <c r="D543" s="20"/>
      <c r="E543" s="20"/>
      <c r="F543" s="20"/>
      <c r="G543" s="20"/>
      <c r="H543" s="20"/>
      <c r="I543" s="20"/>
      <c r="J543" s="20"/>
      <c r="K543" s="20"/>
      <c r="L543" s="20"/>
      <c r="M543" s="20"/>
      <c r="N543" s="20"/>
      <c r="O543" s="20"/>
      <c r="P543" s="20"/>
      <c r="Q543" s="20"/>
      <c r="R543" s="20"/>
    </row>
    <row r="544">
      <c r="A544" s="20"/>
      <c r="B544" s="20"/>
      <c r="C544" s="20"/>
      <c r="D544" s="20"/>
      <c r="E544" s="20"/>
      <c r="F544" s="20"/>
      <c r="G544" s="20"/>
      <c r="H544" s="20"/>
      <c r="I544" s="20"/>
      <c r="J544" s="20"/>
      <c r="K544" s="20"/>
      <c r="L544" s="20"/>
      <c r="M544" s="20"/>
      <c r="N544" s="20"/>
      <c r="O544" s="20"/>
      <c r="P544" s="20"/>
      <c r="Q544" s="20"/>
      <c r="R544" s="20"/>
    </row>
    <row r="545">
      <c r="A545" s="20"/>
      <c r="B545" s="20"/>
      <c r="C545" s="20"/>
      <c r="D545" s="20"/>
      <c r="E545" s="20"/>
      <c r="F545" s="20"/>
      <c r="G545" s="20"/>
      <c r="H545" s="20"/>
      <c r="I545" s="20"/>
      <c r="J545" s="20"/>
      <c r="K545" s="20"/>
      <c r="L545" s="20"/>
      <c r="M545" s="20"/>
      <c r="N545" s="20"/>
      <c r="O545" s="20"/>
      <c r="P545" s="20"/>
      <c r="Q545" s="20"/>
      <c r="R545" s="20"/>
    </row>
    <row r="546">
      <c r="A546" s="20"/>
      <c r="B546" s="20"/>
      <c r="C546" s="20"/>
      <c r="D546" s="20"/>
      <c r="E546" s="20"/>
      <c r="F546" s="20"/>
      <c r="G546" s="20"/>
      <c r="H546" s="20"/>
      <c r="I546" s="20"/>
      <c r="J546" s="20"/>
      <c r="K546" s="20"/>
      <c r="L546" s="20"/>
      <c r="M546" s="20"/>
      <c r="N546" s="20"/>
      <c r="O546" s="20"/>
      <c r="P546" s="20"/>
      <c r="Q546" s="20"/>
      <c r="R546" s="20"/>
    </row>
    <row r="547">
      <c r="A547" s="20"/>
      <c r="B547" s="20"/>
      <c r="C547" s="20"/>
      <c r="D547" s="20"/>
      <c r="E547" s="20"/>
      <c r="F547" s="20"/>
      <c r="G547" s="20"/>
      <c r="H547" s="20"/>
      <c r="I547" s="20"/>
      <c r="J547" s="20"/>
      <c r="K547" s="20"/>
      <c r="L547" s="20"/>
      <c r="M547" s="20"/>
      <c r="N547" s="20"/>
      <c r="O547" s="20"/>
      <c r="P547" s="20"/>
      <c r="Q547" s="20"/>
      <c r="R547" s="20"/>
    </row>
    <row r="548">
      <c r="A548" s="20"/>
      <c r="B548" s="20"/>
      <c r="C548" s="20"/>
      <c r="D548" s="20"/>
      <c r="E548" s="20"/>
      <c r="F548" s="20"/>
      <c r="G548" s="20"/>
      <c r="H548" s="20"/>
      <c r="I548" s="20"/>
      <c r="J548" s="20"/>
      <c r="K548" s="20"/>
      <c r="L548" s="20"/>
      <c r="M548" s="20"/>
      <c r="N548" s="20"/>
      <c r="O548" s="20"/>
      <c r="P548" s="20"/>
      <c r="Q548" s="20"/>
      <c r="R548" s="20"/>
    </row>
    <row r="549">
      <c r="A549" s="20"/>
      <c r="B549" s="20"/>
      <c r="C549" s="20"/>
      <c r="D549" s="20"/>
      <c r="E549" s="20"/>
      <c r="F549" s="20"/>
      <c r="G549" s="20"/>
      <c r="H549" s="20"/>
      <c r="I549" s="20"/>
      <c r="J549" s="20"/>
      <c r="K549" s="20"/>
      <c r="L549" s="20"/>
      <c r="M549" s="20"/>
      <c r="N549" s="20"/>
      <c r="O549" s="20"/>
      <c r="P549" s="20"/>
      <c r="Q549" s="20"/>
      <c r="R549" s="20"/>
    </row>
    <row r="550">
      <c r="A550" s="20"/>
      <c r="B550" s="20"/>
      <c r="C550" s="20"/>
      <c r="D550" s="20"/>
      <c r="E550" s="20"/>
      <c r="F550" s="20"/>
      <c r="G550" s="20"/>
      <c r="H550" s="20"/>
      <c r="I550" s="20"/>
      <c r="J550" s="20"/>
      <c r="K550" s="20"/>
      <c r="L550" s="20"/>
      <c r="M550" s="20"/>
      <c r="N550" s="20"/>
      <c r="O550" s="20"/>
      <c r="P550" s="20"/>
      <c r="Q550" s="20"/>
      <c r="R550" s="20"/>
    </row>
    <row r="551">
      <c r="A551" s="20"/>
      <c r="B551" s="20"/>
      <c r="C551" s="20"/>
      <c r="D551" s="20"/>
      <c r="E551" s="20"/>
      <c r="F551" s="20"/>
      <c r="G551" s="20"/>
      <c r="H551" s="20"/>
      <c r="I551" s="20"/>
      <c r="J551" s="20"/>
      <c r="K551" s="20"/>
      <c r="L551" s="20"/>
      <c r="M551" s="20"/>
      <c r="N551" s="20"/>
      <c r="O551" s="20"/>
      <c r="P551" s="20"/>
      <c r="Q551" s="20"/>
      <c r="R551" s="20"/>
    </row>
    <row r="552">
      <c r="A552" s="20"/>
      <c r="B552" s="20"/>
      <c r="C552" s="20"/>
      <c r="D552" s="20"/>
      <c r="E552" s="20"/>
      <c r="F552" s="20"/>
      <c r="G552" s="20"/>
      <c r="H552" s="20"/>
      <c r="I552" s="20"/>
      <c r="J552" s="20"/>
      <c r="K552" s="20"/>
      <c r="L552" s="20"/>
      <c r="M552" s="20"/>
      <c r="N552" s="20"/>
      <c r="O552" s="20"/>
      <c r="P552" s="20"/>
      <c r="Q552" s="20"/>
      <c r="R552" s="20"/>
    </row>
    <row r="553">
      <c r="A553" s="20"/>
      <c r="B553" s="20"/>
      <c r="C553" s="20"/>
      <c r="D553" s="20"/>
      <c r="E553" s="20"/>
      <c r="F553" s="20"/>
      <c r="G553" s="20"/>
      <c r="H553" s="20"/>
      <c r="I553" s="20"/>
      <c r="J553" s="20"/>
      <c r="K553" s="20"/>
      <c r="L553" s="20"/>
      <c r="M553" s="20"/>
      <c r="N553" s="20"/>
      <c r="O553" s="20"/>
      <c r="P553" s="20"/>
      <c r="Q553" s="20"/>
      <c r="R553" s="20"/>
    </row>
    <row r="554">
      <c r="A554" s="20"/>
      <c r="B554" s="20"/>
      <c r="C554" s="20"/>
      <c r="D554" s="20"/>
      <c r="E554" s="20"/>
      <c r="F554" s="20"/>
      <c r="G554" s="20"/>
      <c r="H554" s="20"/>
      <c r="I554" s="20"/>
      <c r="J554" s="20"/>
      <c r="K554" s="20"/>
      <c r="L554" s="20"/>
      <c r="M554" s="20"/>
      <c r="N554" s="20"/>
      <c r="O554" s="20"/>
      <c r="P554" s="20"/>
      <c r="Q554" s="20"/>
      <c r="R554" s="20"/>
    </row>
    <row r="555">
      <c r="A555" s="20"/>
      <c r="B555" s="20"/>
      <c r="C555" s="20"/>
      <c r="D555" s="20"/>
      <c r="E555" s="20"/>
      <c r="F555" s="20"/>
      <c r="G555" s="20"/>
      <c r="H555" s="20"/>
      <c r="I555" s="20"/>
      <c r="J555" s="20"/>
      <c r="K555" s="20"/>
      <c r="L555" s="20"/>
      <c r="M555" s="20"/>
      <c r="N555" s="20"/>
      <c r="O555" s="20"/>
      <c r="P555" s="20"/>
      <c r="Q555" s="20"/>
      <c r="R555" s="20"/>
    </row>
    <row r="556">
      <c r="A556" s="20"/>
      <c r="B556" s="20"/>
      <c r="C556" s="20"/>
      <c r="D556" s="20"/>
      <c r="E556" s="20"/>
      <c r="F556" s="20"/>
      <c r="G556" s="20"/>
      <c r="H556" s="20"/>
      <c r="I556" s="20"/>
      <c r="J556" s="20"/>
      <c r="K556" s="20"/>
      <c r="L556" s="20"/>
      <c r="M556" s="20"/>
      <c r="N556" s="20"/>
      <c r="O556" s="20"/>
      <c r="P556" s="20"/>
      <c r="Q556" s="20"/>
      <c r="R556" s="20"/>
    </row>
    <row r="557">
      <c r="A557" s="20"/>
      <c r="B557" s="20"/>
      <c r="C557" s="20"/>
      <c r="D557" s="20"/>
      <c r="E557" s="20"/>
      <c r="F557" s="20"/>
      <c r="G557" s="20"/>
      <c r="H557" s="20"/>
      <c r="I557" s="20"/>
      <c r="J557" s="20"/>
      <c r="K557" s="20"/>
      <c r="L557" s="20"/>
      <c r="M557" s="20"/>
      <c r="N557" s="20"/>
      <c r="O557" s="20"/>
      <c r="P557" s="20"/>
      <c r="Q557" s="20"/>
      <c r="R557" s="20"/>
    </row>
    <row r="558">
      <c r="A558" s="20"/>
      <c r="B558" s="20"/>
      <c r="C558" s="20"/>
      <c r="D558" s="20"/>
      <c r="E558" s="20"/>
      <c r="F558" s="20"/>
      <c r="G558" s="20"/>
      <c r="H558" s="20"/>
      <c r="I558" s="20"/>
      <c r="J558" s="20"/>
      <c r="K558" s="20"/>
      <c r="L558" s="20"/>
      <c r="M558" s="20"/>
      <c r="N558" s="20"/>
      <c r="O558" s="20"/>
      <c r="P558" s="20"/>
      <c r="Q558" s="20"/>
      <c r="R558" s="20"/>
    </row>
    <row r="559">
      <c r="A559" s="20"/>
      <c r="B559" s="20"/>
      <c r="C559" s="20"/>
      <c r="D559" s="20"/>
      <c r="E559" s="20"/>
      <c r="F559" s="20"/>
      <c r="G559" s="20"/>
      <c r="H559" s="20"/>
      <c r="I559" s="20"/>
      <c r="J559" s="20"/>
      <c r="K559" s="20"/>
      <c r="L559" s="20"/>
      <c r="M559" s="20"/>
      <c r="N559" s="20"/>
      <c r="O559" s="20"/>
      <c r="P559" s="20"/>
      <c r="Q559" s="20"/>
      <c r="R559" s="20"/>
    </row>
    <row r="560">
      <c r="A560" s="20"/>
      <c r="B560" s="20"/>
      <c r="C560" s="20"/>
      <c r="D560" s="20"/>
      <c r="E560" s="20"/>
      <c r="F560" s="20"/>
      <c r="G560" s="20"/>
      <c r="H560" s="20"/>
      <c r="I560" s="20"/>
      <c r="J560" s="20"/>
      <c r="K560" s="20"/>
      <c r="L560" s="20"/>
      <c r="M560" s="20"/>
      <c r="N560" s="20"/>
      <c r="O560" s="20"/>
      <c r="P560" s="20"/>
      <c r="Q560" s="20"/>
      <c r="R560" s="20"/>
    </row>
    <row r="561">
      <c r="A561" s="20"/>
      <c r="B561" s="20"/>
      <c r="C561" s="20"/>
      <c r="D561" s="20"/>
      <c r="E561" s="20"/>
      <c r="F561" s="20"/>
      <c r="G561" s="20"/>
      <c r="H561" s="20"/>
      <c r="I561" s="20"/>
      <c r="J561" s="20"/>
      <c r="K561" s="20"/>
      <c r="L561" s="20"/>
      <c r="M561" s="20"/>
      <c r="N561" s="20"/>
      <c r="O561" s="20"/>
      <c r="P561" s="20"/>
      <c r="Q561" s="20"/>
      <c r="R561" s="20"/>
    </row>
    <row r="562">
      <c r="A562" s="20"/>
      <c r="B562" s="20"/>
      <c r="C562" s="20"/>
      <c r="D562" s="20"/>
      <c r="E562" s="20"/>
      <c r="F562" s="20"/>
      <c r="G562" s="20"/>
      <c r="H562" s="20"/>
      <c r="I562" s="20"/>
      <c r="J562" s="20"/>
      <c r="K562" s="20"/>
      <c r="L562" s="20"/>
      <c r="M562" s="20"/>
      <c r="N562" s="20"/>
      <c r="O562" s="20"/>
      <c r="P562" s="20"/>
      <c r="Q562" s="20"/>
      <c r="R562" s="20"/>
    </row>
    <row r="563">
      <c r="A563" s="20"/>
      <c r="B563" s="20"/>
      <c r="C563" s="20"/>
      <c r="D563" s="20"/>
      <c r="E563" s="20"/>
      <c r="F563" s="20"/>
      <c r="G563" s="20"/>
      <c r="H563" s="20"/>
      <c r="I563" s="20"/>
      <c r="J563" s="20"/>
      <c r="K563" s="20"/>
      <c r="L563" s="20"/>
      <c r="M563" s="20"/>
      <c r="N563" s="20"/>
      <c r="O563" s="20"/>
      <c r="P563" s="20"/>
      <c r="Q563" s="20"/>
      <c r="R563" s="20"/>
    </row>
    <row r="564">
      <c r="A564" s="20"/>
      <c r="B564" s="20"/>
      <c r="C564" s="20"/>
      <c r="D564" s="20"/>
      <c r="E564" s="20"/>
      <c r="F564" s="20"/>
      <c r="G564" s="20"/>
      <c r="H564" s="20"/>
      <c r="I564" s="20"/>
      <c r="J564" s="20"/>
      <c r="K564" s="20"/>
      <c r="L564" s="20"/>
      <c r="M564" s="20"/>
      <c r="N564" s="20"/>
      <c r="O564" s="20"/>
      <c r="P564" s="20"/>
      <c r="Q564" s="20"/>
      <c r="R564" s="20"/>
    </row>
    <row r="565">
      <c r="A565" s="20"/>
      <c r="B565" s="20"/>
      <c r="C565" s="20"/>
      <c r="D565" s="20"/>
      <c r="E565" s="20"/>
      <c r="F565" s="20"/>
      <c r="G565" s="20"/>
      <c r="H565" s="20"/>
      <c r="I565" s="20"/>
      <c r="J565" s="20"/>
      <c r="K565" s="20"/>
      <c r="L565" s="20"/>
      <c r="M565" s="20"/>
      <c r="N565" s="20"/>
      <c r="O565" s="20"/>
      <c r="P565" s="20"/>
      <c r="Q565" s="20"/>
      <c r="R565" s="20"/>
    </row>
    <row r="566">
      <c r="A566" s="20"/>
      <c r="B566" s="20"/>
      <c r="C566" s="20"/>
      <c r="D566" s="20"/>
      <c r="E566" s="20"/>
      <c r="F566" s="20"/>
      <c r="G566" s="20"/>
      <c r="H566" s="20"/>
      <c r="I566" s="20"/>
      <c r="J566" s="20"/>
      <c r="K566" s="20"/>
      <c r="L566" s="20"/>
      <c r="M566" s="20"/>
      <c r="N566" s="20"/>
      <c r="O566" s="20"/>
      <c r="P566" s="20"/>
      <c r="Q566" s="20"/>
      <c r="R566" s="20"/>
    </row>
    <row r="567">
      <c r="A567" s="20"/>
      <c r="B567" s="20"/>
      <c r="C567" s="20"/>
      <c r="D567" s="20"/>
      <c r="E567" s="20"/>
      <c r="F567" s="20"/>
      <c r="G567" s="20"/>
      <c r="H567" s="20"/>
      <c r="I567" s="20"/>
      <c r="J567" s="20"/>
      <c r="K567" s="20"/>
      <c r="L567" s="20"/>
      <c r="M567" s="20"/>
      <c r="N567" s="20"/>
      <c r="O567" s="20"/>
      <c r="P567" s="20"/>
      <c r="Q567" s="20"/>
      <c r="R567" s="20"/>
    </row>
    <row r="568">
      <c r="A568" s="20"/>
      <c r="B568" s="20"/>
      <c r="C568" s="20"/>
      <c r="D568" s="20"/>
      <c r="E568" s="20"/>
      <c r="F568" s="20"/>
      <c r="G568" s="20"/>
      <c r="H568" s="20"/>
      <c r="I568" s="20"/>
      <c r="J568" s="20"/>
      <c r="K568" s="20"/>
      <c r="L568" s="20"/>
      <c r="M568" s="20"/>
      <c r="N568" s="20"/>
      <c r="O568" s="20"/>
      <c r="P568" s="20"/>
      <c r="Q568" s="20"/>
      <c r="R568" s="20"/>
    </row>
    <row r="569">
      <c r="A569" s="20"/>
      <c r="B569" s="20"/>
      <c r="C569" s="20"/>
      <c r="D569" s="20"/>
      <c r="E569" s="20"/>
      <c r="F569" s="20"/>
      <c r="G569" s="20"/>
      <c r="H569" s="20"/>
      <c r="I569" s="20"/>
      <c r="J569" s="20"/>
      <c r="K569" s="20"/>
      <c r="L569" s="20"/>
      <c r="M569" s="20"/>
      <c r="N569" s="20"/>
      <c r="O569" s="20"/>
      <c r="P569" s="20"/>
      <c r="Q569" s="20"/>
      <c r="R569" s="20"/>
    </row>
    <row r="570">
      <c r="A570" s="20"/>
      <c r="B570" s="20"/>
      <c r="C570" s="20"/>
      <c r="D570" s="20"/>
      <c r="E570" s="20"/>
      <c r="F570" s="20"/>
      <c r="G570" s="20"/>
      <c r="H570" s="20"/>
      <c r="I570" s="20"/>
      <c r="J570" s="20"/>
      <c r="K570" s="20"/>
      <c r="L570" s="20"/>
      <c r="M570" s="20"/>
      <c r="N570" s="20"/>
      <c r="O570" s="20"/>
      <c r="P570" s="20"/>
      <c r="Q570" s="20"/>
      <c r="R570" s="20"/>
    </row>
    <row r="571">
      <c r="A571" s="20"/>
      <c r="B571" s="20"/>
      <c r="C571" s="20"/>
      <c r="D571" s="20"/>
      <c r="E571" s="20"/>
      <c r="F571" s="20"/>
      <c r="G571" s="20"/>
      <c r="H571" s="20"/>
      <c r="I571" s="20"/>
      <c r="J571" s="20"/>
      <c r="K571" s="20"/>
      <c r="L571" s="20"/>
      <c r="M571" s="20"/>
      <c r="N571" s="20"/>
      <c r="O571" s="20"/>
      <c r="P571" s="20"/>
      <c r="Q571" s="20"/>
      <c r="R571" s="20"/>
    </row>
    <row r="572">
      <c r="A572" s="20"/>
      <c r="B572" s="20"/>
      <c r="C572" s="20"/>
      <c r="D572" s="20"/>
      <c r="E572" s="20"/>
      <c r="F572" s="20"/>
      <c r="G572" s="20"/>
      <c r="H572" s="20"/>
      <c r="I572" s="20"/>
      <c r="J572" s="20"/>
      <c r="K572" s="20"/>
      <c r="L572" s="20"/>
      <c r="M572" s="20"/>
      <c r="N572" s="20"/>
      <c r="O572" s="20"/>
      <c r="P572" s="20"/>
      <c r="Q572" s="20"/>
      <c r="R572" s="20"/>
    </row>
    <row r="573">
      <c r="A573" s="20"/>
      <c r="B573" s="20"/>
      <c r="C573" s="20"/>
      <c r="D573" s="20"/>
      <c r="E573" s="20"/>
      <c r="F573" s="20"/>
      <c r="G573" s="20"/>
      <c r="H573" s="20"/>
      <c r="I573" s="20"/>
      <c r="J573" s="20"/>
      <c r="K573" s="20"/>
      <c r="L573" s="20"/>
      <c r="M573" s="20"/>
      <c r="N573" s="20"/>
      <c r="O573" s="20"/>
      <c r="P573" s="20"/>
      <c r="Q573" s="20"/>
      <c r="R573" s="20"/>
    </row>
    <row r="574">
      <c r="A574" s="20"/>
      <c r="B574" s="20"/>
      <c r="C574" s="20"/>
      <c r="D574" s="20"/>
      <c r="E574" s="20"/>
      <c r="F574" s="20"/>
      <c r="G574" s="20"/>
      <c r="H574" s="20"/>
      <c r="I574" s="20"/>
      <c r="J574" s="20"/>
      <c r="K574" s="20"/>
      <c r="L574" s="20"/>
      <c r="M574" s="20"/>
      <c r="N574" s="20"/>
      <c r="O574" s="20"/>
      <c r="P574" s="20"/>
      <c r="Q574" s="20"/>
      <c r="R574" s="20"/>
    </row>
    <row r="575">
      <c r="A575" s="20"/>
      <c r="B575" s="20"/>
      <c r="C575" s="20"/>
      <c r="D575" s="20"/>
      <c r="E575" s="20"/>
      <c r="F575" s="20"/>
      <c r="G575" s="20"/>
      <c r="H575" s="20"/>
      <c r="I575" s="20"/>
      <c r="J575" s="20"/>
      <c r="K575" s="20"/>
      <c r="L575" s="20"/>
      <c r="M575" s="20"/>
      <c r="N575" s="20"/>
      <c r="O575" s="20"/>
      <c r="P575" s="20"/>
      <c r="Q575" s="20"/>
      <c r="R575" s="20"/>
    </row>
    <row r="576">
      <c r="A576" s="20"/>
      <c r="B576" s="20"/>
      <c r="C576" s="20"/>
      <c r="D576" s="20"/>
      <c r="E576" s="20"/>
      <c r="F576" s="20"/>
      <c r="G576" s="20"/>
      <c r="H576" s="20"/>
      <c r="I576" s="20"/>
      <c r="J576" s="20"/>
      <c r="K576" s="20"/>
      <c r="L576" s="20"/>
      <c r="M576" s="20"/>
      <c r="N576" s="20"/>
      <c r="O576" s="20"/>
      <c r="P576" s="20"/>
      <c r="Q576" s="20"/>
      <c r="R576" s="20"/>
    </row>
    <row r="577">
      <c r="A577" s="20"/>
      <c r="B577" s="20"/>
      <c r="C577" s="20"/>
      <c r="D577" s="20"/>
      <c r="E577" s="20"/>
      <c r="F577" s="20"/>
      <c r="G577" s="20"/>
      <c r="H577" s="20"/>
      <c r="I577" s="20"/>
      <c r="J577" s="20"/>
      <c r="K577" s="20"/>
      <c r="L577" s="20"/>
      <c r="M577" s="20"/>
      <c r="N577" s="20"/>
      <c r="O577" s="20"/>
      <c r="P577" s="20"/>
      <c r="Q577" s="20"/>
      <c r="R577" s="20"/>
    </row>
    <row r="578">
      <c r="A578" s="20"/>
      <c r="B578" s="20"/>
      <c r="C578" s="20"/>
      <c r="D578" s="20"/>
      <c r="E578" s="20"/>
      <c r="F578" s="20"/>
      <c r="G578" s="20"/>
      <c r="H578" s="20"/>
      <c r="I578" s="20"/>
      <c r="J578" s="20"/>
      <c r="K578" s="20"/>
      <c r="L578" s="20"/>
      <c r="M578" s="20"/>
      <c r="N578" s="20"/>
      <c r="O578" s="20"/>
      <c r="P578" s="20"/>
      <c r="Q578" s="20"/>
      <c r="R578" s="20"/>
    </row>
    <row r="579">
      <c r="A579" s="20"/>
      <c r="B579" s="20"/>
      <c r="C579" s="20"/>
      <c r="D579" s="20"/>
      <c r="E579" s="20"/>
      <c r="F579" s="20"/>
      <c r="G579" s="20"/>
      <c r="H579" s="20"/>
      <c r="I579" s="20"/>
      <c r="J579" s="20"/>
      <c r="K579" s="20"/>
      <c r="L579" s="20"/>
      <c r="M579" s="20"/>
      <c r="N579" s="20"/>
      <c r="O579" s="20"/>
      <c r="P579" s="20"/>
      <c r="Q579" s="20"/>
      <c r="R579" s="20"/>
    </row>
    <row r="580">
      <c r="A580" s="20"/>
      <c r="B580" s="20"/>
      <c r="C580" s="20"/>
      <c r="D580" s="20"/>
      <c r="E580" s="20"/>
      <c r="F580" s="20"/>
      <c r="G580" s="20"/>
      <c r="H580" s="20"/>
      <c r="I580" s="20"/>
      <c r="J580" s="20"/>
      <c r="K580" s="20"/>
      <c r="L580" s="20"/>
      <c r="M580" s="20"/>
      <c r="N580" s="20"/>
      <c r="O580" s="20"/>
      <c r="P580" s="20"/>
      <c r="Q580" s="20"/>
      <c r="R580" s="20"/>
    </row>
    <row r="581">
      <c r="A581" s="20"/>
      <c r="B581" s="20"/>
      <c r="C581" s="20"/>
      <c r="D581" s="20"/>
      <c r="E581" s="20"/>
      <c r="F581" s="20"/>
      <c r="G581" s="20"/>
      <c r="H581" s="20"/>
      <c r="I581" s="20"/>
      <c r="J581" s="20"/>
      <c r="K581" s="20"/>
      <c r="L581" s="20"/>
      <c r="M581" s="20"/>
      <c r="N581" s="20"/>
      <c r="O581" s="20"/>
      <c r="P581" s="20"/>
      <c r="Q581" s="20"/>
      <c r="R581" s="20"/>
    </row>
    <row r="582">
      <c r="A582" s="20"/>
      <c r="B582" s="20"/>
      <c r="C582" s="20"/>
      <c r="D582" s="20"/>
      <c r="E582" s="20"/>
      <c r="F582" s="20"/>
      <c r="G582" s="20"/>
      <c r="H582" s="20"/>
      <c r="I582" s="20"/>
      <c r="J582" s="20"/>
      <c r="K582" s="20"/>
      <c r="L582" s="20"/>
      <c r="M582" s="20"/>
      <c r="N582" s="20"/>
      <c r="O582" s="20"/>
      <c r="P582" s="20"/>
      <c r="Q582" s="20"/>
      <c r="R582" s="20"/>
    </row>
    <row r="583">
      <c r="A583" s="20"/>
      <c r="B583" s="20"/>
      <c r="C583" s="20"/>
      <c r="D583" s="20"/>
      <c r="E583" s="20"/>
      <c r="F583" s="20"/>
      <c r="G583" s="20"/>
      <c r="H583" s="20"/>
      <c r="I583" s="20"/>
      <c r="J583" s="20"/>
      <c r="K583" s="20"/>
      <c r="L583" s="20"/>
      <c r="M583" s="20"/>
      <c r="N583" s="20"/>
      <c r="O583" s="20"/>
      <c r="P583" s="20"/>
      <c r="Q583" s="20"/>
      <c r="R583" s="20"/>
    </row>
    <row r="584">
      <c r="A584" s="20"/>
      <c r="B584" s="20"/>
      <c r="C584" s="20"/>
      <c r="D584" s="20"/>
      <c r="E584" s="20"/>
      <c r="F584" s="20"/>
      <c r="G584" s="20"/>
      <c r="H584" s="20"/>
      <c r="I584" s="20"/>
      <c r="J584" s="20"/>
      <c r="K584" s="20"/>
      <c r="L584" s="20"/>
      <c r="M584" s="20"/>
      <c r="N584" s="20"/>
      <c r="O584" s="20"/>
      <c r="P584" s="20"/>
      <c r="Q584" s="20"/>
      <c r="R584" s="20"/>
    </row>
    <row r="585">
      <c r="A585" s="20"/>
      <c r="B585" s="20"/>
      <c r="C585" s="20"/>
      <c r="D585" s="20"/>
      <c r="E585" s="20"/>
      <c r="F585" s="20"/>
      <c r="G585" s="20"/>
      <c r="H585" s="20"/>
      <c r="I585" s="20"/>
      <c r="J585" s="20"/>
      <c r="K585" s="20"/>
      <c r="L585" s="20"/>
      <c r="M585" s="20"/>
      <c r="N585" s="20"/>
      <c r="O585" s="20"/>
      <c r="P585" s="20"/>
      <c r="Q585" s="20"/>
      <c r="R585" s="20"/>
    </row>
    <row r="586">
      <c r="A586" s="20"/>
      <c r="B586" s="20"/>
      <c r="C586" s="20"/>
      <c r="D586" s="20"/>
      <c r="E586" s="20"/>
      <c r="F586" s="20"/>
      <c r="G586" s="20"/>
      <c r="H586" s="20"/>
      <c r="I586" s="20"/>
      <c r="J586" s="20"/>
      <c r="K586" s="20"/>
      <c r="L586" s="20"/>
      <c r="M586" s="20"/>
      <c r="N586" s="20"/>
      <c r="O586" s="20"/>
      <c r="P586" s="20"/>
      <c r="Q586" s="20"/>
      <c r="R586" s="20"/>
    </row>
    <row r="587">
      <c r="A587" s="20"/>
      <c r="B587" s="20"/>
      <c r="C587" s="20"/>
      <c r="D587" s="20"/>
      <c r="E587" s="20"/>
      <c r="F587" s="20"/>
      <c r="G587" s="20"/>
      <c r="H587" s="20"/>
      <c r="I587" s="20"/>
      <c r="J587" s="20"/>
      <c r="K587" s="20"/>
      <c r="L587" s="20"/>
      <c r="M587" s="20"/>
      <c r="N587" s="20"/>
      <c r="O587" s="20"/>
      <c r="P587" s="20"/>
      <c r="Q587" s="20"/>
      <c r="R587" s="20"/>
    </row>
    <row r="588">
      <c r="A588" s="20"/>
      <c r="B588" s="20"/>
      <c r="C588" s="20"/>
      <c r="D588" s="20"/>
      <c r="E588" s="20"/>
      <c r="F588" s="20"/>
      <c r="G588" s="20"/>
      <c r="H588" s="20"/>
      <c r="I588" s="20"/>
      <c r="J588" s="20"/>
      <c r="K588" s="20"/>
      <c r="L588" s="20"/>
      <c r="M588" s="20"/>
      <c r="N588" s="20"/>
      <c r="O588" s="20"/>
      <c r="P588" s="20"/>
      <c r="Q588" s="20"/>
      <c r="R588" s="20"/>
    </row>
    <row r="589">
      <c r="A589" s="20"/>
      <c r="B589" s="20"/>
      <c r="C589" s="20"/>
      <c r="D589" s="20"/>
      <c r="E589" s="20"/>
      <c r="F589" s="20"/>
      <c r="G589" s="20"/>
      <c r="H589" s="20"/>
      <c r="I589" s="20"/>
      <c r="J589" s="20"/>
      <c r="K589" s="20"/>
      <c r="L589" s="20"/>
      <c r="M589" s="20"/>
      <c r="N589" s="20"/>
      <c r="O589" s="20"/>
      <c r="P589" s="20"/>
      <c r="Q589" s="20"/>
      <c r="R589" s="20"/>
    </row>
    <row r="590">
      <c r="A590" s="20"/>
      <c r="B590" s="20"/>
      <c r="C590" s="20"/>
      <c r="D590" s="20"/>
      <c r="E590" s="20"/>
      <c r="F590" s="20"/>
      <c r="G590" s="20"/>
      <c r="H590" s="20"/>
      <c r="I590" s="20"/>
      <c r="J590" s="20"/>
      <c r="K590" s="20"/>
      <c r="L590" s="20"/>
      <c r="M590" s="20"/>
      <c r="N590" s="20"/>
      <c r="O590" s="20"/>
      <c r="P590" s="20"/>
      <c r="Q590" s="20"/>
      <c r="R590" s="20"/>
    </row>
    <row r="591">
      <c r="A591" s="20"/>
      <c r="B591" s="20"/>
      <c r="C591" s="20"/>
      <c r="D591" s="20"/>
      <c r="E591" s="20"/>
      <c r="F591" s="20"/>
      <c r="G591" s="20"/>
      <c r="H591" s="20"/>
      <c r="I591" s="20"/>
      <c r="J591" s="20"/>
      <c r="K591" s="20"/>
      <c r="L591" s="20"/>
      <c r="M591" s="20"/>
      <c r="N591" s="20"/>
      <c r="O591" s="20"/>
      <c r="P591" s="20"/>
      <c r="Q591" s="20"/>
      <c r="R591" s="20"/>
    </row>
    <row r="592">
      <c r="A592" s="20"/>
      <c r="B592" s="20"/>
      <c r="C592" s="20"/>
      <c r="D592" s="20"/>
      <c r="E592" s="20"/>
      <c r="F592" s="20"/>
      <c r="G592" s="20"/>
      <c r="H592" s="20"/>
      <c r="I592" s="20"/>
      <c r="J592" s="20"/>
      <c r="K592" s="20"/>
      <c r="L592" s="20"/>
      <c r="M592" s="20"/>
      <c r="N592" s="20"/>
      <c r="O592" s="20"/>
      <c r="P592" s="20"/>
      <c r="Q592" s="20"/>
      <c r="R592" s="20"/>
    </row>
    <row r="593">
      <c r="A593" s="20"/>
      <c r="B593" s="20"/>
      <c r="C593" s="20"/>
      <c r="D593" s="20"/>
      <c r="E593" s="20"/>
      <c r="F593" s="20"/>
      <c r="G593" s="20"/>
      <c r="H593" s="20"/>
      <c r="I593" s="20"/>
      <c r="J593" s="20"/>
      <c r="K593" s="20"/>
      <c r="L593" s="20"/>
      <c r="M593" s="20"/>
      <c r="N593" s="20"/>
      <c r="O593" s="20"/>
      <c r="P593" s="20"/>
      <c r="Q593" s="20"/>
      <c r="R593" s="20"/>
    </row>
    <row r="594">
      <c r="A594" s="20"/>
      <c r="B594" s="20"/>
      <c r="C594" s="20"/>
      <c r="D594" s="20"/>
      <c r="E594" s="20"/>
      <c r="F594" s="20"/>
      <c r="G594" s="20"/>
      <c r="H594" s="20"/>
      <c r="I594" s="20"/>
      <c r="J594" s="20"/>
      <c r="K594" s="20"/>
      <c r="L594" s="20"/>
      <c r="M594" s="20"/>
      <c r="N594" s="20"/>
      <c r="O594" s="20"/>
      <c r="P594" s="20"/>
      <c r="Q594" s="20"/>
      <c r="R594" s="20"/>
    </row>
    <row r="595">
      <c r="A595" s="20"/>
      <c r="B595" s="20"/>
      <c r="C595" s="20"/>
      <c r="D595" s="20"/>
      <c r="E595" s="20"/>
      <c r="F595" s="20"/>
      <c r="G595" s="20"/>
      <c r="H595" s="20"/>
      <c r="I595" s="20"/>
      <c r="J595" s="20"/>
      <c r="K595" s="20"/>
      <c r="L595" s="20"/>
      <c r="M595" s="20"/>
      <c r="N595" s="20"/>
      <c r="O595" s="20"/>
      <c r="P595" s="20"/>
      <c r="Q595" s="20"/>
      <c r="R595" s="20"/>
    </row>
    <row r="596">
      <c r="A596" s="20"/>
      <c r="B596" s="20"/>
      <c r="C596" s="20"/>
      <c r="D596" s="20"/>
      <c r="E596" s="20"/>
      <c r="F596" s="20"/>
      <c r="G596" s="20"/>
      <c r="H596" s="20"/>
      <c r="I596" s="20"/>
      <c r="J596" s="20"/>
      <c r="K596" s="20"/>
      <c r="L596" s="20"/>
      <c r="M596" s="20"/>
      <c r="N596" s="20"/>
      <c r="O596" s="20"/>
      <c r="P596" s="20"/>
      <c r="Q596" s="20"/>
      <c r="R596" s="20"/>
    </row>
    <row r="597">
      <c r="A597" s="20"/>
      <c r="B597" s="20"/>
      <c r="C597" s="20"/>
      <c r="D597" s="20"/>
      <c r="E597" s="20"/>
      <c r="F597" s="20"/>
      <c r="G597" s="20"/>
      <c r="H597" s="20"/>
      <c r="I597" s="20"/>
      <c r="J597" s="20"/>
      <c r="K597" s="20"/>
      <c r="L597" s="20"/>
      <c r="M597" s="20"/>
      <c r="N597" s="20"/>
      <c r="O597" s="20"/>
      <c r="P597" s="20"/>
      <c r="Q597" s="20"/>
      <c r="R597" s="20"/>
    </row>
    <row r="598">
      <c r="A598" s="20"/>
      <c r="B598" s="20"/>
      <c r="C598" s="20"/>
      <c r="D598" s="20"/>
      <c r="E598" s="20"/>
      <c r="F598" s="20"/>
      <c r="G598" s="20"/>
      <c r="H598" s="20"/>
      <c r="I598" s="20"/>
      <c r="J598" s="20"/>
      <c r="K598" s="20"/>
      <c r="L598" s="20"/>
      <c r="M598" s="20"/>
      <c r="N598" s="20"/>
      <c r="O598" s="20"/>
      <c r="P598" s="20"/>
      <c r="Q598" s="20"/>
      <c r="R598" s="20"/>
    </row>
    <row r="599">
      <c r="A599" s="20"/>
      <c r="B599" s="20"/>
      <c r="C599" s="20"/>
      <c r="D599" s="20"/>
      <c r="E599" s="20"/>
      <c r="F599" s="20"/>
      <c r="G599" s="20"/>
      <c r="H599" s="20"/>
      <c r="I599" s="20"/>
      <c r="J599" s="20"/>
      <c r="K599" s="20"/>
      <c r="L599" s="20"/>
      <c r="M599" s="20"/>
      <c r="N599" s="20"/>
      <c r="O599" s="20"/>
      <c r="P599" s="20"/>
      <c r="Q599" s="20"/>
      <c r="R599" s="20"/>
    </row>
    <row r="600">
      <c r="A600" s="20"/>
      <c r="B600" s="20"/>
      <c r="C600" s="20"/>
      <c r="D600" s="20"/>
      <c r="E600" s="20"/>
      <c r="F600" s="20"/>
      <c r="G600" s="20"/>
      <c r="H600" s="20"/>
      <c r="I600" s="20"/>
      <c r="J600" s="20"/>
      <c r="K600" s="20"/>
      <c r="L600" s="20"/>
      <c r="M600" s="20"/>
      <c r="N600" s="20"/>
      <c r="O600" s="20"/>
      <c r="P600" s="20"/>
      <c r="Q600" s="20"/>
      <c r="R600" s="20"/>
    </row>
    <row r="601">
      <c r="A601" s="20"/>
      <c r="B601" s="20"/>
      <c r="C601" s="20"/>
      <c r="D601" s="20"/>
      <c r="E601" s="20"/>
      <c r="F601" s="20"/>
      <c r="G601" s="20"/>
      <c r="H601" s="20"/>
      <c r="I601" s="20"/>
      <c r="J601" s="20"/>
      <c r="K601" s="20"/>
      <c r="L601" s="20"/>
      <c r="M601" s="20"/>
      <c r="N601" s="20"/>
      <c r="O601" s="20"/>
      <c r="P601" s="20"/>
      <c r="Q601" s="20"/>
      <c r="R601" s="20"/>
    </row>
    <row r="602">
      <c r="A602" s="20"/>
      <c r="B602" s="20"/>
      <c r="C602" s="20"/>
      <c r="D602" s="20"/>
      <c r="E602" s="20"/>
      <c r="F602" s="20"/>
      <c r="G602" s="20"/>
      <c r="H602" s="20"/>
      <c r="I602" s="20"/>
      <c r="J602" s="20"/>
      <c r="K602" s="20"/>
      <c r="L602" s="20"/>
      <c r="M602" s="20"/>
      <c r="N602" s="20"/>
      <c r="O602" s="20"/>
      <c r="P602" s="20"/>
      <c r="Q602" s="20"/>
      <c r="R602" s="20"/>
    </row>
    <row r="603">
      <c r="A603" s="20"/>
      <c r="B603" s="20"/>
      <c r="C603" s="20"/>
      <c r="D603" s="20"/>
      <c r="E603" s="20"/>
      <c r="F603" s="20"/>
      <c r="G603" s="20"/>
      <c r="H603" s="20"/>
      <c r="I603" s="20"/>
      <c r="J603" s="20"/>
      <c r="K603" s="20"/>
      <c r="L603" s="20"/>
      <c r="M603" s="20"/>
      <c r="N603" s="20"/>
      <c r="O603" s="20"/>
      <c r="P603" s="20"/>
      <c r="Q603" s="20"/>
      <c r="R603" s="20"/>
    </row>
    <row r="604">
      <c r="A604" s="20"/>
      <c r="B604" s="20"/>
      <c r="C604" s="20"/>
      <c r="D604" s="20"/>
      <c r="E604" s="20"/>
      <c r="F604" s="20"/>
      <c r="G604" s="20"/>
      <c r="H604" s="20"/>
      <c r="I604" s="20"/>
      <c r="J604" s="20"/>
      <c r="K604" s="20"/>
      <c r="L604" s="20"/>
      <c r="M604" s="20"/>
      <c r="N604" s="20"/>
      <c r="O604" s="20"/>
      <c r="P604" s="20"/>
      <c r="Q604" s="20"/>
      <c r="R604" s="20"/>
    </row>
    <row r="605">
      <c r="A605" s="20"/>
      <c r="B605" s="20"/>
      <c r="C605" s="20"/>
      <c r="D605" s="20"/>
      <c r="E605" s="20"/>
      <c r="F605" s="20"/>
      <c r="G605" s="20"/>
      <c r="H605" s="20"/>
      <c r="I605" s="20"/>
      <c r="J605" s="20"/>
      <c r="K605" s="20"/>
      <c r="L605" s="20"/>
      <c r="M605" s="20"/>
      <c r="N605" s="20"/>
      <c r="O605" s="20"/>
      <c r="P605" s="20"/>
      <c r="Q605" s="20"/>
      <c r="R605" s="20"/>
    </row>
    <row r="606">
      <c r="A606" s="20"/>
      <c r="B606" s="20"/>
      <c r="C606" s="20"/>
      <c r="D606" s="20"/>
      <c r="E606" s="20"/>
      <c r="F606" s="20"/>
      <c r="G606" s="20"/>
      <c r="H606" s="20"/>
      <c r="I606" s="20"/>
      <c r="J606" s="20"/>
      <c r="K606" s="20"/>
      <c r="L606" s="20"/>
      <c r="M606" s="20"/>
      <c r="N606" s="20"/>
      <c r="O606" s="20"/>
      <c r="P606" s="20"/>
      <c r="Q606" s="20"/>
      <c r="R606" s="20"/>
    </row>
    <row r="607">
      <c r="A607" s="20"/>
      <c r="B607" s="20"/>
      <c r="C607" s="20"/>
      <c r="D607" s="20"/>
      <c r="E607" s="20"/>
      <c r="F607" s="20"/>
      <c r="G607" s="20"/>
      <c r="H607" s="20"/>
      <c r="I607" s="20"/>
      <c r="J607" s="20"/>
      <c r="K607" s="20"/>
      <c r="L607" s="20"/>
      <c r="M607" s="20"/>
      <c r="N607" s="20"/>
      <c r="O607" s="20"/>
      <c r="P607" s="20"/>
      <c r="Q607" s="20"/>
      <c r="R607" s="20"/>
    </row>
    <row r="608">
      <c r="A608" s="20"/>
      <c r="B608" s="20"/>
      <c r="C608" s="20"/>
      <c r="D608" s="20"/>
      <c r="E608" s="20"/>
      <c r="F608" s="20"/>
      <c r="G608" s="20"/>
      <c r="H608" s="20"/>
      <c r="I608" s="20"/>
      <c r="J608" s="20"/>
      <c r="K608" s="20"/>
      <c r="L608" s="20"/>
      <c r="M608" s="20"/>
      <c r="N608" s="20"/>
      <c r="O608" s="20"/>
      <c r="P608" s="20"/>
      <c r="Q608" s="20"/>
      <c r="R608" s="20"/>
    </row>
    <row r="609">
      <c r="A609" s="20"/>
      <c r="B609" s="20"/>
      <c r="C609" s="20"/>
      <c r="D609" s="20"/>
      <c r="E609" s="20"/>
      <c r="F609" s="20"/>
      <c r="G609" s="20"/>
      <c r="H609" s="20"/>
      <c r="I609" s="20"/>
      <c r="J609" s="20"/>
      <c r="K609" s="20"/>
      <c r="L609" s="20"/>
      <c r="M609" s="20"/>
      <c r="N609" s="20"/>
      <c r="O609" s="20"/>
      <c r="P609" s="20"/>
      <c r="Q609" s="20"/>
      <c r="R609" s="20"/>
    </row>
    <row r="610">
      <c r="A610" s="20"/>
      <c r="B610" s="20"/>
      <c r="C610" s="20"/>
      <c r="D610" s="20"/>
      <c r="E610" s="20"/>
      <c r="F610" s="20"/>
      <c r="G610" s="20"/>
      <c r="H610" s="20"/>
      <c r="I610" s="20"/>
      <c r="J610" s="20"/>
      <c r="K610" s="20"/>
      <c r="L610" s="20"/>
      <c r="M610" s="20"/>
      <c r="N610" s="20"/>
      <c r="O610" s="20"/>
      <c r="P610" s="20"/>
      <c r="Q610" s="20"/>
      <c r="R610" s="20"/>
    </row>
    <row r="611">
      <c r="A611" s="20"/>
      <c r="B611" s="20"/>
      <c r="C611" s="20"/>
      <c r="D611" s="20"/>
      <c r="E611" s="20"/>
      <c r="F611" s="20"/>
      <c r="G611" s="20"/>
      <c r="H611" s="20"/>
      <c r="I611" s="20"/>
      <c r="J611" s="20"/>
      <c r="K611" s="20"/>
      <c r="L611" s="20"/>
      <c r="M611" s="20"/>
      <c r="N611" s="20"/>
      <c r="O611" s="20"/>
      <c r="P611" s="20"/>
      <c r="Q611" s="20"/>
      <c r="R611" s="20"/>
    </row>
    <row r="612">
      <c r="A612" s="20"/>
      <c r="B612" s="20"/>
      <c r="C612" s="20"/>
      <c r="D612" s="20"/>
      <c r="E612" s="20"/>
      <c r="F612" s="20"/>
      <c r="G612" s="20"/>
      <c r="H612" s="20"/>
      <c r="I612" s="20"/>
      <c r="J612" s="20"/>
      <c r="K612" s="20"/>
      <c r="L612" s="20"/>
      <c r="M612" s="20"/>
      <c r="N612" s="20"/>
      <c r="O612" s="20"/>
      <c r="P612" s="20"/>
      <c r="Q612" s="20"/>
      <c r="R612" s="20"/>
    </row>
    <row r="613">
      <c r="A613" s="20"/>
      <c r="B613" s="20"/>
      <c r="C613" s="20"/>
      <c r="D613" s="20"/>
      <c r="E613" s="20"/>
      <c r="F613" s="20"/>
      <c r="G613" s="20"/>
      <c r="H613" s="20"/>
      <c r="I613" s="20"/>
      <c r="J613" s="20"/>
      <c r="K613" s="20"/>
      <c r="L613" s="20"/>
      <c r="M613" s="20"/>
      <c r="N613" s="20"/>
      <c r="O613" s="20"/>
      <c r="P613" s="20"/>
      <c r="Q613" s="20"/>
      <c r="R613" s="20"/>
    </row>
    <row r="614">
      <c r="A614" s="20"/>
      <c r="B614" s="20"/>
      <c r="C614" s="20"/>
      <c r="D614" s="20"/>
      <c r="E614" s="20"/>
      <c r="F614" s="20"/>
      <c r="G614" s="20"/>
      <c r="H614" s="20"/>
      <c r="I614" s="20"/>
      <c r="J614" s="20"/>
      <c r="K614" s="20"/>
      <c r="L614" s="20"/>
      <c r="M614" s="20"/>
      <c r="N614" s="20"/>
      <c r="O614" s="20"/>
      <c r="P614" s="20"/>
      <c r="Q614" s="20"/>
      <c r="R614" s="20"/>
    </row>
    <row r="615">
      <c r="A615" s="20"/>
      <c r="B615" s="20"/>
      <c r="C615" s="20"/>
      <c r="D615" s="20"/>
      <c r="E615" s="20"/>
      <c r="F615" s="20"/>
      <c r="G615" s="20"/>
      <c r="H615" s="20"/>
      <c r="I615" s="20"/>
      <c r="J615" s="20"/>
      <c r="K615" s="20"/>
      <c r="L615" s="20"/>
      <c r="M615" s="20"/>
      <c r="N615" s="20"/>
      <c r="O615" s="20"/>
      <c r="P615" s="20"/>
      <c r="Q615" s="20"/>
      <c r="R615" s="20"/>
    </row>
    <row r="616">
      <c r="A616" s="20"/>
      <c r="B616" s="20"/>
      <c r="C616" s="20"/>
      <c r="D616" s="20"/>
      <c r="E616" s="20"/>
      <c r="F616" s="20"/>
      <c r="G616" s="20"/>
      <c r="H616" s="20"/>
      <c r="I616" s="20"/>
      <c r="J616" s="20"/>
      <c r="K616" s="20"/>
      <c r="L616" s="20"/>
      <c r="M616" s="20"/>
      <c r="N616" s="20"/>
      <c r="O616" s="20"/>
      <c r="P616" s="20"/>
      <c r="Q616" s="20"/>
      <c r="R616" s="20"/>
    </row>
    <row r="617">
      <c r="A617" s="20"/>
      <c r="B617" s="20"/>
      <c r="C617" s="20"/>
      <c r="D617" s="20"/>
      <c r="E617" s="20"/>
      <c r="F617" s="20"/>
      <c r="G617" s="20"/>
      <c r="H617" s="20"/>
      <c r="I617" s="20"/>
      <c r="J617" s="20"/>
      <c r="K617" s="20"/>
      <c r="L617" s="20"/>
      <c r="M617" s="20"/>
      <c r="N617" s="20"/>
      <c r="O617" s="20"/>
      <c r="P617" s="20"/>
      <c r="Q617" s="20"/>
      <c r="R617" s="20"/>
    </row>
    <row r="618">
      <c r="A618" s="20"/>
      <c r="B618" s="20"/>
      <c r="C618" s="20"/>
      <c r="D618" s="20"/>
      <c r="E618" s="20"/>
      <c r="F618" s="20"/>
      <c r="G618" s="20"/>
      <c r="H618" s="20"/>
      <c r="I618" s="20"/>
      <c r="J618" s="20"/>
      <c r="K618" s="20"/>
      <c r="L618" s="20"/>
      <c r="M618" s="20"/>
      <c r="N618" s="20"/>
      <c r="O618" s="20"/>
      <c r="P618" s="20"/>
      <c r="Q618" s="20"/>
      <c r="R618" s="20"/>
    </row>
    <row r="619">
      <c r="A619" s="20"/>
      <c r="B619" s="20"/>
      <c r="C619" s="20"/>
      <c r="D619" s="20"/>
      <c r="E619" s="20"/>
      <c r="F619" s="20"/>
      <c r="G619" s="20"/>
      <c r="H619" s="20"/>
      <c r="I619" s="20"/>
      <c r="J619" s="20"/>
      <c r="K619" s="20"/>
      <c r="L619" s="20"/>
      <c r="M619" s="20"/>
      <c r="N619" s="20"/>
      <c r="O619" s="20"/>
      <c r="P619" s="20"/>
      <c r="Q619" s="20"/>
      <c r="R619" s="20"/>
    </row>
    <row r="620">
      <c r="A620" s="20"/>
      <c r="B620" s="20"/>
      <c r="C620" s="20"/>
      <c r="D620" s="20"/>
      <c r="E620" s="20"/>
      <c r="F620" s="20"/>
      <c r="G620" s="20"/>
      <c r="H620" s="20"/>
      <c r="I620" s="20"/>
      <c r="J620" s="20"/>
      <c r="K620" s="20"/>
      <c r="L620" s="20"/>
      <c r="M620" s="20"/>
      <c r="N620" s="20"/>
      <c r="O620" s="20"/>
      <c r="P620" s="20"/>
      <c r="Q620" s="20"/>
      <c r="R620" s="20"/>
    </row>
    <row r="621">
      <c r="A621" s="20"/>
      <c r="B621" s="20"/>
      <c r="C621" s="20"/>
      <c r="D621" s="20"/>
      <c r="E621" s="20"/>
      <c r="F621" s="20"/>
      <c r="G621" s="20"/>
      <c r="H621" s="20"/>
      <c r="I621" s="20"/>
      <c r="J621" s="20"/>
      <c r="K621" s="20"/>
      <c r="L621" s="20"/>
      <c r="M621" s="20"/>
      <c r="N621" s="20"/>
      <c r="O621" s="20"/>
      <c r="P621" s="20"/>
      <c r="Q621" s="20"/>
      <c r="R621" s="20"/>
    </row>
    <row r="622">
      <c r="A622" s="20"/>
      <c r="B622" s="20"/>
      <c r="C622" s="20"/>
      <c r="D622" s="20"/>
      <c r="E622" s="20"/>
      <c r="F622" s="20"/>
      <c r="G622" s="20"/>
      <c r="H622" s="20"/>
      <c r="I622" s="20"/>
      <c r="J622" s="20"/>
      <c r="K622" s="20"/>
      <c r="L622" s="20"/>
      <c r="M622" s="20"/>
      <c r="N622" s="20"/>
      <c r="O622" s="20"/>
      <c r="P622" s="20"/>
      <c r="Q622" s="20"/>
      <c r="R622" s="20"/>
    </row>
    <row r="623">
      <c r="A623" s="20"/>
      <c r="B623" s="20"/>
      <c r="C623" s="20"/>
      <c r="D623" s="20"/>
      <c r="E623" s="20"/>
      <c r="F623" s="20"/>
      <c r="G623" s="20"/>
      <c r="H623" s="20"/>
      <c r="I623" s="20"/>
      <c r="J623" s="20"/>
      <c r="K623" s="20"/>
      <c r="L623" s="20"/>
      <c r="M623" s="20"/>
      <c r="N623" s="20"/>
      <c r="O623" s="20"/>
      <c r="P623" s="20"/>
      <c r="Q623" s="20"/>
      <c r="R623" s="20"/>
    </row>
    <row r="624">
      <c r="A624" s="20"/>
      <c r="B624" s="20"/>
      <c r="C624" s="20"/>
      <c r="D624" s="20"/>
      <c r="E624" s="20"/>
      <c r="F624" s="20"/>
      <c r="G624" s="20"/>
      <c r="H624" s="20"/>
      <c r="I624" s="20"/>
      <c r="J624" s="20"/>
      <c r="K624" s="20"/>
      <c r="L624" s="20"/>
      <c r="M624" s="20"/>
      <c r="N624" s="20"/>
      <c r="O624" s="20"/>
      <c r="P624" s="20"/>
      <c r="Q624" s="20"/>
      <c r="R624" s="20"/>
    </row>
    <row r="625">
      <c r="A625" s="20"/>
      <c r="B625" s="20"/>
      <c r="C625" s="20"/>
      <c r="D625" s="20"/>
      <c r="E625" s="20"/>
      <c r="F625" s="20"/>
      <c r="G625" s="20"/>
      <c r="H625" s="20"/>
      <c r="I625" s="20"/>
      <c r="J625" s="20"/>
      <c r="K625" s="20"/>
      <c r="L625" s="20"/>
      <c r="M625" s="20"/>
      <c r="N625" s="20"/>
      <c r="O625" s="20"/>
      <c r="P625" s="20"/>
      <c r="Q625" s="20"/>
      <c r="R625" s="20"/>
    </row>
    <row r="626">
      <c r="A626" s="20"/>
      <c r="B626" s="20"/>
      <c r="C626" s="20"/>
      <c r="D626" s="20"/>
      <c r="E626" s="20"/>
      <c r="F626" s="20"/>
      <c r="G626" s="20"/>
      <c r="H626" s="20"/>
      <c r="I626" s="20"/>
      <c r="J626" s="20"/>
      <c r="K626" s="20"/>
      <c r="L626" s="20"/>
      <c r="M626" s="20"/>
      <c r="N626" s="20"/>
      <c r="O626" s="20"/>
      <c r="P626" s="20"/>
      <c r="Q626" s="20"/>
      <c r="R626" s="20"/>
    </row>
    <row r="627">
      <c r="A627" s="20"/>
      <c r="B627" s="20"/>
      <c r="C627" s="20"/>
      <c r="D627" s="20"/>
      <c r="E627" s="20"/>
      <c r="F627" s="20"/>
      <c r="G627" s="20"/>
      <c r="H627" s="20"/>
      <c r="I627" s="20"/>
      <c r="J627" s="20"/>
      <c r="K627" s="20"/>
      <c r="L627" s="20"/>
      <c r="M627" s="20"/>
      <c r="N627" s="20"/>
      <c r="O627" s="20"/>
      <c r="P627" s="20"/>
      <c r="Q627" s="20"/>
      <c r="R627" s="20"/>
    </row>
    <row r="628">
      <c r="A628" s="20"/>
      <c r="B628" s="20"/>
      <c r="C628" s="20"/>
      <c r="D628" s="20"/>
      <c r="E628" s="20"/>
      <c r="F628" s="20"/>
      <c r="G628" s="20"/>
      <c r="H628" s="20"/>
      <c r="I628" s="20"/>
      <c r="J628" s="20"/>
      <c r="K628" s="20"/>
      <c r="L628" s="20"/>
      <c r="M628" s="20"/>
      <c r="N628" s="20"/>
      <c r="O628" s="20"/>
      <c r="P628" s="20"/>
      <c r="Q628" s="20"/>
      <c r="R628" s="20"/>
    </row>
    <row r="629">
      <c r="A629" s="20"/>
      <c r="B629" s="20"/>
      <c r="C629" s="20"/>
      <c r="D629" s="20"/>
      <c r="E629" s="20"/>
      <c r="F629" s="20"/>
      <c r="G629" s="20"/>
      <c r="H629" s="20"/>
      <c r="I629" s="20"/>
      <c r="J629" s="20"/>
      <c r="K629" s="20"/>
      <c r="L629" s="20"/>
      <c r="M629" s="20"/>
      <c r="N629" s="20"/>
      <c r="O629" s="20"/>
      <c r="P629" s="20"/>
      <c r="Q629" s="20"/>
      <c r="R629" s="20"/>
    </row>
    <row r="630">
      <c r="A630" s="20"/>
      <c r="B630" s="20"/>
      <c r="C630" s="20"/>
      <c r="D630" s="20"/>
      <c r="E630" s="20"/>
      <c r="F630" s="20"/>
      <c r="G630" s="20"/>
      <c r="H630" s="20"/>
      <c r="I630" s="20"/>
      <c r="J630" s="20"/>
      <c r="K630" s="20"/>
      <c r="L630" s="20"/>
      <c r="M630" s="20"/>
      <c r="N630" s="20"/>
      <c r="O630" s="20"/>
      <c r="P630" s="20"/>
      <c r="Q630" s="20"/>
      <c r="R630" s="20"/>
    </row>
    <row r="631">
      <c r="A631" s="20"/>
      <c r="B631" s="20"/>
      <c r="C631" s="20"/>
      <c r="D631" s="20"/>
      <c r="E631" s="20"/>
      <c r="F631" s="20"/>
      <c r="G631" s="20"/>
      <c r="H631" s="20"/>
      <c r="I631" s="20"/>
      <c r="J631" s="20"/>
      <c r="K631" s="20"/>
      <c r="L631" s="20"/>
      <c r="M631" s="20"/>
      <c r="N631" s="20"/>
      <c r="O631" s="20"/>
      <c r="P631" s="20"/>
      <c r="Q631" s="20"/>
      <c r="R631" s="20"/>
    </row>
    <row r="632">
      <c r="A632" s="20"/>
      <c r="B632" s="20"/>
      <c r="C632" s="20"/>
      <c r="D632" s="20"/>
      <c r="E632" s="20"/>
      <c r="F632" s="20"/>
      <c r="G632" s="20"/>
      <c r="H632" s="20"/>
      <c r="I632" s="20"/>
      <c r="J632" s="20"/>
      <c r="K632" s="20"/>
      <c r="L632" s="20"/>
      <c r="M632" s="20"/>
      <c r="N632" s="20"/>
      <c r="O632" s="20"/>
      <c r="P632" s="20"/>
      <c r="Q632" s="20"/>
      <c r="R632" s="20"/>
    </row>
    <row r="633">
      <c r="A633" s="20"/>
      <c r="B633" s="20"/>
      <c r="C633" s="20"/>
      <c r="D633" s="20"/>
      <c r="E633" s="20"/>
      <c r="F633" s="20"/>
      <c r="G633" s="20"/>
      <c r="H633" s="20"/>
      <c r="I633" s="20"/>
      <c r="J633" s="20"/>
      <c r="K633" s="20"/>
      <c r="L633" s="20"/>
      <c r="M633" s="20"/>
      <c r="N633" s="20"/>
      <c r="O633" s="20"/>
      <c r="P633" s="20"/>
      <c r="Q633" s="20"/>
      <c r="R633" s="20"/>
    </row>
    <row r="634">
      <c r="A634" s="20"/>
      <c r="B634" s="20"/>
      <c r="C634" s="20"/>
      <c r="D634" s="20"/>
      <c r="E634" s="20"/>
      <c r="F634" s="20"/>
      <c r="G634" s="20"/>
      <c r="H634" s="20"/>
      <c r="I634" s="20"/>
      <c r="J634" s="20"/>
      <c r="K634" s="20"/>
      <c r="L634" s="20"/>
      <c r="M634" s="20"/>
      <c r="N634" s="20"/>
      <c r="O634" s="20"/>
      <c r="P634" s="20"/>
      <c r="Q634" s="20"/>
      <c r="R634" s="20"/>
    </row>
    <row r="635">
      <c r="A635" s="20"/>
      <c r="B635" s="20"/>
      <c r="C635" s="20"/>
      <c r="D635" s="20"/>
      <c r="E635" s="20"/>
      <c r="F635" s="20"/>
      <c r="G635" s="20"/>
      <c r="H635" s="20"/>
      <c r="I635" s="20"/>
      <c r="J635" s="20"/>
      <c r="K635" s="20"/>
      <c r="L635" s="20"/>
      <c r="M635" s="20"/>
      <c r="N635" s="20"/>
      <c r="O635" s="20"/>
      <c r="P635" s="20"/>
      <c r="Q635" s="20"/>
      <c r="R635" s="20"/>
    </row>
    <row r="636">
      <c r="A636" s="20"/>
      <c r="B636" s="20"/>
      <c r="C636" s="20"/>
      <c r="D636" s="20"/>
      <c r="E636" s="20"/>
      <c r="F636" s="20"/>
      <c r="G636" s="20"/>
      <c r="H636" s="20"/>
      <c r="I636" s="20"/>
      <c r="J636" s="20"/>
      <c r="K636" s="20"/>
      <c r="L636" s="20"/>
      <c r="M636" s="20"/>
      <c r="N636" s="20"/>
      <c r="O636" s="20"/>
      <c r="P636" s="20"/>
      <c r="Q636" s="20"/>
      <c r="R636" s="20"/>
    </row>
    <row r="637">
      <c r="A637" s="20"/>
      <c r="B637" s="20"/>
      <c r="C637" s="20"/>
      <c r="D637" s="20"/>
      <c r="E637" s="20"/>
      <c r="F637" s="20"/>
      <c r="G637" s="20"/>
      <c r="H637" s="20"/>
      <c r="I637" s="20"/>
      <c r="J637" s="20"/>
      <c r="K637" s="20"/>
      <c r="L637" s="20"/>
      <c r="M637" s="20"/>
      <c r="N637" s="20"/>
      <c r="O637" s="20"/>
      <c r="P637" s="20"/>
      <c r="Q637" s="20"/>
      <c r="R637" s="20"/>
    </row>
    <row r="638">
      <c r="A638" s="20"/>
      <c r="B638" s="20"/>
      <c r="C638" s="20"/>
      <c r="D638" s="20"/>
      <c r="E638" s="20"/>
      <c r="F638" s="20"/>
      <c r="G638" s="20"/>
      <c r="H638" s="20"/>
      <c r="I638" s="20"/>
      <c r="J638" s="20"/>
      <c r="K638" s="20"/>
      <c r="L638" s="20"/>
      <c r="M638" s="20"/>
      <c r="N638" s="20"/>
      <c r="O638" s="20"/>
      <c r="P638" s="20"/>
      <c r="Q638" s="20"/>
      <c r="R638" s="20"/>
    </row>
    <row r="639">
      <c r="A639" s="20"/>
      <c r="B639" s="20"/>
      <c r="C639" s="20"/>
      <c r="D639" s="20"/>
      <c r="E639" s="20"/>
      <c r="F639" s="20"/>
      <c r="G639" s="20"/>
      <c r="H639" s="20"/>
      <c r="I639" s="20"/>
      <c r="J639" s="20"/>
      <c r="K639" s="20"/>
      <c r="L639" s="20"/>
      <c r="M639" s="20"/>
      <c r="N639" s="20"/>
      <c r="O639" s="20"/>
      <c r="P639" s="20"/>
      <c r="Q639" s="20"/>
      <c r="R639" s="20"/>
    </row>
    <row r="640">
      <c r="A640" s="20"/>
      <c r="B640" s="20"/>
      <c r="C640" s="20"/>
      <c r="D640" s="20"/>
      <c r="E640" s="20"/>
      <c r="F640" s="20"/>
      <c r="G640" s="20"/>
      <c r="H640" s="20"/>
      <c r="I640" s="20"/>
      <c r="J640" s="20"/>
      <c r="K640" s="20"/>
      <c r="L640" s="20"/>
      <c r="M640" s="20"/>
      <c r="N640" s="20"/>
      <c r="O640" s="20"/>
      <c r="P640" s="20"/>
      <c r="Q640" s="20"/>
      <c r="R640" s="20"/>
    </row>
    <row r="641">
      <c r="A641" s="20"/>
      <c r="B641" s="20"/>
      <c r="C641" s="20"/>
      <c r="D641" s="20"/>
      <c r="E641" s="20"/>
      <c r="F641" s="20"/>
      <c r="G641" s="20"/>
      <c r="H641" s="20"/>
      <c r="I641" s="20"/>
      <c r="J641" s="20"/>
      <c r="K641" s="20"/>
      <c r="L641" s="20"/>
      <c r="M641" s="20"/>
      <c r="N641" s="20"/>
      <c r="O641" s="20"/>
      <c r="P641" s="20"/>
      <c r="Q641" s="20"/>
      <c r="R641" s="20"/>
    </row>
    <row r="642">
      <c r="A642" s="20"/>
      <c r="B642" s="20"/>
      <c r="C642" s="20"/>
      <c r="D642" s="20"/>
      <c r="E642" s="20"/>
      <c r="F642" s="20"/>
      <c r="G642" s="20"/>
      <c r="H642" s="20"/>
      <c r="I642" s="20"/>
      <c r="J642" s="20"/>
      <c r="K642" s="20"/>
      <c r="L642" s="20"/>
      <c r="M642" s="20"/>
      <c r="N642" s="20"/>
      <c r="O642" s="20"/>
      <c r="P642" s="20"/>
      <c r="Q642" s="20"/>
      <c r="R642" s="20"/>
    </row>
    <row r="643">
      <c r="A643" s="20"/>
      <c r="B643" s="20"/>
      <c r="C643" s="20"/>
      <c r="D643" s="20"/>
      <c r="E643" s="20"/>
      <c r="F643" s="20"/>
      <c r="G643" s="20"/>
      <c r="H643" s="20"/>
      <c r="I643" s="20"/>
      <c r="J643" s="20"/>
      <c r="K643" s="20"/>
      <c r="L643" s="20"/>
      <c r="M643" s="20"/>
      <c r="N643" s="20"/>
      <c r="O643" s="20"/>
      <c r="P643" s="20"/>
      <c r="Q643" s="20"/>
      <c r="R643" s="20"/>
    </row>
    <row r="644">
      <c r="A644" s="20"/>
      <c r="B644" s="20"/>
      <c r="C644" s="20"/>
      <c r="D644" s="20"/>
      <c r="E644" s="20"/>
      <c r="F644" s="20"/>
      <c r="G644" s="20"/>
      <c r="H644" s="20"/>
      <c r="I644" s="20"/>
      <c r="J644" s="20"/>
      <c r="K644" s="20"/>
      <c r="L644" s="20"/>
      <c r="M644" s="20"/>
      <c r="N644" s="20"/>
      <c r="O644" s="20"/>
      <c r="P644" s="20"/>
      <c r="Q644" s="20"/>
      <c r="R644" s="20"/>
    </row>
    <row r="645">
      <c r="A645" s="20"/>
      <c r="B645" s="20"/>
      <c r="C645" s="20"/>
      <c r="D645" s="20"/>
      <c r="E645" s="20"/>
      <c r="F645" s="20"/>
      <c r="G645" s="20"/>
      <c r="H645" s="20"/>
      <c r="I645" s="20"/>
      <c r="J645" s="20"/>
      <c r="K645" s="20"/>
      <c r="L645" s="20"/>
      <c r="M645" s="20"/>
      <c r="N645" s="20"/>
      <c r="O645" s="20"/>
      <c r="P645" s="20"/>
      <c r="Q645" s="20"/>
      <c r="R645" s="20"/>
    </row>
    <row r="646">
      <c r="A646" s="20"/>
      <c r="B646" s="20"/>
      <c r="C646" s="20"/>
      <c r="D646" s="20"/>
      <c r="E646" s="20"/>
      <c r="F646" s="20"/>
      <c r="G646" s="20"/>
      <c r="H646" s="20"/>
      <c r="I646" s="20"/>
      <c r="J646" s="20"/>
      <c r="K646" s="20"/>
      <c r="L646" s="20"/>
      <c r="M646" s="20"/>
      <c r="N646" s="20"/>
      <c r="O646" s="20"/>
      <c r="P646" s="20"/>
      <c r="Q646" s="20"/>
      <c r="R646" s="20"/>
    </row>
    <row r="647">
      <c r="A647" s="20"/>
      <c r="B647" s="20"/>
      <c r="C647" s="20"/>
      <c r="D647" s="20"/>
      <c r="E647" s="20"/>
      <c r="F647" s="20"/>
      <c r="G647" s="20"/>
      <c r="H647" s="20"/>
      <c r="I647" s="20"/>
      <c r="J647" s="20"/>
      <c r="K647" s="20"/>
      <c r="L647" s="20"/>
      <c r="M647" s="20"/>
      <c r="N647" s="20"/>
      <c r="O647" s="20"/>
      <c r="P647" s="20"/>
      <c r="Q647" s="20"/>
      <c r="R647" s="20"/>
    </row>
    <row r="648">
      <c r="A648" s="20"/>
      <c r="B648" s="20"/>
      <c r="C648" s="20"/>
      <c r="D648" s="20"/>
      <c r="E648" s="20"/>
      <c r="F648" s="20"/>
      <c r="G648" s="20"/>
      <c r="H648" s="20"/>
      <c r="I648" s="20"/>
      <c r="J648" s="20"/>
      <c r="K648" s="20"/>
      <c r="L648" s="20"/>
      <c r="M648" s="20"/>
      <c r="N648" s="20"/>
      <c r="O648" s="20"/>
      <c r="P648" s="20"/>
      <c r="Q648" s="20"/>
      <c r="R648" s="20"/>
    </row>
    <row r="649">
      <c r="A649" s="20"/>
      <c r="B649" s="20"/>
      <c r="C649" s="20"/>
      <c r="D649" s="20"/>
      <c r="E649" s="20"/>
      <c r="F649" s="20"/>
      <c r="G649" s="20"/>
      <c r="H649" s="20"/>
      <c r="I649" s="20"/>
      <c r="J649" s="20"/>
      <c r="K649" s="20"/>
      <c r="L649" s="20"/>
      <c r="M649" s="20"/>
      <c r="N649" s="20"/>
      <c r="O649" s="20"/>
      <c r="P649" s="20"/>
      <c r="Q649" s="20"/>
      <c r="R649" s="20"/>
    </row>
    <row r="650">
      <c r="A650" s="20"/>
      <c r="B650" s="20"/>
      <c r="C650" s="20"/>
      <c r="D650" s="20"/>
      <c r="E650" s="20"/>
      <c r="F650" s="20"/>
      <c r="G650" s="20"/>
      <c r="H650" s="20"/>
      <c r="I650" s="20"/>
      <c r="J650" s="20"/>
      <c r="K650" s="20"/>
      <c r="L650" s="20"/>
      <c r="M650" s="20"/>
      <c r="N650" s="20"/>
      <c r="O650" s="20"/>
      <c r="P650" s="20"/>
      <c r="Q650" s="20"/>
      <c r="R650" s="20"/>
    </row>
    <row r="651">
      <c r="A651" s="20"/>
      <c r="B651" s="20"/>
      <c r="C651" s="20"/>
      <c r="D651" s="20"/>
      <c r="E651" s="20"/>
      <c r="F651" s="20"/>
      <c r="G651" s="20"/>
      <c r="H651" s="20"/>
      <c r="I651" s="20"/>
      <c r="J651" s="20"/>
      <c r="K651" s="20"/>
      <c r="L651" s="20"/>
      <c r="M651" s="20"/>
      <c r="N651" s="20"/>
      <c r="O651" s="20"/>
      <c r="P651" s="20"/>
      <c r="Q651" s="20"/>
      <c r="R651" s="20"/>
    </row>
    <row r="652">
      <c r="A652" s="20"/>
      <c r="B652" s="20"/>
      <c r="C652" s="20"/>
      <c r="D652" s="20"/>
      <c r="E652" s="20"/>
      <c r="F652" s="20"/>
      <c r="G652" s="20"/>
      <c r="H652" s="20"/>
      <c r="I652" s="20"/>
      <c r="J652" s="20"/>
      <c r="K652" s="20"/>
      <c r="L652" s="20"/>
      <c r="M652" s="20"/>
      <c r="N652" s="20"/>
      <c r="O652" s="20"/>
      <c r="P652" s="20"/>
      <c r="Q652" s="20"/>
      <c r="R652" s="20"/>
    </row>
    <row r="653">
      <c r="A653" s="20"/>
      <c r="B653" s="20"/>
      <c r="C653" s="20"/>
      <c r="D653" s="20"/>
      <c r="E653" s="20"/>
      <c r="F653" s="20"/>
      <c r="G653" s="20"/>
      <c r="H653" s="20"/>
      <c r="I653" s="20"/>
      <c r="J653" s="20"/>
      <c r="K653" s="20"/>
      <c r="L653" s="20"/>
      <c r="M653" s="20"/>
      <c r="N653" s="20"/>
      <c r="O653" s="20"/>
      <c r="P653" s="20"/>
      <c r="Q653" s="20"/>
      <c r="R653" s="20"/>
    </row>
    <row r="654">
      <c r="A654" s="20"/>
      <c r="B654" s="20"/>
      <c r="C654" s="20"/>
      <c r="D654" s="20"/>
      <c r="E654" s="20"/>
      <c r="F654" s="20"/>
      <c r="G654" s="20"/>
      <c r="H654" s="20"/>
      <c r="I654" s="20"/>
      <c r="J654" s="20"/>
      <c r="K654" s="20"/>
      <c r="L654" s="20"/>
      <c r="M654" s="20"/>
      <c r="N654" s="20"/>
      <c r="O654" s="20"/>
      <c r="P654" s="20"/>
      <c r="Q654" s="20"/>
      <c r="R654" s="20"/>
    </row>
    <row r="655">
      <c r="A655" s="20"/>
      <c r="B655" s="20"/>
      <c r="C655" s="20"/>
      <c r="D655" s="20"/>
      <c r="E655" s="20"/>
      <c r="F655" s="20"/>
      <c r="G655" s="20"/>
      <c r="H655" s="20"/>
      <c r="I655" s="20"/>
      <c r="J655" s="20"/>
      <c r="K655" s="20"/>
      <c r="L655" s="20"/>
      <c r="M655" s="20"/>
      <c r="N655" s="20"/>
      <c r="O655" s="20"/>
      <c r="P655" s="20"/>
      <c r="Q655" s="20"/>
      <c r="R655" s="20"/>
    </row>
    <row r="656">
      <c r="A656" s="20"/>
      <c r="B656" s="20"/>
      <c r="C656" s="20"/>
      <c r="D656" s="20"/>
      <c r="E656" s="20"/>
      <c r="F656" s="20"/>
      <c r="G656" s="20"/>
      <c r="H656" s="20"/>
      <c r="I656" s="20"/>
      <c r="J656" s="20"/>
      <c r="K656" s="20"/>
      <c r="L656" s="20"/>
      <c r="M656" s="20"/>
      <c r="N656" s="20"/>
      <c r="O656" s="20"/>
      <c r="P656" s="20"/>
      <c r="Q656" s="20"/>
      <c r="R656" s="20"/>
    </row>
    <row r="657">
      <c r="A657" s="20"/>
      <c r="B657" s="20"/>
      <c r="C657" s="20"/>
      <c r="D657" s="20"/>
      <c r="E657" s="20"/>
      <c r="F657" s="20"/>
      <c r="G657" s="20"/>
      <c r="H657" s="20"/>
      <c r="I657" s="20"/>
      <c r="J657" s="20"/>
      <c r="K657" s="20"/>
      <c r="L657" s="20"/>
      <c r="M657" s="20"/>
      <c r="N657" s="20"/>
      <c r="O657" s="20"/>
      <c r="P657" s="20"/>
      <c r="Q657" s="20"/>
      <c r="R657" s="20"/>
    </row>
    <row r="658">
      <c r="A658" s="20"/>
      <c r="B658" s="20"/>
      <c r="C658" s="20"/>
      <c r="D658" s="20"/>
      <c r="E658" s="20"/>
      <c r="F658" s="20"/>
      <c r="G658" s="20"/>
      <c r="H658" s="20"/>
      <c r="I658" s="20"/>
      <c r="J658" s="20"/>
      <c r="K658" s="20"/>
      <c r="L658" s="20"/>
      <c r="M658" s="20"/>
      <c r="N658" s="20"/>
      <c r="O658" s="20"/>
      <c r="P658" s="20"/>
      <c r="Q658" s="20"/>
      <c r="R658" s="20"/>
    </row>
    <row r="659">
      <c r="A659" s="20"/>
      <c r="B659" s="20"/>
      <c r="C659" s="20"/>
      <c r="D659" s="20"/>
      <c r="E659" s="20"/>
      <c r="F659" s="20"/>
      <c r="G659" s="20"/>
      <c r="H659" s="20"/>
      <c r="I659" s="20"/>
      <c r="J659" s="20"/>
      <c r="K659" s="20"/>
      <c r="L659" s="20"/>
      <c r="M659" s="20"/>
      <c r="N659" s="20"/>
      <c r="O659" s="20"/>
      <c r="P659" s="20"/>
      <c r="Q659" s="20"/>
      <c r="R659" s="20"/>
    </row>
    <row r="660">
      <c r="A660" s="20"/>
      <c r="B660" s="20"/>
      <c r="C660" s="20"/>
      <c r="D660" s="20"/>
      <c r="E660" s="20"/>
      <c r="F660" s="20"/>
      <c r="G660" s="20"/>
      <c r="H660" s="20"/>
      <c r="I660" s="20"/>
      <c r="J660" s="20"/>
      <c r="K660" s="20"/>
      <c r="L660" s="20"/>
      <c r="M660" s="20"/>
      <c r="N660" s="20"/>
      <c r="O660" s="20"/>
      <c r="P660" s="20"/>
      <c r="Q660" s="20"/>
      <c r="R660" s="20"/>
    </row>
    <row r="661">
      <c r="A661" s="20"/>
      <c r="B661" s="20"/>
      <c r="C661" s="20"/>
      <c r="D661" s="20"/>
      <c r="E661" s="20"/>
      <c r="F661" s="20"/>
      <c r="G661" s="20"/>
      <c r="H661" s="20"/>
      <c r="I661" s="20"/>
      <c r="J661" s="20"/>
      <c r="K661" s="20"/>
      <c r="L661" s="20"/>
      <c r="M661" s="20"/>
      <c r="N661" s="20"/>
      <c r="O661" s="20"/>
      <c r="P661" s="20"/>
      <c r="Q661" s="20"/>
      <c r="R661" s="20"/>
    </row>
    <row r="662">
      <c r="A662" s="20"/>
      <c r="B662" s="20"/>
      <c r="C662" s="20"/>
      <c r="D662" s="20"/>
      <c r="E662" s="20"/>
      <c r="F662" s="20"/>
      <c r="G662" s="20"/>
      <c r="H662" s="20"/>
      <c r="I662" s="20"/>
      <c r="J662" s="20"/>
      <c r="K662" s="20"/>
      <c r="L662" s="20"/>
      <c r="M662" s="20"/>
      <c r="N662" s="20"/>
      <c r="O662" s="20"/>
      <c r="P662" s="20"/>
      <c r="Q662" s="20"/>
      <c r="R662" s="20"/>
    </row>
    <row r="663">
      <c r="A663" s="20"/>
      <c r="B663" s="20"/>
      <c r="C663" s="20"/>
      <c r="D663" s="20"/>
      <c r="E663" s="20"/>
      <c r="F663" s="20"/>
      <c r="G663" s="20"/>
      <c r="H663" s="20"/>
      <c r="I663" s="20"/>
      <c r="J663" s="20"/>
      <c r="K663" s="20"/>
      <c r="L663" s="20"/>
      <c r="M663" s="20"/>
      <c r="N663" s="20"/>
      <c r="O663" s="20"/>
      <c r="P663" s="20"/>
      <c r="Q663" s="20"/>
      <c r="R663" s="20"/>
    </row>
    <row r="664">
      <c r="A664" s="20"/>
      <c r="B664" s="20"/>
      <c r="C664" s="20"/>
      <c r="D664" s="20"/>
      <c r="E664" s="20"/>
      <c r="F664" s="20"/>
      <c r="G664" s="20"/>
      <c r="H664" s="20"/>
      <c r="I664" s="20"/>
      <c r="J664" s="20"/>
      <c r="K664" s="20"/>
      <c r="L664" s="20"/>
      <c r="M664" s="20"/>
      <c r="N664" s="20"/>
      <c r="O664" s="20"/>
      <c r="P664" s="20"/>
      <c r="Q664" s="20"/>
      <c r="R664" s="20"/>
    </row>
    <row r="665">
      <c r="A665" s="20"/>
      <c r="B665" s="20"/>
      <c r="C665" s="20"/>
      <c r="D665" s="20"/>
      <c r="E665" s="20"/>
      <c r="F665" s="20"/>
      <c r="G665" s="20"/>
      <c r="H665" s="20"/>
      <c r="I665" s="20"/>
      <c r="J665" s="20"/>
      <c r="K665" s="20"/>
      <c r="L665" s="20"/>
      <c r="M665" s="20"/>
      <c r="N665" s="20"/>
      <c r="O665" s="20"/>
      <c r="P665" s="20"/>
      <c r="Q665" s="20"/>
      <c r="R665" s="20"/>
    </row>
    <row r="666">
      <c r="A666" s="20"/>
      <c r="B666" s="20"/>
      <c r="C666" s="20"/>
      <c r="D666" s="20"/>
      <c r="E666" s="20"/>
      <c r="F666" s="20"/>
      <c r="G666" s="20"/>
      <c r="H666" s="20"/>
      <c r="I666" s="20"/>
      <c r="J666" s="20"/>
      <c r="K666" s="20"/>
      <c r="L666" s="20"/>
      <c r="M666" s="20"/>
      <c r="N666" s="20"/>
      <c r="O666" s="20"/>
      <c r="P666" s="20"/>
      <c r="Q666" s="20"/>
      <c r="R666" s="20"/>
    </row>
    <row r="667">
      <c r="A667" s="20"/>
      <c r="B667" s="20"/>
      <c r="C667" s="20"/>
      <c r="D667" s="20"/>
      <c r="E667" s="20"/>
      <c r="F667" s="20"/>
      <c r="G667" s="20"/>
      <c r="H667" s="20"/>
      <c r="I667" s="20"/>
      <c r="J667" s="20"/>
      <c r="K667" s="20"/>
      <c r="L667" s="20"/>
      <c r="M667" s="20"/>
      <c r="N667" s="20"/>
      <c r="O667" s="20"/>
      <c r="P667" s="20"/>
      <c r="Q667" s="20"/>
      <c r="R667" s="20"/>
    </row>
    <row r="668">
      <c r="A668" s="20"/>
      <c r="B668" s="20"/>
      <c r="C668" s="20"/>
      <c r="D668" s="20"/>
      <c r="E668" s="20"/>
      <c r="F668" s="20"/>
      <c r="G668" s="20"/>
      <c r="H668" s="20"/>
      <c r="I668" s="20"/>
      <c r="J668" s="20"/>
      <c r="K668" s="20"/>
      <c r="L668" s="20"/>
      <c r="M668" s="20"/>
      <c r="N668" s="20"/>
      <c r="O668" s="20"/>
      <c r="P668" s="20"/>
      <c r="Q668" s="20"/>
      <c r="R668" s="20"/>
    </row>
    <row r="669">
      <c r="A669" s="20"/>
      <c r="B669" s="20"/>
      <c r="C669" s="20"/>
      <c r="D669" s="20"/>
      <c r="E669" s="20"/>
      <c r="F669" s="20"/>
      <c r="G669" s="20"/>
      <c r="H669" s="20"/>
      <c r="I669" s="20"/>
      <c r="J669" s="20"/>
      <c r="K669" s="20"/>
      <c r="L669" s="20"/>
      <c r="M669" s="20"/>
      <c r="N669" s="20"/>
      <c r="O669" s="20"/>
      <c r="P669" s="20"/>
      <c r="Q669" s="20"/>
      <c r="R669" s="20"/>
    </row>
    <row r="670">
      <c r="A670" s="20"/>
      <c r="B670" s="20"/>
      <c r="C670" s="20"/>
      <c r="D670" s="20"/>
      <c r="E670" s="20"/>
      <c r="F670" s="20"/>
      <c r="G670" s="20"/>
      <c r="H670" s="20"/>
      <c r="I670" s="20"/>
      <c r="J670" s="20"/>
      <c r="K670" s="20"/>
      <c r="L670" s="20"/>
      <c r="M670" s="20"/>
      <c r="N670" s="20"/>
      <c r="O670" s="20"/>
      <c r="P670" s="20"/>
      <c r="Q670" s="20"/>
      <c r="R670" s="20"/>
    </row>
    <row r="671">
      <c r="A671" s="20"/>
      <c r="B671" s="20"/>
      <c r="C671" s="20"/>
      <c r="D671" s="20"/>
      <c r="E671" s="20"/>
      <c r="F671" s="20"/>
      <c r="G671" s="20"/>
      <c r="H671" s="20"/>
      <c r="I671" s="20"/>
      <c r="J671" s="20"/>
      <c r="K671" s="20"/>
      <c r="L671" s="20"/>
      <c r="M671" s="20"/>
      <c r="N671" s="20"/>
      <c r="O671" s="20"/>
      <c r="P671" s="20"/>
      <c r="Q671" s="20"/>
      <c r="R671" s="20"/>
    </row>
    <row r="672">
      <c r="A672" s="20"/>
      <c r="B672" s="20"/>
      <c r="C672" s="20"/>
      <c r="D672" s="20"/>
      <c r="E672" s="20"/>
      <c r="F672" s="20"/>
      <c r="G672" s="20"/>
      <c r="H672" s="20"/>
      <c r="I672" s="20"/>
      <c r="J672" s="20"/>
      <c r="K672" s="20"/>
      <c r="L672" s="20"/>
      <c r="M672" s="20"/>
      <c r="N672" s="20"/>
      <c r="O672" s="20"/>
      <c r="P672" s="20"/>
      <c r="Q672" s="20"/>
      <c r="R672" s="20"/>
    </row>
    <row r="673">
      <c r="A673" s="20"/>
      <c r="B673" s="20"/>
      <c r="C673" s="20"/>
      <c r="D673" s="20"/>
      <c r="E673" s="20"/>
      <c r="F673" s="20"/>
      <c r="G673" s="20"/>
      <c r="H673" s="20"/>
      <c r="I673" s="20"/>
      <c r="J673" s="20"/>
      <c r="K673" s="20"/>
      <c r="L673" s="20"/>
      <c r="M673" s="20"/>
      <c r="N673" s="20"/>
      <c r="O673" s="20"/>
      <c r="P673" s="20"/>
      <c r="Q673" s="20"/>
      <c r="R673" s="20"/>
    </row>
    <row r="674">
      <c r="A674" s="20"/>
      <c r="B674" s="20"/>
      <c r="C674" s="20"/>
      <c r="D674" s="20"/>
      <c r="E674" s="20"/>
      <c r="F674" s="20"/>
      <c r="G674" s="20"/>
      <c r="H674" s="20"/>
      <c r="I674" s="20"/>
      <c r="J674" s="20"/>
      <c r="K674" s="20"/>
      <c r="L674" s="20"/>
      <c r="M674" s="20"/>
      <c r="N674" s="20"/>
      <c r="O674" s="20"/>
      <c r="P674" s="20"/>
      <c r="Q674" s="20"/>
      <c r="R674" s="20"/>
    </row>
    <row r="675">
      <c r="A675" s="20"/>
      <c r="B675" s="20"/>
      <c r="C675" s="20"/>
      <c r="D675" s="20"/>
      <c r="E675" s="20"/>
      <c r="F675" s="20"/>
      <c r="G675" s="20"/>
      <c r="H675" s="20"/>
      <c r="I675" s="20"/>
      <c r="J675" s="20"/>
      <c r="K675" s="20"/>
      <c r="L675" s="20"/>
      <c r="M675" s="20"/>
      <c r="N675" s="20"/>
      <c r="O675" s="20"/>
      <c r="P675" s="20"/>
      <c r="Q675" s="20"/>
      <c r="R675" s="20"/>
    </row>
    <row r="676">
      <c r="A676" s="20"/>
      <c r="B676" s="20"/>
      <c r="C676" s="20"/>
      <c r="D676" s="20"/>
      <c r="E676" s="20"/>
      <c r="F676" s="20"/>
      <c r="G676" s="20"/>
      <c r="H676" s="20"/>
      <c r="I676" s="20"/>
      <c r="J676" s="20"/>
      <c r="K676" s="20"/>
      <c r="L676" s="20"/>
      <c r="M676" s="20"/>
      <c r="N676" s="20"/>
      <c r="O676" s="20"/>
      <c r="P676" s="20"/>
      <c r="Q676" s="20"/>
      <c r="R676" s="20"/>
    </row>
    <row r="677">
      <c r="A677" s="20"/>
      <c r="B677" s="20"/>
      <c r="C677" s="20"/>
      <c r="D677" s="20"/>
      <c r="E677" s="20"/>
      <c r="F677" s="20"/>
      <c r="G677" s="20"/>
      <c r="H677" s="20"/>
      <c r="I677" s="20"/>
      <c r="J677" s="20"/>
      <c r="K677" s="20"/>
      <c r="L677" s="20"/>
      <c r="M677" s="20"/>
      <c r="N677" s="20"/>
      <c r="O677" s="20"/>
      <c r="P677" s="20"/>
      <c r="Q677" s="20"/>
      <c r="R677" s="20"/>
    </row>
    <row r="678">
      <c r="A678" s="20"/>
      <c r="B678" s="20"/>
      <c r="C678" s="20"/>
      <c r="D678" s="20"/>
      <c r="E678" s="20"/>
      <c r="F678" s="20"/>
      <c r="G678" s="20"/>
      <c r="H678" s="20"/>
      <c r="I678" s="20"/>
      <c r="J678" s="20"/>
      <c r="K678" s="20"/>
      <c r="L678" s="20"/>
      <c r="M678" s="20"/>
      <c r="N678" s="20"/>
      <c r="O678" s="20"/>
      <c r="P678" s="20"/>
      <c r="Q678" s="20"/>
      <c r="R678" s="20"/>
    </row>
    <row r="679">
      <c r="A679" s="20"/>
      <c r="B679" s="20"/>
      <c r="C679" s="20"/>
      <c r="D679" s="20"/>
      <c r="E679" s="20"/>
      <c r="F679" s="20"/>
      <c r="G679" s="20"/>
      <c r="H679" s="20"/>
      <c r="I679" s="20"/>
      <c r="J679" s="20"/>
      <c r="K679" s="20"/>
      <c r="L679" s="20"/>
      <c r="M679" s="20"/>
      <c r="N679" s="20"/>
      <c r="O679" s="20"/>
      <c r="P679" s="20"/>
      <c r="Q679" s="20"/>
      <c r="R679" s="20"/>
    </row>
    <row r="680">
      <c r="A680" s="20"/>
      <c r="B680" s="20"/>
      <c r="C680" s="20"/>
      <c r="D680" s="20"/>
      <c r="E680" s="20"/>
      <c r="F680" s="20"/>
      <c r="G680" s="20"/>
      <c r="H680" s="20"/>
      <c r="I680" s="20"/>
      <c r="J680" s="20"/>
      <c r="K680" s="20"/>
      <c r="L680" s="20"/>
      <c r="M680" s="20"/>
      <c r="N680" s="20"/>
      <c r="O680" s="20"/>
      <c r="P680" s="20"/>
      <c r="Q680" s="20"/>
      <c r="R680" s="20"/>
    </row>
    <row r="681">
      <c r="A681" s="20"/>
      <c r="B681" s="20"/>
      <c r="C681" s="20"/>
      <c r="D681" s="20"/>
      <c r="E681" s="20"/>
      <c r="F681" s="20"/>
      <c r="G681" s="20"/>
      <c r="H681" s="20"/>
      <c r="I681" s="20"/>
      <c r="J681" s="20"/>
      <c r="K681" s="20"/>
      <c r="L681" s="20"/>
      <c r="M681" s="20"/>
      <c r="N681" s="20"/>
      <c r="O681" s="20"/>
      <c r="P681" s="20"/>
      <c r="Q681" s="20"/>
      <c r="R681" s="20"/>
    </row>
    <row r="682">
      <c r="A682" s="20"/>
      <c r="B682" s="20"/>
      <c r="C682" s="20"/>
      <c r="D682" s="20"/>
      <c r="E682" s="20"/>
      <c r="F682" s="20"/>
      <c r="G682" s="20"/>
      <c r="H682" s="20"/>
      <c r="I682" s="20"/>
      <c r="J682" s="20"/>
      <c r="K682" s="20"/>
      <c r="L682" s="20"/>
      <c r="M682" s="20"/>
      <c r="N682" s="20"/>
      <c r="O682" s="20"/>
      <c r="P682" s="20"/>
      <c r="Q682" s="20"/>
      <c r="R682" s="20"/>
    </row>
    <row r="683">
      <c r="A683" s="20"/>
      <c r="B683" s="20"/>
      <c r="C683" s="20"/>
      <c r="D683" s="20"/>
      <c r="E683" s="20"/>
      <c r="F683" s="20"/>
      <c r="G683" s="20"/>
      <c r="H683" s="20"/>
      <c r="I683" s="20"/>
      <c r="J683" s="20"/>
      <c r="K683" s="20"/>
      <c r="L683" s="20"/>
      <c r="M683" s="20"/>
      <c r="N683" s="20"/>
      <c r="O683" s="20"/>
      <c r="P683" s="20"/>
      <c r="Q683" s="20"/>
      <c r="R683" s="20"/>
    </row>
    <row r="684">
      <c r="A684" s="20"/>
      <c r="B684" s="20"/>
      <c r="C684" s="20"/>
      <c r="D684" s="20"/>
      <c r="E684" s="20"/>
      <c r="F684" s="20"/>
      <c r="G684" s="20"/>
      <c r="H684" s="20"/>
      <c r="I684" s="20"/>
      <c r="J684" s="20"/>
      <c r="K684" s="20"/>
      <c r="L684" s="20"/>
      <c r="M684" s="20"/>
      <c r="N684" s="20"/>
      <c r="O684" s="20"/>
      <c r="P684" s="20"/>
      <c r="Q684" s="20"/>
      <c r="R684" s="20"/>
    </row>
    <row r="685">
      <c r="A685" s="20"/>
      <c r="B685" s="20"/>
      <c r="C685" s="20"/>
      <c r="D685" s="20"/>
      <c r="E685" s="20"/>
      <c r="F685" s="20"/>
      <c r="G685" s="20"/>
      <c r="H685" s="20"/>
      <c r="I685" s="20"/>
      <c r="J685" s="20"/>
      <c r="K685" s="20"/>
      <c r="L685" s="20"/>
      <c r="M685" s="20"/>
      <c r="N685" s="20"/>
      <c r="O685" s="20"/>
      <c r="P685" s="20"/>
      <c r="Q685" s="20"/>
      <c r="R685" s="20"/>
    </row>
    <row r="686">
      <c r="A686" s="20"/>
      <c r="B686" s="20"/>
      <c r="C686" s="20"/>
      <c r="D686" s="20"/>
      <c r="E686" s="20"/>
      <c r="F686" s="20"/>
      <c r="G686" s="20"/>
      <c r="H686" s="20"/>
      <c r="I686" s="20"/>
      <c r="J686" s="20"/>
      <c r="K686" s="20"/>
      <c r="L686" s="20"/>
      <c r="M686" s="20"/>
      <c r="N686" s="20"/>
      <c r="O686" s="20"/>
      <c r="P686" s="20"/>
      <c r="Q686" s="20"/>
      <c r="R686" s="20"/>
    </row>
    <row r="687">
      <c r="A687" s="20"/>
      <c r="B687" s="20"/>
      <c r="C687" s="20"/>
      <c r="D687" s="20"/>
      <c r="E687" s="20"/>
      <c r="F687" s="20"/>
      <c r="G687" s="20"/>
      <c r="H687" s="20"/>
      <c r="I687" s="20"/>
      <c r="J687" s="20"/>
      <c r="K687" s="20"/>
      <c r="L687" s="20"/>
      <c r="M687" s="20"/>
      <c r="N687" s="20"/>
      <c r="O687" s="20"/>
      <c r="P687" s="20"/>
      <c r="Q687" s="20"/>
      <c r="R687" s="20"/>
    </row>
    <row r="688">
      <c r="A688" s="20"/>
      <c r="B688" s="20"/>
      <c r="C688" s="20"/>
      <c r="D688" s="20"/>
      <c r="E688" s="20"/>
      <c r="F688" s="20"/>
      <c r="G688" s="20"/>
      <c r="H688" s="20"/>
      <c r="I688" s="20"/>
      <c r="J688" s="20"/>
      <c r="K688" s="20"/>
      <c r="L688" s="20"/>
      <c r="M688" s="20"/>
      <c r="N688" s="20"/>
      <c r="O688" s="20"/>
      <c r="P688" s="20"/>
      <c r="Q688" s="20"/>
      <c r="R688" s="20"/>
    </row>
    <row r="689">
      <c r="A689" s="20"/>
      <c r="B689" s="20"/>
      <c r="C689" s="20"/>
      <c r="D689" s="20"/>
      <c r="E689" s="20"/>
      <c r="F689" s="20"/>
      <c r="G689" s="20"/>
      <c r="H689" s="20"/>
      <c r="I689" s="20"/>
      <c r="J689" s="20"/>
      <c r="K689" s="20"/>
      <c r="L689" s="20"/>
      <c r="M689" s="20"/>
      <c r="N689" s="20"/>
      <c r="O689" s="20"/>
      <c r="P689" s="20"/>
      <c r="Q689" s="20"/>
      <c r="R689" s="20"/>
    </row>
    <row r="690">
      <c r="A690" s="20"/>
      <c r="B690" s="20"/>
      <c r="C690" s="20"/>
      <c r="D690" s="20"/>
      <c r="E690" s="20"/>
      <c r="F690" s="20"/>
      <c r="G690" s="20"/>
      <c r="H690" s="20"/>
      <c r="I690" s="20"/>
      <c r="J690" s="20"/>
      <c r="K690" s="20"/>
      <c r="L690" s="20"/>
      <c r="M690" s="20"/>
      <c r="N690" s="20"/>
      <c r="O690" s="20"/>
      <c r="P690" s="20"/>
      <c r="Q690" s="20"/>
      <c r="R690" s="20"/>
    </row>
    <row r="691">
      <c r="A691" s="20"/>
      <c r="B691" s="20"/>
      <c r="C691" s="20"/>
      <c r="D691" s="20"/>
      <c r="E691" s="20"/>
      <c r="F691" s="20"/>
      <c r="G691" s="20"/>
      <c r="H691" s="20"/>
      <c r="I691" s="20"/>
      <c r="J691" s="20"/>
      <c r="K691" s="20"/>
      <c r="L691" s="20"/>
      <c r="M691" s="20"/>
      <c r="N691" s="20"/>
      <c r="O691" s="20"/>
      <c r="P691" s="20"/>
      <c r="Q691" s="20"/>
      <c r="R691" s="20"/>
    </row>
    <row r="692">
      <c r="A692" s="20"/>
      <c r="B692" s="20"/>
      <c r="C692" s="20"/>
      <c r="D692" s="20"/>
      <c r="E692" s="20"/>
      <c r="F692" s="20"/>
      <c r="G692" s="20"/>
      <c r="H692" s="20"/>
      <c r="I692" s="20"/>
      <c r="J692" s="20"/>
      <c r="K692" s="20"/>
      <c r="L692" s="20"/>
      <c r="M692" s="20"/>
      <c r="N692" s="20"/>
      <c r="O692" s="20"/>
      <c r="P692" s="20"/>
      <c r="Q692" s="20"/>
      <c r="R692" s="20"/>
    </row>
    <row r="693">
      <c r="A693" s="20"/>
      <c r="B693" s="20"/>
      <c r="C693" s="20"/>
      <c r="D693" s="20"/>
      <c r="E693" s="20"/>
      <c r="F693" s="20"/>
      <c r="G693" s="20"/>
      <c r="H693" s="20"/>
      <c r="I693" s="20"/>
      <c r="J693" s="20"/>
      <c r="K693" s="20"/>
      <c r="L693" s="20"/>
      <c r="M693" s="20"/>
      <c r="N693" s="20"/>
      <c r="O693" s="20"/>
      <c r="P693" s="20"/>
      <c r="Q693" s="20"/>
      <c r="R693" s="20"/>
    </row>
    <row r="694">
      <c r="A694" s="20"/>
      <c r="B694" s="20"/>
      <c r="C694" s="20"/>
      <c r="D694" s="20"/>
      <c r="E694" s="20"/>
      <c r="F694" s="20"/>
      <c r="G694" s="20"/>
      <c r="H694" s="20"/>
      <c r="I694" s="20"/>
      <c r="J694" s="20"/>
      <c r="K694" s="20"/>
      <c r="L694" s="20"/>
      <c r="M694" s="20"/>
      <c r="N694" s="20"/>
      <c r="O694" s="20"/>
      <c r="P694" s="20"/>
      <c r="Q694" s="20"/>
      <c r="R694" s="20"/>
    </row>
    <row r="695">
      <c r="A695" s="20"/>
      <c r="B695" s="20"/>
      <c r="C695" s="20"/>
      <c r="D695" s="20"/>
      <c r="E695" s="20"/>
      <c r="F695" s="20"/>
      <c r="G695" s="20"/>
      <c r="H695" s="20"/>
      <c r="I695" s="20"/>
      <c r="J695" s="20"/>
      <c r="K695" s="20"/>
      <c r="L695" s="20"/>
      <c r="M695" s="20"/>
      <c r="N695" s="20"/>
      <c r="O695" s="20"/>
      <c r="P695" s="20"/>
      <c r="Q695" s="20"/>
      <c r="R695" s="20"/>
    </row>
    <row r="696">
      <c r="A696" s="20"/>
      <c r="B696" s="20"/>
      <c r="C696" s="20"/>
      <c r="D696" s="20"/>
      <c r="E696" s="20"/>
      <c r="F696" s="20"/>
      <c r="G696" s="20"/>
      <c r="H696" s="20"/>
      <c r="I696" s="20"/>
      <c r="J696" s="20"/>
      <c r="K696" s="20"/>
      <c r="L696" s="20"/>
      <c r="M696" s="20"/>
      <c r="N696" s="20"/>
      <c r="O696" s="20"/>
      <c r="P696" s="20"/>
      <c r="Q696" s="20"/>
      <c r="R696" s="20"/>
    </row>
    <row r="697">
      <c r="A697" s="20"/>
      <c r="B697" s="20"/>
      <c r="C697" s="20"/>
      <c r="D697" s="20"/>
      <c r="E697" s="20"/>
      <c r="F697" s="20"/>
      <c r="G697" s="20"/>
      <c r="H697" s="20"/>
      <c r="I697" s="20"/>
      <c r="J697" s="20"/>
      <c r="K697" s="20"/>
      <c r="L697" s="20"/>
      <c r="M697" s="20"/>
      <c r="N697" s="20"/>
      <c r="O697" s="20"/>
      <c r="P697" s="20"/>
      <c r="Q697" s="20"/>
      <c r="R697" s="20"/>
    </row>
    <row r="698">
      <c r="A698" s="20"/>
      <c r="B698" s="20"/>
      <c r="C698" s="20"/>
      <c r="D698" s="20"/>
      <c r="E698" s="20"/>
      <c r="F698" s="20"/>
      <c r="G698" s="20"/>
      <c r="H698" s="20"/>
      <c r="I698" s="20"/>
      <c r="J698" s="20"/>
      <c r="K698" s="20"/>
      <c r="L698" s="20"/>
      <c r="M698" s="20"/>
      <c r="N698" s="20"/>
      <c r="O698" s="20"/>
      <c r="P698" s="20"/>
      <c r="Q698" s="20"/>
      <c r="R698" s="20"/>
    </row>
    <row r="699">
      <c r="A699" s="20"/>
      <c r="B699" s="20"/>
      <c r="C699" s="20"/>
      <c r="D699" s="20"/>
      <c r="E699" s="20"/>
      <c r="F699" s="20"/>
      <c r="G699" s="20"/>
      <c r="H699" s="20"/>
      <c r="I699" s="20"/>
      <c r="J699" s="20"/>
      <c r="K699" s="20"/>
      <c r="L699" s="20"/>
      <c r="M699" s="20"/>
      <c r="N699" s="20"/>
      <c r="O699" s="20"/>
      <c r="P699" s="20"/>
      <c r="Q699" s="20"/>
      <c r="R699" s="20"/>
    </row>
    <row r="700">
      <c r="A700" s="20"/>
      <c r="B700" s="20"/>
      <c r="C700" s="20"/>
      <c r="D700" s="20"/>
      <c r="E700" s="20"/>
      <c r="F700" s="20"/>
      <c r="G700" s="20"/>
      <c r="H700" s="20"/>
      <c r="I700" s="20"/>
      <c r="J700" s="20"/>
      <c r="K700" s="20"/>
      <c r="L700" s="20"/>
      <c r="M700" s="20"/>
      <c r="N700" s="20"/>
      <c r="O700" s="20"/>
      <c r="P700" s="20"/>
      <c r="Q700" s="20"/>
      <c r="R700" s="20"/>
    </row>
    <row r="701">
      <c r="A701" s="20"/>
      <c r="B701" s="20"/>
      <c r="C701" s="20"/>
      <c r="D701" s="20"/>
      <c r="E701" s="20"/>
      <c r="F701" s="20"/>
      <c r="G701" s="20"/>
      <c r="H701" s="20"/>
      <c r="I701" s="20"/>
      <c r="J701" s="20"/>
      <c r="K701" s="20"/>
      <c r="L701" s="20"/>
      <c r="M701" s="20"/>
      <c r="N701" s="20"/>
      <c r="O701" s="20"/>
      <c r="P701" s="20"/>
      <c r="Q701" s="20"/>
      <c r="R701" s="20"/>
    </row>
    <row r="702">
      <c r="A702" s="20"/>
      <c r="B702" s="20"/>
      <c r="C702" s="20"/>
      <c r="D702" s="20"/>
      <c r="E702" s="20"/>
      <c r="F702" s="20"/>
      <c r="G702" s="20"/>
      <c r="H702" s="20"/>
      <c r="I702" s="20"/>
      <c r="J702" s="20"/>
      <c r="K702" s="20"/>
      <c r="L702" s="20"/>
      <c r="M702" s="20"/>
      <c r="N702" s="20"/>
      <c r="O702" s="20"/>
      <c r="P702" s="20"/>
      <c r="Q702" s="20"/>
      <c r="R702" s="20"/>
    </row>
    <row r="703">
      <c r="A703" s="20"/>
      <c r="B703" s="20"/>
      <c r="C703" s="20"/>
      <c r="D703" s="20"/>
      <c r="E703" s="20"/>
      <c r="F703" s="20"/>
      <c r="G703" s="20"/>
      <c r="H703" s="20"/>
      <c r="I703" s="20"/>
      <c r="J703" s="20"/>
      <c r="K703" s="20"/>
      <c r="L703" s="20"/>
      <c r="M703" s="20"/>
      <c r="N703" s="20"/>
      <c r="O703" s="20"/>
      <c r="P703" s="20"/>
      <c r="Q703" s="20"/>
      <c r="R703" s="20"/>
    </row>
    <row r="704">
      <c r="A704" s="20"/>
      <c r="B704" s="20"/>
      <c r="C704" s="20"/>
      <c r="D704" s="20"/>
      <c r="E704" s="20"/>
      <c r="F704" s="20"/>
      <c r="G704" s="20"/>
      <c r="H704" s="20"/>
      <c r="I704" s="20"/>
      <c r="J704" s="20"/>
      <c r="K704" s="20"/>
      <c r="L704" s="20"/>
      <c r="M704" s="20"/>
      <c r="N704" s="20"/>
      <c r="O704" s="20"/>
      <c r="P704" s="20"/>
      <c r="Q704" s="20"/>
      <c r="R704" s="20"/>
    </row>
    <row r="705">
      <c r="A705" s="20"/>
      <c r="B705" s="20"/>
      <c r="C705" s="20"/>
      <c r="D705" s="20"/>
      <c r="E705" s="20"/>
      <c r="F705" s="20"/>
      <c r="G705" s="20"/>
      <c r="H705" s="20"/>
      <c r="I705" s="20"/>
      <c r="J705" s="20"/>
      <c r="K705" s="20"/>
      <c r="L705" s="20"/>
      <c r="M705" s="20"/>
      <c r="N705" s="20"/>
      <c r="O705" s="20"/>
      <c r="P705" s="20"/>
      <c r="Q705" s="20"/>
      <c r="R705" s="20"/>
    </row>
    <row r="706">
      <c r="A706" s="20"/>
      <c r="B706" s="20"/>
      <c r="C706" s="20"/>
      <c r="D706" s="20"/>
      <c r="E706" s="20"/>
      <c r="F706" s="20"/>
      <c r="G706" s="20"/>
      <c r="H706" s="20"/>
      <c r="I706" s="20"/>
      <c r="J706" s="20"/>
      <c r="K706" s="20"/>
      <c r="L706" s="20"/>
      <c r="M706" s="20"/>
      <c r="N706" s="20"/>
      <c r="O706" s="20"/>
      <c r="P706" s="20"/>
      <c r="Q706" s="20"/>
      <c r="R706" s="20"/>
    </row>
    <row r="707">
      <c r="A707" s="20"/>
      <c r="B707" s="20"/>
      <c r="C707" s="20"/>
      <c r="D707" s="20"/>
      <c r="E707" s="20"/>
      <c r="F707" s="20"/>
      <c r="G707" s="20"/>
      <c r="H707" s="20"/>
      <c r="I707" s="20"/>
      <c r="J707" s="20"/>
      <c r="K707" s="20"/>
      <c r="L707" s="20"/>
      <c r="M707" s="20"/>
      <c r="N707" s="20"/>
      <c r="O707" s="20"/>
      <c r="P707" s="20"/>
      <c r="Q707" s="20"/>
      <c r="R707" s="20"/>
    </row>
    <row r="708">
      <c r="A708" s="20"/>
      <c r="B708" s="20"/>
      <c r="C708" s="20"/>
      <c r="D708" s="20"/>
      <c r="E708" s="20"/>
      <c r="F708" s="20"/>
      <c r="G708" s="20"/>
      <c r="H708" s="20"/>
      <c r="I708" s="20"/>
      <c r="J708" s="20"/>
      <c r="K708" s="20"/>
      <c r="L708" s="20"/>
      <c r="M708" s="20"/>
      <c r="N708" s="20"/>
      <c r="O708" s="20"/>
      <c r="P708" s="20"/>
      <c r="Q708" s="20"/>
      <c r="R708" s="20"/>
    </row>
    <row r="709">
      <c r="A709" s="20"/>
      <c r="B709" s="20"/>
      <c r="C709" s="20"/>
      <c r="D709" s="20"/>
      <c r="E709" s="20"/>
      <c r="F709" s="20"/>
      <c r="G709" s="20"/>
      <c r="H709" s="20"/>
      <c r="I709" s="20"/>
      <c r="J709" s="20"/>
      <c r="K709" s="20"/>
      <c r="L709" s="20"/>
      <c r="M709" s="20"/>
      <c r="N709" s="20"/>
      <c r="O709" s="20"/>
      <c r="P709" s="20"/>
      <c r="Q709" s="20"/>
      <c r="R709" s="20"/>
    </row>
    <row r="710">
      <c r="A710" s="20"/>
      <c r="B710" s="20"/>
      <c r="C710" s="20"/>
      <c r="D710" s="20"/>
      <c r="E710" s="20"/>
      <c r="F710" s="20"/>
      <c r="G710" s="20"/>
      <c r="H710" s="20"/>
      <c r="I710" s="20"/>
      <c r="J710" s="20"/>
      <c r="K710" s="20"/>
      <c r="L710" s="20"/>
      <c r="M710" s="20"/>
      <c r="N710" s="20"/>
      <c r="O710" s="20"/>
      <c r="P710" s="20"/>
      <c r="Q710" s="20"/>
      <c r="R710" s="20"/>
    </row>
    <row r="711">
      <c r="A711" s="20"/>
      <c r="B711" s="20"/>
      <c r="C711" s="20"/>
      <c r="D711" s="20"/>
      <c r="E711" s="20"/>
      <c r="F711" s="20"/>
      <c r="G711" s="20"/>
      <c r="H711" s="20"/>
      <c r="I711" s="20"/>
      <c r="J711" s="20"/>
      <c r="K711" s="20"/>
      <c r="L711" s="20"/>
      <c r="M711" s="20"/>
      <c r="N711" s="20"/>
      <c r="O711" s="20"/>
      <c r="P711" s="20"/>
      <c r="Q711" s="20"/>
      <c r="R711" s="20"/>
    </row>
    <row r="712">
      <c r="A712" s="20"/>
      <c r="B712" s="20"/>
      <c r="C712" s="20"/>
      <c r="D712" s="20"/>
      <c r="E712" s="20"/>
      <c r="F712" s="20"/>
      <c r="G712" s="20"/>
      <c r="H712" s="20"/>
      <c r="I712" s="20"/>
      <c r="J712" s="20"/>
      <c r="K712" s="20"/>
      <c r="L712" s="20"/>
      <c r="M712" s="20"/>
      <c r="N712" s="20"/>
      <c r="O712" s="20"/>
      <c r="P712" s="20"/>
      <c r="Q712" s="20"/>
      <c r="R712" s="20"/>
    </row>
    <row r="713">
      <c r="A713" s="20"/>
      <c r="B713" s="20"/>
      <c r="C713" s="20"/>
      <c r="D713" s="20"/>
      <c r="E713" s="20"/>
      <c r="F713" s="20"/>
      <c r="G713" s="20"/>
      <c r="H713" s="20"/>
      <c r="I713" s="20"/>
      <c r="J713" s="20"/>
      <c r="K713" s="20"/>
      <c r="L713" s="20"/>
      <c r="M713" s="20"/>
      <c r="N713" s="20"/>
      <c r="O713" s="20"/>
      <c r="P713" s="20"/>
      <c r="Q713" s="20"/>
      <c r="R713" s="20"/>
    </row>
    <row r="714">
      <c r="A714" s="20"/>
      <c r="B714" s="20"/>
      <c r="C714" s="20"/>
      <c r="D714" s="20"/>
      <c r="E714" s="20"/>
      <c r="F714" s="20"/>
      <c r="G714" s="20"/>
      <c r="H714" s="20"/>
      <c r="I714" s="20"/>
      <c r="J714" s="20"/>
      <c r="K714" s="20"/>
      <c r="L714" s="20"/>
      <c r="M714" s="20"/>
      <c r="N714" s="20"/>
      <c r="O714" s="20"/>
      <c r="P714" s="20"/>
      <c r="Q714" s="20"/>
      <c r="R714" s="20"/>
    </row>
    <row r="715">
      <c r="A715" s="20"/>
      <c r="B715" s="20"/>
      <c r="C715" s="20"/>
      <c r="D715" s="20"/>
      <c r="E715" s="20"/>
      <c r="F715" s="20"/>
      <c r="G715" s="20"/>
      <c r="H715" s="20"/>
      <c r="I715" s="20"/>
      <c r="J715" s="20"/>
      <c r="K715" s="20"/>
      <c r="L715" s="20"/>
      <c r="M715" s="20"/>
      <c r="N715" s="20"/>
      <c r="O715" s="20"/>
      <c r="P715" s="20"/>
      <c r="Q715" s="20"/>
      <c r="R715" s="20"/>
    </row>
    <row r="716">
      <c r="A716" s="20"/>
      <c r="B716" s="20"/>
      <c r="C716" s="20"/>
      <c r="D716" s="20"/>
      <c r="E716" s="20"/>
      <c r="F716" s="20"/>
      <c r="G716" s="20"/>
      <c r="H716" s="20"/>
      <c r="I716" s="20"/>
      <c r="J716" s="20"/>
      <c r="K716" s="20"/>
      <c r="L716" s="20"/>
      <c r="M716" s="20"/>
      <c r="N716" s="20"/>
      <c r="O716" s="20"/>
      <c r="P716" s="20"/>
      <c r="Q716" s="20"/>
      <c r="R716" s="20"/>
    </row>
    <row r="717">
      <c r="A717" s="20"/>
      <c r="B717" s="20"/>
      <c r="C717" s="20"/>
      <c r="D717" s="20"/>
      <c r="E717" s="20"/>
      <c r="F717" s="20"/>
      <c r="G717" s="20"/>
      <c r="H717" s="20"/>
      <c r="I717" s="20"/>
      <c r="J717" s="20"/>
      <c r="K717" s="20"/>
      <c r="L717" s="20"/>
      <c r="M717" s="20"/>
      <c r="N717" s="20"/>
      <c r="O717" s="20"/>
      <c r="P717" s="20"/>
      <c r="Q717" s="20"/>
      <c r="R717" s="20"/>
    </row>
    <row r="718">
      <c r="A718" s="20"/>
      <c r="B718" s="20"/>
      <c r="C718" s="20"/>
      <c r="D718" s="20"/>
      <c r="E718" s="20"/>
      <c r="F718" s="20"/>
      <c r="G718" s="20"/>
      <c r="H718" s="20"/>
      <c r="I718" s="20"/>
      <c r="J718" s="20"/>
      <c r="K718" s="20"/>
      <c r="L718" s="20"/>
      <c r="M718" s="20"/>
      <c r="N718" s="20"/>
      <c r="O718" s="20"/>
      <c r="P718" s="20"/>
      <c r="Q718" s="20"/>
      <c r="R718" s="20"/>
    </row>
    <row r="719">
      <c r="A719" s="20"/>
      <c r="B719" s="20"/>
      <c r="C719" s="20"/>
      <c r="D719" s="20"/>
      <c r="E719" s="20"/>
      <c r="F719" s="20"/>
      <c r="G719" s="20"/>
      <c r="H719" s="20"/>
      <c r="I719" s="20"/>
      <c r="J719" s="20"/>
      <c r="K719" s="20"/>
      <c r="L719" s="20"/>
      <c r="M719" s="20"/>
      <c r="N719" s="20"/>
      <c r="O719" s="20"/>
      <c r="P719" s="20"/>
      <c r="Q719" s="20"/>
      <c r="R719" s="20"/>
    </row>
    <row r="720">
      <c r="A720" s="20"/>
      <c r="B720" s="20"/>
      <c r="C720" s="20"/>
      <c r="D720" s="20"/>
      <c r="E720" s="20"/>
      <c r="F720" s="20"/>
      <c r="G720" s="20"/>
      <c r="H720" s="20"/>
      <c r="I720" s="20"/>
      <c r="J720" s="20"/>
      <c r="K720" s="20"/>
      <c r="L720" s="20"/>
      <c r="M720" s="20"/>
      <c r="N720" s="20"/>
      <c r="O720" s="20"/>
      <c r="P720" s="20"/>
      <c r="Q720" s="20"/>
      <c r="R720" s="20"/>
    </row>
    <row r="721">
      <c r="A721" s="20"/>
      <c r="B721" s="20"/>
      <c r="C721" s="20"/>
      <c r="D721" s="20"/>
      <c r="E721" s="20"/>
      <c r="F721" s="20"/>
      <c r="G721" s="20"/>
      <c r="H721" s="20"/>
      <c r="I721" s="20"/>
      <c r="J721" s="20"/>
      <c r="K721" s="20"/>
      <c r="L721" s="20"/>
      <c r="M721" s="20"/>
      <c r="N721" s="20"/>
      <c r="O721" s="20"/>
      <c r="P721" s="20"/>
      <c r="Q721" s="20"/>
      <c r="R721" s="20"/>
    </row>
    <row r="722">
      <c r="A722" s="20"/>
      <c r="B722" s="20"/>
      <c r="C722" s="20"/>
      <c r="D722" s="20"/>
      <c r="E722" s="20"/>
      <c r="F722" s="20"/>
      <c r="G722" s="20"/>
      <c r="H722" s="20"/>
      <c r="I722" s="20"/>
      <c r="J722" s="20"/>
      <c r="K722" s="20"/>
      <c r="L722" s="20"/>
      <c r="M722" s="20"/>
      <c r="N722" s="20"/>
      <c r="O722" s="20"/>
      <c r="P722" s="20"/>
      <c r="Q722" s="20"/>
      <c r="R722" s="20"/>
    </row>
    <row r="723">
      <c r="A723" s="20"/>
      <c r="B723" s="20"/>
      <c r="C723" s="20"/>
      <c r="D723" s="20"/>
      <c r="E723" s="20"/>
      <c r="F723" s="20"/>
      <c r="G723" s="20"/>
      <c r="H723" s="20"/>
      <c r="I723" s="20"/>
      <c r="J723" s="20"/>
      <c r="K723" s="20"/>
      <c r="L723" s="20"/>
      <c r="M723" s="20"/>
      <c r="N723" s="20"/>
      <c r="O723" s="20"/>
      <c r="P723" s="20"/>
      <c r="Q723" s="20"/>
      <c r="R723" s="20"/>
    </row>
    <row r="724">
      <c r="A724" s="20"/>
      <c r="B724" s="20"/>
      <c r="C724" s="20"/>
      <c r="D724" s="20"/>
      <c r="E724" s="20"/>
      <c r="F724" s="20"/>
      <c r="G724" s="20"/>
      <c r="H724" s="20"/>
      <c r="I724" s="20"/>
      <c r="J724" s="20"/>
      <c r="K724" s="20"/>
      <c r="L724" s="20"/>
      <c r="M724" s="20"/>
      <c r="N724" s="20"/>
      <c r="O724" s="20"/>
      <c r="P724" s="20"/>
      <c r="Q724" s="20"/>
      <c r="R724" s="20"/>
    </row>
    <row r="725">
      <c r="A725" s="20"/>
      <c r="B725" s="20"/>
      <c r="C725" s="20"/>
      <c r="D725" s="20"/>
      <c r="E725" s="20"/>
      <c r="F725" s="20"/>
      <c r="G725" s="20"/>
      <c r="H725" s="20"/>
      <c r="I725" s="20"/>
      <c r="J725" s="20"/>
      <c r="K725" s="20"/>
      <c r="L725" s="20"/>
      <c r="M725" s="20"/>
      <c r="N725" s="20"/>
      <c r="O725" s="20"/>
      <c r="P725" s="20"/>
      <c r="Q725" s="20"/>
      <c r="R725" s="20"/>
    </row>
    <row r="726">
      <c r="A726" s="20"/>
      <c r="B726" s="20"/>
      <c r="C726" s="20"/>
      <c r="D726" s="20"/>
      <c r="E726" s="20"/>
      <c r="F726" s="20"/>
      <c r="G726" s="20"/>
      <c r="H726" s="20"/>
      <c r="I726" s="20"/>
      <c r="J726" s="20"/>
      <c r="K726" s="20"/>
      <c r="L726" s="20"/>
      <c r="M726" s="20"/>
      <c r="N726" s="20"/>
      <c r="O726" s="20"/>
      <c r="P726" s="20"/>
      <c r="Q726" s="20"/>
      <c r="R726" s="20"/>
    </row>
    <row r="727">
      <c r="A727" s="20"/>
      <c r="B727" s="20"/>
      <c r="C727" s="20"/>
      <c r="D727" s="20"/>
      <c r="E727" s="20"/>
      <c r="F727" s="20"/>
      <c r="G727" s="20"/>
      <c r="H727" s="20"/>
      <c r="I727" s="20"/>
      <c r="J727" s="20"/>
      <c r="K727" s="20"/>
      <c r="L727" s="20"/>
      <c r="M727" s="20"/>
      <c r="N727" s="20"/>
      <c r="O727" s="20"/>
      <c r="P727" s="20"/>
      <c r="Q727" s="20"/>
      <c r="R727" s="20"/>
    </row>
    <row r="728">
      <c r="A728" s="20"/>
      <c r="B728" s="20"/>
      <c r="C728" s="20"/>
      <c r="D728" s="20"/>
      <c r="E728" s="20"/>
      <c r="F728" s="20"/>
      <c r="G728" s="20"/>
      <c r="H728" s="20"/>
      <c r="I728" s="20"/>
      <c r="J728" s="20"/>
      <c r="K728" s="20"/>
      <c r="L728" s="20"/>
      <c r="M728" s="20"/>
      <c r="N728" s="20"/>
      <c r="O728" s="20"/>
      <c r="P728" s="20"/>
      <c r="Q728" s="20"/>
      <c r="R728" s="20"/>
    </row>
    <row r="729">
      <c r="A729" s="20"/>
      <c r="B729" s="20"/>
      <c r="C729" s="20"/>
      <c r="D729" s="20"/>
      <c r="E729" s="20"/>
      <c r="F729" s="20"/>
      <c r="G729" s="20"/>
      <c r="H729" s="20"/>
      <c r="I729" s="20"/>
      <c r="J729" s="20"/>
      <c r="K729" s="20"/>
      <c r="L729" s="20"/>
      <c r="M729" s="20"/>
      <c r="N729" s="20"/>
      <c r="O729" s="20"/>
      <c r="P729" s="20"/>
      <c r="Q729" s="20"/>
      <c r="R729" s="20"/>
    </row>
    <row r="730">
      <c r="A730" s="20"/>
      <c r="B730" s="20"/>
      <c r="C730" s="20"/>
      <c r="D730" s="20"/>
      <c r="E730" s="20"/>
      <c r="F730" s="20"/>
      <c r="G730" s="20"/>
      <c r="H730" s="20"/>
      <c r="I730" s="20"/>
      <c r="J730" s="20"/>
      <c r="K730" s="20"/>
      <c r="L730" s="20"/>
      <c r="M730" s="20"/>
      <c r="N730" s="20"/>
      <c r="O730" s="20"/>
      <c r="P730" s="20"/>
      <c r="Q730" s="20"/>
      <c r="R730" s="20"/>
    </row>
    <row r="731">
      <c r="A731" s="20"/>
      <c r="B731" s="20"/>
      <c r="C731" s="20"/>
      <c r="D731" s="20"/>
      <c r="E731" s="20"/>
      <c r="F731" s="20"/>
      <c r="G731" s="20"/>
      <c r="H731" s="20"/>
      <c r="I731" s="20"/>
      <c r="J731" s="20"/>
      <c r="K731" s="20"/>
      <c r="L731" s="20"/>
      <c r="M731" s="20"/>
      <c r="N731" s="20"/>
      <c r="O731" s="20"/>
      <c r="P731" s="20"/>
      <c r="Q731" s="20"/>
      <c r="R731" s="20"/>
    </row>
    <row r="732">
      <c r="A732" s="20"/>
      <c r="B732" s="20"/>
      <c r="C732" s="20"/>
      <c r="D732" s="20"/>
      <c r="E732" s="20"/>
      <c r="F732" s="20"/>
      <c r="G732" s="20"/>
      <c r="H732" s="20"/>
      <c r="I732" s="20"/>
      <c r="J732" s="20"/>
      <c r="K732" s="20"/>
      <c r="L732" s="20"/>
      <c r="M732" s="20"/>
      <c r="N732" s="20"/>
      <c r="O732" s="20"/>
      <c r="P732" s="20"/>
      <c r="Q732" s="20"/>
      <c r="R732" s="20"/>
    </row>
    <row r="733">
      <c r="A733" s="20"/>
      <c r="B733" s="20"/>
      <c r="C733" s="20"/>
      <c r="D733" s="20"/>
      <c r="E733" s="20"/>
      <c r="F733" s="20"/>
      <c r="G733" s="20"/>
      <c r="H733" s="20"/>
      <c r="I733" s="20"/>
      <c r="J733" s="20"/>
      <c r="K733" s="20"/>
      <c r="L733" s="20"/>
      <c r="M733" s="20"/>
      <c r="N733" s="20"/>
      <c r="O733" s="20"/>
      <c r="P733" s="20"/>
      <c r="Q733" s="20"/>
      <c r="R733" s="20"/>
    </row>
    <row r="734">
      <c r="A734" s="20"/>
      <c r="B734" s="20"/>
      <c r="C734" s="20"/>
      <c r="D734" s="20"/>
      <c r="E734" s="20"/>
      <c r="F734" s="20"/>
      <c r="G734" s="20"/>
      <c r="H734" s="20"/>
      <c r="I734" s="20"/>
      <c r="J734" s="20"/>
      <c r="K734" s="20"/>
      <c r="L734" s="20"/>
      <c r="M734" s="20"/>
      <c r="N734" s="20"/>
      <c r="O734" s="20"/>
      <c r="P734" s="20"/>
      <c r="Q734" s="20"/>
      <c r="R734" s="20"/>
    </row>
    <row r="735">
      <c r="A735" s="20"/>
      <c r="B735" s="20"/>
      <c r="C735" s="20"/>
      <c r="D735" s="20"/>
      <c r="E735" s="20"/>
      <c r="F735" s="20"/>
      <c r="G735" s="20"/>
      <c r="H735" s="20"/>
      <c r="I735" s="20"/>
      <c r="J735" s="20"/>
      <c r="K735" s="20"/>
      <c r="L735" s="20"/>
      <c r="M735" s="20"/>
      <c r="N735" s="20"/>
      <c r="O735" s="20"/>
      <c r="P735" s="20"/>
      <c r="Q735" s="20"/>
      <c r="R735" s="20"/>
    </row>
    <row r="736">
      <c r="A736" s="20"/>
      <c r="B736" s="20"/>
      <c r="C736" s="20"/>
      <c r="D736" s="20"/>
      <c r="E736" s="20"/>
      <c r="F736" s="20"/>
      <c r="G736" s="20"/>
      <c r="H736" s="20"/>
      <c r="I736" s="20"/>
      <c r="J736" s="20"/>
      <c r="K736" s="20"/>
      <c r="L736" s="20"/>
      <c r="M736" s="20"/>
      <c r="N736" s="20"/>
      <c r="O736" s="20"/>
      <c r="P736" s="20"/>
      <c r="Q736" s="20"/>
      <c r="R736" s="20"/>
    </row>
    <row r="737">
      <c r="A737" s="20"/>
      <c r="B737" s="20"/>
      <c r="C737" s="20"/>
      <c r="D737" s="20"/>
      <c r="E737" s="20"/>
      <c r="F737" s="20"/>
      <c r="G737" s="20"/>
      <c r="H737" s="20"/>
      <c r="I737" s="20"/>
      <c r="J737" s="20"/>
      <c r="K737" s="20"/>
      <c r="L737" s="20"/>
      <c r="M737" s="20"/>
      <c r="N737" s="20"/>
      <c r="O737" s="20"/>
      <c r="P737" s="20"/>
      <c r="Q737" s="20"/>
      <c r="R737" s="20"/>
    </row>
    <row r="738">
      <c r="A738" s="20"/>
      <c r="B738" s="20"/>
      <c r="C738" s="20"/>
      <c r="D738" s="20"/>
      <c r="E738" s="20"/>
      <c r="F738" s="20"/>
      <c r="G738" s="20"/>
      <c r="H738" s="20"/>
      <c r="I738" s="20"/>
      <c r="J738" s="20"/>
      <c r="K738" s="20"/>
      <c r="L738" s="20"/>
      <c r="M738" s="20"/>
      <c r="N738" s="20"/>
      <c r="O738" s="20"/>
      <c r="P738" s="20"/>
      <c r="Q738" s="20"/>
      <c r="R738" s="20"/>
    </row>
    <row r="739">
      <c r="A739" s="20"/>
      <c r="B739" s="20"/>
      <c r="C739" s="20"/>
      <c r="D739" s="20"/>
      <c r="E739" s="20"/>
      <c r="F739" s="20"/>
      <c r="G739" s="20"/>
      <c r="H739" s="20"/>
      <c r="I739" s="20"/>
      <c r="J739" s="20"/>
      <c r="K739" s="20"/>
      <c r="L739" s="20"/>
      <c r="M739" s="20"/>
      <c r="N739" s="20"/>
      <c r="O739" s="20"/>
      <c r="P739" s="20"/>
      <c r="Q739" s="20"/>
      <c r="R739" s="20"/>
    </row>
    <row r="740">
      <c r="A740" s="20"/>
      <c r="B740" s="20"/>
      <c r="C740" s="20"/>
      <c r="D740" s="20"/>
      <c r="E740" s="20"/>
      <c r="F740" s="20"/>
      <c r="G740" s="20"/>
      <c r="H740" s="20"/>
      <c r="I740" s="20"/>
      <c r="J740" s="20"/>
      <c r="K740" s="20"/>
      <c r="L740" s="20"/>
      <c r="M740" s="20"/>
      <c r="N740" s="20"/>
      <c r="O740" s="20"/>
      <c r="P740" s="20"/>
      <c r="Q740" s="20"/>
      <c r="R740" s="20"/>
    </row>
    <row r="741">
      <c r="A741" s="20"/>
      <c r="B741" s="20"/>
      <c r="C741" s="20"/>
      <c r="D741" s="20"/>
      <c r="E741" s="20"/>
      <c r="F741" s="20"/>
      <c r="G741" s="20"/>
      <c r="H741" s="20"/>
      <c r="I741" s="20"/>
      <c r="J741" s="20"/>
      <c r="K741" s="20"/>
      <c r="L741" s="20"/>
      <c r="M741" s="20"/>
      <c r="N741" s="20"/>
      <c r="O741" s="20"/>
      <c r="P741" s="20"/>
      <c r="Q741" s="20"/>
      <c r="R741" s="20"/>
    </row>
    <row r="742">
      <c r="A742" s="20"/>
      <c r="B742" s="20"/>
      <c r="C742" s="20"/>
      <c r="D742" s="20"/>
      <c r="E742" s="20"/>
      <c r="F742" s="20"/>
      <c r="G742" s="20"/>
      <c r="H742" s="20"/>
      <c r="I742" s="20"/>
      <c r="J742" s="20"/>
      <c r="K742" s="20"/>
      <c r="L742" s="20"/>
      <c r="M742" s="20"/>
      <c r="N742" s="20"/>
      <c r="O742" s="20"/>
      <c r="P742" s="20"/>
      <c r="Q742" s="20"/>
      <c r="R742" s="20"/>
    </row>
    <row r="743">
      <c r="A743" s="20"/>
      <c r="B743" s="20"/>
      <c r="C743" s="20"/>
      <c r="D743" s="20"/>
      <c r="E743" s="20"/>
      <c r="F743" s="20"/>
      <c r="G743" s="20"/>
      <c r="H743" s="20"/>
      <c r="I743" s="20"/>
      <c r="J743" s="20"/>
      <c r="K743" s="20"/>
      <c r="L743" s="20"/>
      <c r="M743" s="20"/>
      <c r="N743" s="20"/>
      <c r="O743" s="20"/>
      <c r="P743" s="20"/>
      <c r="Q743" s="20"/>
      <c r="R743" s="20"/>
    </row>
    <row r="744">
      <c r="A744" s="20"/>
      <c r="B744" s="20"/>
      <c r="C744" s="20"/>
      <c r="D744" s="20"/>
      <c r="E744" s="20"/>
      <c r="F744" s="20"/>
      <c r="G744" s="20"/>
      <c r="H744" s="20"/>
      <c r="I744" s="20"/>
      <c r="J744" s="20"/>
      <c r="K744" s="20"/>
      <c r="L744" s="20"/>
      <c r="M744" s="20"/>
      <c r="N744" s="20"/>
      <c r="O744" s="20"/>
      <c r="P744" s="20"/>
      <c r="Q744" s="20"/>
      <c r="R744" s="20"/>
    </row>
    <row r="745">
      <c r="A745" s="20"/>
      <c r="B745" s="20"/>
      <c r="C745" s="20"/>
      <c r="D745" s="20"/>
      <c r="E745" s="20"/>
      <c r="F745" s="20"/>
      <c r="G745" s="20"/>
      <c r="H745" s="20"/>
      <c r="I745" s="20"/>
      <c r="J745" s="20"/>
      <c r="K745" s="20"/>
      <c r="L745" s="20"/>
      <c r="M745" s="20"/>
      <c r="N745" s="20"/>
      <c r="O745" s="20"/>
      <c r="P745" s="20"/>
      <c r="Q745" s="20"/>
      <c r="R745" s="20"/>
    </row>
    <row r="746">
      <c r="A746" s="20"/>
      <c r="B746" s="20"/>
      <c r="C746" s="20"/>
      <c r="D746" s="20"/>
      <c r="E746" s="20"/>
      <c r="F746" s="20"/>
      <c r="G746" s="20"/>
      <c r="H746" s="20"/>
      <c r="I746" s="20"/>
      <c r="J746" s="20"/>
      <c r="K746" s="20"/>
      <c r="L746" s="20"/>
      <c r="M746" s="20"/>
      <c r="N746" s="20"/>
      <c r="O746" s="20"/>
      <c r="P746" s="20"/>
      <c r="Q746" s="20"/>
      <c r="R746" s="20"/>
    </row>
    <row r="747">
      <c r="A747" s="20"/>
      <c r="B747" s="20"/>
      <c r="C747" s="20"/>
      <c r="D747" s="20"/>
      <c r="E747" s="20"/>
      <c r="F747" s="20"/>
      <c r="G747" s="20"/>
      <c r="H747" s="20"/>
      <c r="I747" s="20"/>
      <c r="J747" s="20"/>
      <c r="K747" s="20"/>
      <c r="L747" s="20"/>
      <c r="M747" s="20"/>
      <c r="N747" s="20"/>
      <c r="O747" s="20"/>
      <c r="P747" s="20"/>
      <c r="Q747" s="20"/>
      <c r="R747" s="20"/>
    </row>
    <row r="748">
      <c r="A748" s="20"/>
      <c r="B748" s="20"/>
      <c r="C748" s="20"/>
      <c r="D748" s="20"/>
      <c r="E748" s="20"/>
      <c r="F748" s="20"/>
      <c r="G748" s="20"/>
      <c r="H748" s="20"/>
      <c r="I748" s="20"/>
      <c r="J748" s="20"/>
      <c r="K748" s="20"/>
      <c r="L748" s="20"/>
      <c r="M748" s="20"/>
      <c r="N748" s="20"/>
      <c r="O748" s="20"/>
      <c r="P748" s="20"/>
      <c r="Q748" s="20"/>
      <c r="R748" s="20"/>
    </row>
    <row r="749">
      <c r="A749" s="20"/>
      <c r="B749" s="20"/>
      <c r="C749" s="20"/>
      <c r="D749" s="20"/>
      <c r="E749" s="20"/>
      <c r="F749" s="20"/>
      <c r="G749" s="20"/>
      <c r="H749" s="20"/>
      <c r="I749" s="20"/>
      <c r="J749" s="20"/>
      <c r="K749" s="20"/>
      <c r="L749" s="20"/>
      <c r="M749" s="20"/>
      <c r="N749" s="20"/>
      <c r="O749" s="20"/>
      <c r="P749" s="20"/>
      <c r="Q749" s="20"/>
      <c r="R749" s="20"/>
    </row>
    <row r="750">
      <c r="A750" s="20"/>
      <c r="B750" s="20"/>
      <c r="C750" s="20"/>
      <c r="D750" s="20"/>
      <c r="E750" s="20"/>
      <c r="F750" s="20"/>
      <c r="G750" s="20"/>
      <c r="H750" s="20"/>
      <c r="I750" s="20"/>
      <c r="J750" s="20"/>
      <c r="K750" s="20"/>
      <c r="L750" s="20"/>
      <c r="M750" s="20"/>
      <c r="N750" s="20"/>
      <c r="O750" s="20"/>
      <c r="P750" s="20"/>
      <c r="Q750" s="20"/>
      <c r="R750" s="20"/>
    </row>
    <row r="751">
      <c r="A751" s="20"/>
      <c r="B751" s="20"/>
      <c r="C751" s="20"/>
      <c r="D751" s="20"/>
      <c r="E751" s="20"/>
      <c r="F751" s="20"/>
      <c r="G751" s="20"/>
      <c r="H751" s="20"/>
      <c r="I751" s="20"/>
      <c r="J751" s="20"/>
      <c r="K751" s="20"/>
      <c r="L751" s="20"/>
      <c r="M751" s="20"/>
      <c r="N751" s="20"/>
      <c r="O751" s="20"/>
      <c r="P751" s="20"/>
      <c r="Q751" s="20"/>
      <c r="R751" s="20"/>
    </row>
    <row r="752">
      <c r="A752" s="20"/>
      <c r="B752" s="20"/>
      <c r="C752" s="20"/>
      <c r="D752" s="20"/>
      <c r="E752" s="20"/>
      <c r="F752" s="20"/>
      <c r="G752" s="20"/>
      <c r="H752" s="20"/>
      <c r="I752" s="20"/>
      <c r="J752" s="20"/>
      <c r="K752" s="20"/>
      <c r="L752" s="20"/>
      <c r="M752" s="20"/>
      <c r="N752" s="20"/>
      <c r="O752" s="20"/>
      <c r="P752" s="20"/>
      <c r="Q752" s="20"/>
      <c r="R752" s="20"/>
    </row>
    <row r="753">
      <c r="A753" s="20"/>
      <c r="B753" s="20"/>
      <c r="C753" s="20"/>
      <c r="D753" s="20"/>
      <c r="E753" s="20"/>
      <c r="F753" s="20"/>
      <c r="G753" s="20"/>
      <c r="H753" s="20"/>
      <c r="I753" s="20"/>
      <c r="J753" s="20"/>
      <c r="K753" s="20"/>
      <c r="L753" s="20"/>
      <c r="M753" s="20"/>
      <c r="N753" s="20"/>
      <c r="O753" s="20"/>
      <c r="P753" s="20"/>
      <c r="Q753" s="20"/>
      <c r="R753" s="20"/>
    </row>
    <row r="754">
      <c r="A754" s="20"/>
      <c r="B754" s="20"/>
      <c r="C754" s="20"/>
      <c r="D754" s="20"/>
      <c r="E754" s="20"/>
      <c r="F754" s="20"/>
      <c r="G754" s="20"/>
      <c r="H754" s="20"/>
      <c r="I754" s="20"/>
      <c r="J754" s="20"/>
      <c r="K754" s="20"/>
      <c r="L754" s="20"/>
      <c r="M754" s="20"/>
      <c r="N754" s="20"/>
      <c r="O754" s="20"/>
      <c r="P754" s="20"/>
      <c r="Q754" s="20"/>
      <c r="R754" s="20"/>
    </row>
    <row r="755">
      <c r="A755" s="20"/>
      <c r="B755" s="20"/>
      <c r="C755" s="20"/>
      <c r="D755" s="20"/>
      <c r="E755" s="20"/>
      <c r="F755" s="20"/>
      <c r="G755" s="20"/>
      <c r="H755" s="20"/>
      <c r="I755" s="20"/>
      <c r="J755" s="20"/>
      <c r="K755" s="20"/>
      <c r="L755" s="20"/>
      <c r="M755" s="20"/>
      <c r="N755" s="20"/>
      <c r="O755" s="20"/>
      <c r="P755" s="20"/>
      <c r="Q755" s="20"/>
      <c r="R755" s="20"/>
    </row>
    <row r="756">
      <c r="A756" s="20"/>
      <c r="B756" s="20"/>
      <c r="C756" s="20"/>
      <c r="D756" s="20"/>
      <c r="E756" s="20"/>
      <c r="F756" s="20"/>
      <c r="G756" s="20"/>
      <c r="H756" s="20"/>
      <c r="I756" s="20"/>
      <c r="J756" s="20"/>
      <c r="K756" s="20"/>
      <c r="L756" s="20"/>
      <c r="M756" s="20"/>
      <c r="N756" s="20"/>
      <c r="O756" s="20"/>
      <c r="P756" s="20"/>
      <c r="Q756" s="20"/>
      <c r="R756" s="20"/>
    </row>
    <row r="757">
      <c r="A757" s="20"/>
      <c r="B757" s="20"/>
      <c r="C757" s="20"/>
      <c r="D757" s="20"/>
      <c r="E757" s="20"/>
      <c r="F757" s="20"/>
      <c r="G757" s="20"/>
      <c r="H757" s="20"/>
      <c r="I757" s="20"/>
      <c r="J757" s="20"/>
      <c r="K757" s="20"/>
      <c r="L757" s="20"/>
      <c r="M757" s="20"/>
      <c r="N757" s="20"/>
      <c r="O757" s="20"/>
      <c r="P757" s="20"/>
      <c r="Q757" s="20"/>
      <c r="R757" s="20"/>
    </row>
    <row r="758">
      <c r="A758" s="20"/>
      <c r="B758" s="20"/>
      <c r="C758" s="20"/>
      <c r="D758" s="20"/>
      <c r="E758" s="20"/>
      <c r="F758" s="20"/>
      <c r="G758" s="20"/>
      <c r="H758" s="20"/>
      <c r="I758" s="20"/>
      <c r="J758" s="20"/>
      <c r="K758" s="20"/>
      <c r="L758" s="20"/>
      <c r="M758" s="20"/>
      <c r="N758" s="20"/>
      <c r="O758" s="20"/>
      <c r="P758" s="20"/>
      <c r="Q758" s="20"/>
      <c r="R758" s="20"/>
    </row>
    <row r="759">
      <c r="A759" s="20"/>
      <c r="B759" s="20"/>
      <c r="C759" s="20"/>
      <c r="D759" s="20"/>
      <c r="E759" s="20"/>
      <c r="F759" s="20"/>
      <c r="G759" s="20"/>
      <c r="H759" s="20"/>
      <c r="I759" s="20"/>
      <c r="J759" s="20"/>
      <c r="K759" s="20"/>
      <c r="L759" s="20"/>
      <c r="M759" s="20"/>
      <c r="N759" s="20"/>
      <c r="O759" s="20"/>
      <c r="P759" s="20"/>
      <c r="Q759" s="20"/>
      <c r="R759" s="20"/>
    </row>
    <row r="760">
      <c r="A760" s="20"/>
      <c r="B760" s="20"/>
      <c r="C760" s="20"/>
      <c r="D760" s="20"/>
      <c r="E760" s="20"/>
      <c r="F760" s="20"/>
      <c r="G760" s="20"/>
      <c r="H760" s="20"/>
      <c r="I760" s="20"/>
      <c r="J760" s="20"/>
      <c r="K760" s="20"/>
      <c r="L760" s="20"/>
      <c r="M760" s="20"/>
      <c r="N760" s="20"/>
      <c r="O760" s="20"/>
      <c r="P760" s="20"/>
      <c r="Q760" s="20"/>
      <c r="R760" s="20"/>
    </row>
    <row r="761">
      <c r="A761" s="20"/>
      <c r="B761" s="20"/>
      <c r="C761" s="20"/>
      <c r="D761" s="20"/>
      <c r="E761" s="20"/>
      <c r="F761" s="20"/>
      <c r="G761" s="20"/>
      <c r="H761" s="20"/>
      <c r="I761" s="20"/>
      <c r="J761" s="20"/>
      <c r="K761" s="20"/>
      <c r="L761" s="20"/>
      <c r="M761" s="20"/>
      <c r="N761" s="20"/>
      <c r="O761" s="20"/>
      <c r="P761" s="20"/>
      <c r="Q761" s="20"/>
      <c r="R761" s="20"/>
    </row>
    <row r="762">
      <c r="A762" s="20"/>
      <c r="B762" s="20"/>
      <c r="C762" s="20"/>
      <c r="D762" s="20"/>
      <c r="E762" s="20"/>
      <c r="F762" s="20"/>
      <c r="G762" s="20"/>
      <c r="H762" s="20"/>
      <c r="I762" s="20"/>
      <c r="J762" s="20"/>
      <c r="K762" s="20"/>
      <c r="L762" s="20"/>
      <c r="M762" s="20"/>
      <c r="N762" s="20"/>
      <c r="O762" s="20"/>
      <c r="P762" s="20"/>
      <c r="Q762" s="20"/>
      <c r="R762" s="20"/>
    </row>
    <row r="763">
      <c r="A763" s="20"/>
      <c r="B763" s="20"/>
      <c r="C763" s="20"/>
      <c r="D763" s="20"/>
      <c r="E763" s="20"/>
      <c r="F763" s="20"/>
      <c r="G763" s="20"/>
      <c r="H763" s="20"/>
      <c r="I763" s="20"/>
      <c r="J763" s="20"/>
      <c r="K763" s="20"/>
      <c r="L763" s="20"/>
      <c r="M763" s="20"/>
      <c r="N763" s="20"/>
      <c r="O763" s="20"/>
      <c r="P763" s="20"/>
      <c r="Q763" s="20"/>
      <c r="R763" s="20"/>
    </row>
    <row r="764">
      <c r="A764" s="20"/>
      <c r="B764" s="20"/>
      <c r="C764" s="20"/>
      <c r="D764" s="20"/>
      <c r="E764" s="20"/>
      <c r="F764" s="20"/>
      <c r="G764" s="20"/>
      <c r="H764" s="20"/>
      <c r="I764" s="20"/>
      <c r="J764" s="20"/>
      <c r="K764" s="20"/>
      <c r="L764" s="20"/>
      <c r="M764" s="20"/>
      <c r="N764" s="20"/>
      <c r="O764" s="20"/>
      <c r="P764" s="20"/>
      <c r="Q764" s="20"/>
      <c r="R764" s="20"/>
    </row>
    <row r="765">
      <c r="A765" s="20"/>
      <c r="B765" s="20"/>
      <c r="C765" s="20"/>
      <c r="D765" s="20"/>
      <c r="E765" s="20"/>
      <c r="F765" s="20"/>
      <c r="G765" s="20"/>
      <c r="H765" s="20"/>
      <c r="I765" s="20"/>
      <c r="J765" s="20"/>
      <c r="K765" s="20"/>
      <c r="L765" s="20"/>
      <c r="M765" s="20"/>
      <c r="N765" s="20"/>
      <c r="O765" s="20"/>
      <c r="P765" s="20"/>
      <c r="Q765" s="20"/>
      <c r="R765" s="20"/>
    </row>
    <row r="766">
      <c r="A766" s="20"/>
      <c r="B766" s="20"/>
      <c r="C766" s="20"/>
      <c r="D766" s="20"/>
      <c r="E766" s="20"/>
      <c r="F766" s="20"/>
      <c r="G766" s="20"/>
      <c r="H766" s="20"/>
      <c r="I766" s="20"/>
      <c r="J766" s="20"/>
      <c r="K766" s="20"/>
      <c r="L766" s="20"/>
      <c r="M766" s="20"/>
      <c r="N766" s="20"/>
      <c r="O766" s="20"/>
      <c r="P766" s="20"/>
      <c r="Q766" s="20"/>
      <c r="R766" s="20"/>
    </row>
    <row r="767">
      <c r="A767" s="20"/>
      <c r="B767" s="20"/>
      <c r="C767" s="20"/>
      <c r="D767" s="20"/>
      <c r="E767" s="20"/>
      <c r="F767" s="20"/>
      <c r="G767" s="20"/>
      <c r="H767" s="20"/>
      <c r="I767" s="20"/>
      <c r="J767" s="20"/>
      <c r="K767" s="20"/>
      <c r="L767" s="20"/>
      <c r="M767" s="20"/>
      <c r="N767" s="20"/>
      <c r="O767" s="20"/>
      <c r="P767" s="20"/>
      <c r="Q767" s="20"/>
      <c r="R767" s="20"/>
    </row>
    <row r="768">
      <c r="A768" s="20"/>
      <c r="B768" s="20"/>
      <c r="C768" s="20"/>
      <c r="D768" s="20"/>
      <c r="E768" s="20"/>
      <c r="F768" s="20"/>
      <c r="G768" s="20"/>
      <c r="H768" s="20"/>
      <c r="I768" s="20"/>
      <c r="J768" s="20"/>
      <c r="K768" s="20"/>
      <c r="L768" s="20"/>
      <c r="M768" s="20"/>
      <c r="N768" s="20"/>
      <c r="O768" s="20"/>
      <c r="P768" s="20"/>
      <c r="Q768" s="20"/>
      <c r="R768" s="20"/>
    </row>
    <row r="769">
      <c r="A769" s="20"/>
      <c r="B769" s="20"/>
      <c r="C769" s="20"/>
      <c r="D769" s="20"/>
      <c r="E769" s="20"/>
      <c r="F769" s="20"/>
      <c r="G769" s="20"/>
      <c r="H769" s="20"/>
      <c r="I769" s="20"/>
      <c r="J769" s="20"/>
      <c r="K769" s="20"/>
      <c r="L769" s="20"/>
      <c r="M769" s="20"/>
      <c r="N769" s="20"/>
      <c r="O769" s="20"/>
      <c r="P769" s="20"/>
      <c r="Q769" s="20"/>
      <c r="R769" s="20"/>
    </row>
    <row r="770">
      <c r="A770" s="20"/>
      <c r="B770" s="20"/>
      <c r="C770" s="20"/>
      <c r="D770" s="20"/>
      <c r="E770" s="20"/>
      <c r="F770" s="20"/>
      <c r="G770" s="20"/>
      <c r="H770" s="20"/>
      <c r="I770" s="20"/>
      <c r="J770" s="20"/>
      <c r="K770" s="20"/>
      <c r="L770" s="20"/>
      <c r="M770" s="20"/>
      <c r="N770" s="20"/>
      <c r="O770" s="20"/>
      <c r="P770" s="20"/>
      <c r="Q770" s="20"/>
      <c r="R770" s="20"/>
    </row>
    <row r="771">
      <c r="A771" s="20"/>
      <c r="B771" s="20"/>
      <c r="C771" s="20"/>
      <c r="D771" s="20"/>
      <c r="E771" s="20"/>
      <c r="F771" s="20"/>
      <c r="G771" s="20"/>
      <c r="H771" s="20"/>
      <c r="I771" s="20"/>
      <c r="J771" s="20"/>
      <c r="K771" s="20"/>
      <c r="L771" s="20"/>
      <c r="M771" s="20"/>
      <c r="N771" s="20"/>
      <c r="O771" s="20"/>
      <c r="P771" s="20"/>
      <c r="Q771" s="20"/>
      <c r="R771" s="20"/>
    </row>
    <row r="772">
      <c r="A772" s="20"/>
      <c r="B772" s="20"/>
      <c r="C772" s="20"/>
      <c r="D772" s="20"/>
      <c r="E772" s="20"/>
      <c r="F772" s="20"/>
      <c r="G772" s="20"/>
      <c r="H772" s="20"/>
      <c r="I772" s="20"/>
      <c r="J772" s="20"/>
      <c r="K772" s="20"/>
      <c r="L772" s="20"/>
      <c r="M772" s="20"/>
      <c r="N772" s="20"/>
      <c r="O772" s="20"/>
      <c r="P772" s="20"/>
      <c r="Q772" s="20"/>
      <c r="R772" s="20"/>
    </row>
    <row r="773">
      <c r="A773" s="20"/>
      <c r="B773" s="20"/>
      <c r="C773" s="20"/>
      <c r="D773" s="20"/>
      <c r="E773" s="20"/>
      <c r="F773" s="20"/>
      <c r="G773" s="20"/>
      <c r="H773" s="20"/>
      <c r="I773" s="20"/>
      <c r="J773" s="20"/>
      <c r="K773" s="20"/>
      <c r="L773" s="20"/>
      <c r="M773" s="20"/>
      <c r="N773" s="20"/>
      <c r="O773" s="20"/>
      <c r="P773" s="20"/>
      <c r="Q773" s="20"/>
      <c r="R773" s="20"/>
    </row>
    <row r="774">
      <c r="A774" s="20"/>
      <c r="B774" s="20"/>
      <c r="C774" s="20"/>
      <c r="D774" s="20"/>
      <c r="E774" s="20"/>
      <c r="F774" s="20"/>
      <c r="G774" s="20"/>
      <c r="H774" s="20"/>
      <c r="I774" s="20"/>
      <c r="J774" s="20"/>
      <c r="K774" s="20"/>
      <c r="L774" s="20"/>
      <c r="M774" s="20"/>
      <c r="N774" s="20"/>
      <c r="O774" s="20"/>
      <c r="P774" s="20"/>
      <c r="Q774" s="20"/>
      <c r="R774" s="20"/>
    </row>
    <row r="775">
      <c r="A775" s="20"/>
      <c r="B775" s="20"/>
      <c r="C775" s="20"/>
      <c r="D775" s="20"/>
      <c r="E775" s="20"/>
      <c r="F775" s="20"/>
      <c r="G775" s="20"/>
      <c r="H775" s="20"/>
      <c r="I775" s="20"/>
      <c r="J775" s="20"/>
      <c r="K775" s="20"/>
      <c r="L775" s="20"/>
      <c r="M775" s="20"/>
      <c r="N775" s="20"/>
      <c r="O775" s="20"/>
      <c r="P775" s="20"/>
      <c r="Q775" s="20"/>
      <c r="R775" s="20"/>
    </row>
    <row r="776">
      <c r="A776" s="20"/>
      <c r="B776" s="20"/>
      <c r="C776" s="20"/>
      <c r="D776" s="20"/>
      <c r="E776" s="20"/>
      <c r="F776" s="20"/>
      <c r="G776" s="20"/>
      <c r="H776" s="20"/>
      <c r="I776" s="20"/>
      <c r="J776" s="20"/>
      <c r="K776" s="20"/>
      <c r="L776" s="20"/>
      <c r="M776" s="20"/>
      <c r="N776" s="20"/>
      <c r="O776" s="20"/>
      <c r="P776" s="20"/>
      <c r="Q776" s="20"/>
      <c r="R776" s="20"/>
    </row>
    <row r="777">
      <c r="A777" s="20"/>
      <c r="B777" s="20"/>
      <c r="C777" s="20"/>
      <c r="D777" s="20"/>
      <c r="E777" s="20"/>
      <c r="F777" s="20"/>
      <c r="G777" s="20"/>
      <c r="H777" s="20"/>
      <c r="I777" s="20"/>
      <c r="J777" s="20"/>
      <c r="K777" s="20"/>
      <c r="L777" s="20"/>
      <c r="M777" s="20"/>
      <c r="N777" s="20"/>
      <c r="O777" s="20"/>
      <c r="P777" s="20"/>
      <c r="Q777" s="20"/>
      <c r="R777" s="20"/>
    </row>
    <row r="778">
      <c r="A778" s="20"/>
      <c r="B778" s="20"/>
      <c r="C778" s="20"/>
      <c r="D778" s="20"/>
      <c r="E778" s="20"/>
      <c r="F778" s="20"/>
      <c r="G778" s="20"/>
      <c r="H778" s="20"/>
      <c r="I778" s="20"/>
      <c r="J778" s="20"/>
      <c r="K778" s="20"/>
      <c r="L778" s="20"/>
      <c r="M778" s="20"/>
      <c r="N778" s="20"/>
      <c r="O778" s="20"/>
      <c r="P778" s="20"/>
      <c r="Q778" s="20"/>
      <c r="R778" s="20"/>
    </row>
    <row r="779">
      <c r="A779" s="20"/>
      <c r="B779" s="20"/>
      <c r="C779" s="20"/>
      <c r="D779" s="20"/>
      <c r="E779" s="20"/>
      <c r="F779" s="20"/>
      <c r="G779" s="20"/>
      <c r="H779" s="20"/>
      <c r="I779" s="20"/>
      <c r="J779" s="20"/>
      <c r="K779" s="20"/>
      <c r="L779" s="20"/>
      <c r="M779" s="20"/>
      <c r="N779" s="20"/>
      <c r="O779" s="20"/>
      <c r="P779" s="20"/>
      <c r="Q779" s="20"/>
      <c r="R779" s="20"/>
    </row>
    <row r="780">
      <c r="A780" s="20"/>
      <c r="B780" s="20"/>
      <c r="C780" s="20"/>
      <c r="D780" s="20"/>
      <c r="E780" s="20"/>
      <c r="F780" s="20"/>
      <c r="G780" s="20"/>
      <c r="H780" s="20"/>
      <c r="I780" s="20"/>
      <c r="J780" s="20"/>
      <c r="K780" s="20"/>
      <c r="L780" s="20"/>
      <c r="M780" s="20"/>
      <c r="N780" s="20"/>
      <c r="O780" s="20"/>
      <c r="P780" s="20"/>
      <c r="Q780" s="20"/>
      <c r="R780" s="20"/>
    </row>
    <row r="781">
      <c r="A781" s="20"/>
      <c r="B781" s="20"/>
      <c r="C781" s="20"/>
      <c r="D781" s="20"/>
      <c r="E781" s="20"/>
      <c r="F781" s="20"/>
      <c r="G781" s="20"/>
      <c r="H781" s="20"/>
      <c r="I781" s="20"/>
      <c r="J781" s="20"/>
      <c r="K781" s="20"/>
      <c r="L781" s="20"/>
      <c r="M781" s="20"/>
      <c r="N781" s="20"/>
      <c r="O781" s="20"/>
      <c r="P781" s="20"/>
      <c r="Q781" s="20"/>
      <c r="R781" s="20"/>
    </row>
    <row r="782">
      <c r="A782" s="20"/>
      <c r="B782" s="20"/>
      <c r="C782" s="20"/>
      <c r="D782" s="20"/>
      <c r="E782" s="20"/>
      <c r="F782" s="20"/>
      <c r="G782" s="20"/>
      <c r="H782" s="20"/>
      <c r="I782" s="20"/>
      <c r="J782" s="20"/>
      <c r="K782" s="20"/>
      <c r="L782" s="20"/>
      <c r="M782" s="20"/>
      <c r="N782" s="20"/>
      <c r="O782" s="20"/>
      <c r="P782" s="20"/>
      <c r="Q782" s="20"/>
      <c r="R782" s="20"/>
    </row>
    <row r="783">
      <c r="A783" s="20"/>
      <c r="B783" s="20"/>
      <c r="C783" s="20"/>
      <c r="D783" s="20"/>
      <c r="E783" s="20"/>
      <c r="F783" s="20"/>
      <c r="G783" s="20"/>
      <c r="H783" s="20"/>
      <c r="I783" s="20"/>
      <c r="J783" s="20"/>
      <c r="K783" s="20"/>
      <c r="L783" s="20"/>
      <c r="M783" s="20"/>
      <c r="N783" s="20"/>
      <c r="O783" s="20"/>
      <c r="P783" s="20"/>
      <c r="Q783" s="20"/>
      <c r="R783" s="20"/>
    </row>
    <row r="784">
      <c r="A784" s="20"/>
      <c r="B784" s="20"/>
      <c r="C784" s="20"/>
      <c r="D784" s="20"/>
      <c r="E784" s="20"/>
      <c r="F784" s="20"/>
      <c r="G784" s="20"/>
      <c r="H784" s="20"/>
      <c r="I784" s="20"/>
      <c r="J784" s="20"/>
      <c r="K784" s="20"/>
      <c r="L784" s="20"/>
      <c r="M784" s="20"/>
      <c r="N784" s="20"/>
      <c r="O784" s="20"/>
      <c r="P784" s="20"/>
      <c r="Q784" s="20"/>
      <c r="R784" s="20"/>
    </row>
    <row r="785">
      <c r="A785" s="20"/>
      <c r="B785" s="20"/>
      <c r="C785" s="20"/>
      <c r="D785" s="20"/>
      <c r="E785" s="20"/>
      <c r="F785" s="20"/>
      <c r="G785" s="20"/>
      <c r="H785" s="20"/>
      <c r="I785" s="20"/>
      <c r="J785" s="20"/>
      <c r="K785" s="20"/>
      <c r="L785" s="20"/>
      <c r="M785" s="20"/>
      <c r="N785" s="20"/>
      <c r="O785" s="20"/>
      <c r="P785" s="20"/>
      <c r="Q785" s="20"/>
      <c r="R785" s="20"/>
    </row>
    <row r="786">
      <c r="A786" s="20"/>
      <c r="B786" s="20"/>
      <c r="C786" s="20"/>
      <c r="D786" s="20"/>
      <c r="E786" s="20"/>
      <c r="F786" s="20"/>
      <c r="G786" s="20"/>
      <c r="H786" s="20"/>
      <c r="I786" s="20"/>
      <c r="J786" s="20"/>
      <c r="K786" s="20"/>
      <c r="L786" s="20"/>
      <c r="M786" s="20"/>
      <c r="N786" s="20"/>
      <c r="O786" s="20"/>
      <c r="P786" s="20"/>
      <c r="Q786" s="20"/>
      <c r="R786" s="20"/>
    </row>
    <row r="787">
      <c r="A787" s="20"/>
      <c r="B787" s="20"/>
      <c r="C787" s="20"/>
      <c r="D787" s="20"/>
      <c r="E787" s="20"/>
      <c r="F787" s="20"/>
      <c r="G787" s="20"/>
      <c r="H787" s="20"/>
      <c r="I787" s="20"/>
      <c r="J787" s="20"/>
      <c r="K787" s="20"/>
      <c r="L787" s="20"/>
      <c r="M787" s="20"/>
      <c r="N787" s="20"/>
      <c r="O787" s="20"/>
      <c r="P787" s="20"/>
      <c r="Q787" s="20"/>
      <c r="R787" s="20"/>
    </row>
    <row r="788">
      <c r="A788" s="20"/>
      <c r="B788" s="20"/>
      <c r="C788" s="20"/>
      <c r="D788" s="20"/>
      <c r="E788" s="20"/>
      <c r="F788" s="20"/>
      <c r="G788" s="20"/>
      <c r="H788" s="20"/>
      <c r="I788" s="20"/>
      <c r="J788" s="20"/>
      <c r="K788" s="20"/>
      <c r="L788" s="20"/>
      <c r="M788" s="20"/>
      <c r="N788" s="20"/>
      <c r="O788" s="20"/>
      <c r="P788" s="20"/>
      <c r="Q788" s="20"/>
      <c r="R788" s="20"/>
    </row>
    <row r="789">
      <c r="A789" s="20"/>
      <c r="B789" s="20"/>
      <c r="C789" s="20"/>
      <c r="D789" s="20"/>
      <c r="E789" s="20"/>
      <c r="F789" s="20"/>
      <c r="G789" s="20"/>
      <c r="H789" s="20"/>
      <c r="I789" s="20"/>
      <c r="J789" s="20"/>
      <c r="K789" s="20"/>
      <c r="L789" s="20"/>
      <c r="M789" s="20"/>
      <c r="N789" s="20"/>
      <c r="O789" s="20"/>
      <c r="P789" s="20"/>
      <c r="Q789" s="20"/>
      <c r="R789" s="20"/>
    </row>
    <row r="790">
      <c r="A790" s="20"/>
      <c r="B790" s="20"/>
      <c r="C790" s="20"/>
      <c r="D790" s="20"/>
      <c r="E790" s="20"/>
      <c r="F790" s="20"/>
      <c r="G790" s="20"/>
      <c r="H790" s="20"/>
      <c r="I790" s="20"/>
      <c r="J790" s="20"/>
      <c r="K790" s="20"/>
      <c r="L790" s="20"/>
      <c r="M790" s="20"/>
      <c r="N790" s="20"/>
      <c r="O790" s="20"/>
      <c r="P790" s="20"/>
      <c r="Q790" s="20"/>
      <c r="R790" s="20"/>
    </row>
    <row r="791">
      <c r="A791" s="20"/>
      <c r="B791" s="20"/>
      <c r="C791" s="20"/>
      <c r="D791" s="20"/>
      <c r="E791" s="20"/>
      <c r="F791" s="20"/>
      <c r="G791" s="20"/>
      <c r="H791" s="20"/>
      <c r="I791" s="20"/>
      <c r="J791" s="20"/>
      <c r="K791" s="20"/>
      <c r="L791" s="20"/>
      <c r="M791" s="20"/>
      <c r="N791" s="20"/>
      <c r="O791" s="20"/>
      <c r="P791" s="20"/>
      <c r="Q791" s="20"/>
      <c r="R791" s="20"/>
    </row>
    <row r="792">
      <c r="A792" s="20"/>
      <c r="B792" s="20"/>
      <c r="C792" s="20"/>
      <c r="D792" s="20"/>
      <c r="E792" s="20"/>
      <c r="F792" s="20"/>
      <c r="G792" s="20"/>
      <c r="H792" s="20"/>
      <c r="I792" s="20"/>
      <c r="J792" s="20"/>
      <c r="K792" s="20"/>
      <c r="L792" s="20"/>
      <c r="M792" s="20"/>
      <c r="N792" s="20"/>
      <c r="O792" s="20"/>
      <c r="P792" s="20"/>
      <c r="Q792" s="20"/>
      <c r="R792" s="20"/>
    </row>
    <row r="793">
      <c r="A793" s="20"/>
      <c r="B793" s="20"/>
      <c r="C793" s="20"/>
      <c r="D793" s="20"/>
      <c r="E793" s="20"/>
      <c r="F793" s="20"/>
      <c r="G793" s="20"/>
      <c r="H793" s="20"/>
      <c r="I793" s="20"/>
      <c r="J793" s="20"/>
      <c r="K793" s="20"/>
      <c r="L793" s="20"/>
      <c r="M793" s="20"/>
      <c r="N793" s="20"/>
      <c r="O793" s="20"/>
      <c r="P793" s="20"/>
      <c r="Q793" s="20"/>
      <c r="R793" s="20"/>
    </row>
    <row r="794">
      <c r="A794" s="20"/>
      <c r="B794" s="20"/>
      <c r="C794" s="20"/>
      <c r="D794" s="20"/>
      <c r="E794" s="20"/>
      <c r="F794" s="20"/>
      <c r="G794" s="20"/>
      <c r="H794" s="20"/>
      <c r="I794" s="20"/>
      <c r="J794" s="20"/>
      <c r="K794" s="20"/>
      <c r="L794" s="20"/>
      <c r="M794" s="20"/>
      <c r="N794" s="20"/>
      <c r="O794" s="20"/>
      <c r="P794" s="20"/>
      <c r="Q794" s="20"/>
      <c r="R794" s="20"/>
    </row>
    <row r="795">
      <c r="A795" s="20"/>
      <c r="B795" s="20"/>
      <c r="C795" s="20"/>
      <c r="D795" s="20"/>
      <c r="E795" s="20"/>
      <c r="F795" s="20"/>
      <c r="G795" s="20"/>
      <c r="H795" s="20"/>
      <c r="I795" s="20"/>
      <c r="J795" s="20"/>
      <c r="K795" s="20"/>
      <c r="L795" s="20"/>
      <c r="M795" s="20"/>
      <c r="N795" s="20"/>
      <c r="O795" s="20"/>
      <c r="P795" s="20"/>
      <c r="Q795" s="20"/>
      <c r="R795" s="20"/>
    </row>
    <row r="796">
      <c r="A796" s="20"/>
      <c r="B796" s="20"/>
      <c r="C796" s="20"/>
      <c r="D796" s="20"/>
      <c r="E796" s="20"/>
      <c r="F796" s="20"/>
      <c r="G796" s="20"/>
      <c r="H796" s="20"/>
      <c r="I796" s="20"/>
      <c r="J796" s="20"/>
      <c r="K796" s="20"/>
      <c r="L796" s="20"/>
      <c r="M796" s="20"/>
      <c r="N796" s="20"/>
      <c r="O796" s="20"/>
      <c r="P796" s="20"/>
      <c r="Q796" s="20"/>
      <c r="R796" s="20"/>
    </row>
    <row r="797">
      <c r="A797" s="20"/>
      <c r="B797" s="20"/>
      <c r="C797" s="20"/>
      <c r="D797" s="20"/>
      <c r="E797" s="20"/>
      <c r="F797" s="20"/>
      <c r="G797" s="20"/>
      <c r="H797" s="20"/>
      <c r="I797" s="20"/>
      <c r="J797" s="20"/>
      <c r="K797" s="20"/>
      <c r="L797" s="20"/>
      <c r="M797" s="20"/>
      <c r="N797" s="20"/>
      <c r="O797" s="20"/>
      <c r="P797" s="20"/>
      <c r="Q797" s="20"/>
      <c r="R797" s="20"/>
    </row>
    <row r="798">
      <c r="A798" s="20"/>
      <c r="B798" s="20"/>
      <c r="C798" s="20"/>
      <c r="D798" s="20"/>
      <c r="E798" s="20"/>
      <c r="F798" s="20"/>
      <c r="G798" s="20"/>
      <c r="H798" s="20"/>
      <c r="I798" s="20"/>
      <c r="J798" s="20"/>
      <c r="K798" s="20"/>
      <c r="L798" s="20"/>
      <c r="M798" s="20"/>
      <c r="N798" s="20"/>
      <c r="O798" s="20"/>
      <c r="P798" s="20"/>
      <c r="Q798" s="20"/>
      <c r="R798" s="20"/>
    </row>
    <row r="799">
      <c r="A799" s="20"/>
      <c r="B799" s="20"/>
      <c r="C799" s="20"/>
      <c r="D799" s="20"/>
      <c r="E799" s="20"/>
      <c r="F799" s="20"/>
      <c r="G799" s="20"/>
      <c r="H799" s="20"/>
      <c r="I799" s="20"/>
      <c r="J799" s="20"/>
      <c r="K799" s="20"/>
      <c r="L799" s="20"/>
      <c r="M799" s="20"/>
      <c r="N799" s="20"/>
      <c r="O799" s="20"/>
      <c r="P799" s="20"/>
      <c r="Q799" s="20"/>
      <c r="R799" s="20"/>
    </row>
    <row r="800">
      <c r="A800" s="20"/>
      <c r="B800" s="20"/>
      <c r="C800" s="20"/>
      <c r="D800" s="20"/>
      <c r="E800" s="20"/>
      <c r="F800" s="20"/>
      <c r="G800" s="20"/>
      <c r="H800" s="20"/>
      <c r="I800" s="20"/>
      <c r="J800" s="20"/>
      <c r="K800" s="20"/>
      <c r="L800" s="20"/>
      <c r="M800" s="20"/>
      <c r="N800" s="20"/>
      <c r="O800" s="20"/>
      <c r="P800" s="20"/>
      <c r="Q800" s="20"/>
      <c r="R800" s="20"/>
    </row>
    <row r="801">
      <c r="A801" s="20"/>
      <c r="B801" s="20"/>
      <c r="C801" s="20"/>
      <c r="D801" s="20"/>
      <c r="E801" s="20"/>
      <c r="F801" s="20"/>
      <c r="G801" s="20"/>
      <c r="H801" s="20"/>
      <c r="I801" s="20"/>
      <c r="J801" s="20"/>
      <c r="K801" s="20"/>
      <c r="L801" s="20"/>
      <c r="M801" s="20"/>
      <c r="N801" s="20"/>
      <c r="O801" s="20"/>
      <c r="P801" s="20"/>
      <c r="Q801" s="20"/>
      <c r="R801" s="20"/>
    </row>
    <row r="802">
      <c r="A802" s="20"/>
      <c r="B802" s="20"/>
      <c r="C802" s="20"/>
      <c r="D802" s="20"/>
      <c r="E802" s="20"/>
      <c r="F802" s="20"/>
      <c r="G802" s="20"/>
      <c r="H802" s="20"/>
      <c r="I802" s="20"/>
      <c r="J802" s="20"/>
      <c r="K802" s="20"/>
      <c r="L802" s="20"/>
      <c r="M802" s="20"/>
      <c r="N802" s="20"/>
      <c r="O802" s="20"/>
      <c r="P802" s="20"/>
      <c r="Q802" s="20"/>
      <c r="R802" s="20"/>
    </row>
    <row r="803">
      <c r="A803" s="20"/>
      <c r="B803" s="20"/>
      <c r="C803" s="20"/>
      <c r="D803" s="20"/>
      <c r="E803" s="20"/>
      <c r="F803" s="20"/>
      <c r="G803" s="20"/>
      <c r="H803" s="20"/>
      <c r="I803" s="20"/>
      <c r="J803" s="20"/>
      <c r="K803" s="20"/>
      <c r="L803" s="20"/>
      <c r="M803" s="20"/>
      <c r="N803" s="20"/>
      <c r="O803" s="20"/>
      <c r="P803" s="20"/>
      <c r="Q803" s="20"/>
      <c r="R803" s="20"/>
    </row>
    <row r="804">
      <c r="A804" s="20"/>
      <c r="B804" s="20"/>
      <c r="C804" s="20"/>
      <c r="D804" s="20"/>
      <c r="E804" s="20"/>
      <c r="F804" s="20"/>
      <c r="G804" s="20"/>
      <c r="H804" s="20"/>
      <c r="I804" s="20"/>
      <c r="J804" s="20"/>
      <c r="K804" s="20"/>
      <c r="L804" s="20"/>
      <c r="M804" s="20"/>
      <c r="N804" s="20"/>
      <c r="O804" s="20"/>
      <c r="P804" s="20"/>
      <c r="Q804" s="20"/>
      <c r="R804" s="20"/>
    </row>
    <row r="805">
      <c r="A805" s="20"/>
      <c r="B805" s="20"/>
      <c r="C805" s="20"/>
      <c r="D805" s="20"/>
      <c r="E805" s="20"/>
      <c r="F805" s="20"/>
      <c r="G805" s="20"/>
      <c r="H805" s="20"/>
      <c r="I805" s="20"/>
      <c r="J805" s="20"/>
      <c r="K805" s="20"/>
      <c r="L805" s="20"/>
      <c r="M805" s="20"/>
      <c r="N805" s="20"/>
      <c r="O805" s="20"/>
      <c r="P805" s="20"/>
      <c r="Q805" s="20"/>
      <c r="R805" s="20"/>
    </row>
    <row r="806">
      <c r="A806" s="20"/>
      <c r="B806" s="20"/>
      <c r="C806" s="20"/>
      <c r="D806" s="20"/>
      <c r="E806" s="20"/>
      <c r="F806" s="20"/>
      <c r="G806" s="20"/>
      <c r="H806" s="20"/>
      <c r="I806" s="20"/>
      <c r="J806" s="20"/>
      <c r="K806" s="20"/>
      <c r="L806" s="20"/>
      <c r="M806" s="20"/>
      <c r="N806" s="20"/>
      <c r="O806" s="20"/>
      <c r="P806" s="20"/>
      <c r="Q806" s="20"/>
      <c r="R806" s="20"/>
    </row>
    <row r="807">
      <c r="A807" s="20"/>
      <c r="B807" s="20"/>
      <c r="C807" s="20"/>
      <c r="D807" s="20"/>
      <c r="E807" s="20"/>
      <c r="F807" s="20"/>
      <c r="G807" s="20"/>
      <c r="H807" s="20"/>
      <c r="I807" s="20"/>
      <c r="J807" s="20"/>
      <c r="K807" s="20"/>
      <c r="L807" s="20"/>
      <c r="M807" s="20"/>
      <c r="N807" s="20"/>
      <c r="O807" s="20"/>
      <c r="P807" s="20"/>
      <c r="Q807" s="20"/>
      <c r="R807" s="20"/>
    </row>
    <row r="808">
      <c r="A808" s="20"/>
      <c r="B808" s="20"/>
      <c r="C808" s="20"/>
      <c r="D808" s="20"/>
      <c r="E808" s="20"/>
      <c r="F808" s="20"/>
      <c r="G808" s="20"/>
      <c r="H808" s="20"/>
      <c r="I808" s="20"/>
      <c r="J808" s="20"/>
      <c r="K808" s="20"/>
      <c r="L808" s="20"/>
      <c r="M808" s="20"/>
      <c r="N808" s="20"/>
      <c r="O808" s="20"/>
      <c r="P808" s="20"/>
      <c r="Q808" s="20"/>
      <c r="R808" s="20"/>
    </row>
    <row r="809">
      <c r="A809" s="20"/>
      <c r="B809" s="20"/>
      <c r="C809" s="20"/>
      <c r="D809" s="20"/>
      <c r="E809" s="20"/>
      <c r="F809" s="20"/>
      <c r="G809" s="20"/>
      <c r="H809" s="20"/>
      <c r="I809" s="20"/>
      <c r="J809" s="20"/>
      <c r="K809" s="20"/>
      <c r="L809" s="20"/>
      <c r="M809" s="20"/>
      <c r="N809" s="20"/>
      <c r="O809" s="20"/>
      <c r="P809" s="20"/>
      <c r="Q809" s="20"/>
      <c r="R809" s="20"/>
    </row>
    <row r="810">
      <c r="A810" s="20"/>
      <c r="B810" s="20"/>
      <c r="C810" s="20"/>
      <c r="D810" s="20"/>
      <c r="E810" s="20"/>
      <c r="F810" s="20"/>
      <c r="G810" s="20"/>
      <c r="H810" s="20"/>
      <c r="I810" s="20"/>
      <c r="J810" s="20"/>
      <c r="K810" s="20"/>
      <c r="L810" s="20"/>
      <c r="M810" s="20"/>
      <c r="N810" s="20"/>
      <c r="O810" s="20"/>
      <c r="P810" s="20"/>
      <c r="Q810" s="20"/>
      <c r="R810" s="20"/>
    </row>
    <row r="811">
      <c r="A811" s="20"/>
      <c r="B811" s="20"/>
      <c r="C811" s="20"/>
      <c r="D811" s="20"/>
      <c r="E811" s="20"/>
      <c r="F811" s="20"/>
      <c r="G811" s="20"/>
      <c r="H811" s="20"/>
      <c r="I811" s="20"/>
      <c r="J811" s="20"/>
      <c r="K811" s="20"/>
      <c r="L811" s="20"/>
      <c r="M811" s="20"/>
      <c r="N811" s="20"/>
      <c r="O811" s="20"/>
      <c r="P811" s="20"/>
      <c r="Q811" s="20"/>
      <c r="R811" s="20"/>
    </row>
    <row r="812">
      <c r="A812" s="20"/>
      <c r="B812" s="20"/>
      <c r="C812" s="20"/>
      <c r="D812" s="20"/>
      <c r="E812" s="20"/>
      <c r="F812" s="20"/>
      <c r="G812" s="20"/>
      <c r="H812" s="20"/>
      <c r="I812" s="20"/>
      <c r="J812" s="20"/>
      <c r="K812" s="20"/>
      <c r="L812" s="20"/>
      <c r="M812" s="20"/>
      <c r="N812" s="20"/>
      <c r="O812" s="20"/>
      <c r="P812" s="20"/>
      <c r="Q812" s="20"/>
      <c r="R812" s="20"/>
    </row>
    <row r="813">
      <c r="A813" s="20"/>
      <c r="B813" s="20"/>
      <c r="C813" s="20"/>
      <c r="D813" s="20"/>
      <c r="E813" s="20"/>
      <c r="F813" s="20"/>
      <c r="G813" s="20"/>
      <c r="H813" s="20"/>
      <c r="I813" s="20"/>
      <c r="J813" s="20"/>
      <c r="K813" s="20"/>
      <c r="L813" s="20"/>
      <c r="M813" s="20"/>
      <c r="N813" s="20"/>
      <c r="O813" s="20"/>
      <c r="P813" s="20"/>
      <c r="Q813" s="20"/>
      <c r="R813" s="20"/>
    </row>
    <row r="814">
      <c r="A814" s="20"/>
      <c r="B814" s="20"/>
      <c r="C814" s="20"/>
      <c r="D814" s="20"/>
      <c r="E814" s="20"/>
      <c r="F814" s="20"/>
      <c r="G814" s="20"/>
      <c r="H814" s="20"/>
      <c r="I814" s="20"/>
      <c r="J814" s="20"/>
      <c r="K814" s="20"/>
      <c r="L814" s="20"/>
      <c r="M814" s="20"/>
      <c r="N814" s="20"/>
      <c r="O814" s="20"/>
      <c r="P814" s="20"/>
      <c r="Q814" s="20"/>
      <c r="R814" s="20"/>
    </row>
    <row r="815">
      <c r="A815" s="20"/>
      <c r="B815" s="20"/>
      <c r="C815" s="20"/>
      <c r="D815" s="20"/>
      <c r="E815" s="20"/>
      <c r="F815" s="20"/>
      <c r="G815" s="20"/>
      <c r="H815" s="20"/>
      <c r="I815" s="20"/>
      <c r="J815" s="20"/>
      <c r="K815" s="20"/>
      <c r="L815" s="20"/>
      <c r="M815" s="20"/>
      <c r="N815" s="20"/>
      <c r="O815" s="20"/>
      <c r="P815" s="20"/>
      <c r="Q815" s="20"/>
      <c r="R815" s="20"/>
    </row>
    <row r="816">
      <c r="A816" s="20"/>
      <c r="B816" s="20"/>
      <c r="C816" s="20"/>
      <c r="D816" s="20"/>
      <c r="E816" s="20"/>
      <c r="F816" s="20"/>
      <c r="G816" s="20"/>
      <c r="H816" s="20"/>
      <c r="I816" s="20"/>
      <c r="J816" s="20"/>
      <c r="K816" s="20"/>
      <c r="L816" s="20"/>
      <c r="M816" s="20"/>
      <c r="N816" s="20"/>
      <c r="O816" s="20"/>
      <c r="P816" s="20"/>
      <c r="Q816" s="20"/>
      <c r="R816" s="20"/>
    </row>
    <row r="817">
      <c r="A817" s="20"/>
      <c r="B817" s="20"/>
      <c r="C817" s="20"/>
      <c r="D817" s="20"/>
      <c r="E817" s="20"/>
      <c r="F817" s="20"/>
      <c r="G817" s="20"/>
      <c r="H817" s="20"/>
      <c r="I817" s="20"/>
      <c r="J817" s="20"/>
      <c r="K817" s="20"/>
      <c r="L817" s="20"/>
      <c r="M817" s="20"/>
      <c r="N817" s="20"/>
      <c r="O817" s="20"/>
      <c r="P817" s="20"/>
      <c r="Q817" s="20"/>
      <c r="R817" s="20"/>
    </row>
    <row r="818">
      <c r="A818" s="20"/>
      <c r="B818" s="20"/>
      <c r="C818" s="20"/>
      <c r="D818" s="20"/>
      <c r="E818" s="20"/>
      <c r="F818" s="20"/>
      <c r="G818" s="20"/>
      <c r="H818" s="20"/>
      <c r="I818" s="20"/>
      <c r="J818" s="20"/>
      <c r="K818" s="20"/>
      <c r="L818" s="20"/>
      <c r="M818" s="20"/>
      <c r="N818" s="20"/>
      <c r="O818" s="20"/>
      <c r="P818" s="20"/>
      <c r="Q818" s="20"/>
      <c r="R818" s="20"/>
    </row>
    <row r="819">
      <c r="A819" s="20"/>
      <c r="B819" s="20"/>
      <c r="C819" s="20"/>
      <c r="D819" s="20"/>
      <c r="E819" s="20"/>
      <c r="F819" s="20"/>
      <c r="G819" s="20"/>
      <c r="H819" s="20"/>
      <c r="I819" s="20"/>
      <c r="J819" s="20"/>
      <c r="K819" s="20"/>
      <c r="L819" s="20"/>
      <c r="M819" s="20"/>
      <c r="N819" s="20"/>
      <c r="O819" s="20"/>
      <c r="P819" s="20"/>
      <c r="Q819" s="20"/>
      <c r="R819" s="20"/>
    </row>
    <row r="820">
      <c r="A820" s="20"/>
      <c r="B820" s="20"/>
      <c r="C820" s="20"/>
      <c r="D820" s="20"/>
      <c r="E820" s="20"/>
      <c r="F820" s="20"/>
      <c r="G820" s="20"/>
      <c r="H820" s="20"/>
      <c r="I820" s="20"/>
      <c r="J820" s="20"/>
      <c r="K820" s="20"/>
      <c r="L820" s="20"/>
      <c r="M820" s="20"/>
      <c r="N820" s="20"/>
      <c r="O820" s="20"/>
      <c r="P820" s="20"/>
      <c r="Q820" s="20"/>
      <c r="R820" s="20"/>
    </row>
    <row r="821">
      <c r="A821" s="20"/>
      <c r="B821" s="20"/>
      <c r="C821" s="20"/>
      <c r="D821" s="20"/>
      <c r="E821" s="20"/>
      <c r="F821" s="20"/>
      <c r="G821" s="20"/>
      <c r="H821" s="20"/>
      <c r="I821" s="20"/>
      <c r="J821" s="20"/>
      <c r="K821" s="20"/>
      <c r="L821" s="20"/>
      <c r="M821" s="20"/>
      <c r="N821" s="20"/>
      <c r="O821" s="20"/>
      <c r="P821" s="20"/>
      <c r="Q821" s="20"/>
      <c r="R821" s="20"/>
    </row>
    <row r="822">
      <c r="A822" s="20"/>
      <c r="B822" s="20"/>
      <c r="C822" s="20"/>
      <c r="D822" s="20"/>
      <c r="E822" s="20"/>
      <c r="F822" s="20"/>
      <c r="G822" s="20"/>
      <c r="H822" s="20"/>
      <c r="I822" s="20"/>
      <c r="J822" s="20"/>
      <c r="K822" s="20"/>
      <c r="L822" s="20"/>
      <c r="M822" s="20"/>
      <c r="N822" s="20"/>
      <c r="O822" s="20"/>
      <c r="P822" s="20"/>
      <c r="Q822" s="20"/>
      <c r="R822" s="20"/>
    </row>
    <row r="823">
      <c r="A823" s="20"/>
      <c r="B823" s="20"/>
      <c r="C823" s="20"/>
      <c r="D823" s="20"/>
      <c r="E823" s="20"/>
      <c r="F823" s="20"/>
      <c r="G823" s="20"/>
      <c r="H823" s="20"/>
      <c r="I823" s="20"/>
      <c r="J823" s="20"/>
      <c r="K823" s="20"/>
      <c r="L823" s="20"/>
      <c r="M823" s="20"/>
      <c r="N823" s="20"/>
      <c r="O823" s="20"/>
      <c r="P823" s="20"/>
      <c r="Q823" s="20"/>
      <c r="R823" s="20"/>
    </row>
    <row r="824">
      <c r="A824" s="20"/>
      <c r="B824" s="20"/>
      <c r="C824" s="20"/>
      <c r="D824" s="20"/>
      <c r="E824" s="20"/>
      <c r="F824" s="20"/>
      <c r="G824" s="20"/>
      <c r="H824" s="20"/>
      <c r="I824" s="20"/>
      <c r="J824" s="20"/>
      <c r="K824" s="20"/>
      <c r="L824" s="20"/>
      <c r="M824" s="20"/>
      <c r="N824" s="20"/>
      <c r="O824" s="20"/>
      <c r="P824" s="20"/>
      <c r="Q824" s="20"/>
      <c r="R824" s="20"/>
    </row>
    <row r="825">
      <c r="A825" s="20"/>
      <c r="B825" s="20"/>
      <c r="C825" s="20"/>
      <c r="D825" s="20"/>
      <c r="E825" s="20"/>
      <c r="F825" s="20"/>
      <c r="G825" s="20"/>
      <c r="H825" s="20"/>
      <c r="I825" s="20"/>
      <c r="J825" s="20"/>
      <c r="K825" s="20"/>
      <c r="L825" s="20"/>
      <c r="M825" s="20"/>
      <c r="N825" s="20"/>
      <c r="O825" s="20"/>
      <c r="P825" s="20"/>
      <c r="Q825" s="20"/>
      <c r="R825" s="20"/>
    </row>
    <row r="826">
      <c r="A826" s="20"/>
      <c r="B826" s="20"/>
      <c r="C826" s="20"/>
      <c r="D826" s="20"/>
      <c r="E826" s="20"/>
      <c r="F826" s="20"/>
      <c r="G826" s="20"/>
      <c r="H826" s="20"/>
      <c r="I826" s="20"/>
      <c r="J826" s="20"/>
      <c r="K826" s="20"/>
      <c r="L826" s="20"/>
      <c r="M826" s="20"/>
      <c r="N826" s="20"/>
      <c r="O826" s="20"/>
      <c r="P826" s="20"/>
      <c r="Q826" s="20"/>
      <c r="R826" s="20"/>
    </row>
    <row r="827">
      <c r="A827" s="20"/>
      <c r="B827" s="20"/>
      <c r="C827" s="20"/>
      <c r="D827" s="20"/>
      <c r="E827" s="20"/>
      <c r="F827" s="20"/>
      <c r="G827" s="20"/>
      <c r="H827" s="20"/>
      <c r="I827" s="20"/>
      <c r="J827" s="20"/>
      <c r="K827" s="20"/>
      <c r="L827" s="20"/>
      <c r="M827" s="20"/>
      <c r="N827" s="20"/>
      <c r="O827" s="20"/>
      <c r="P827" s="20"/>
      <c r="Q827" s="20"/>
      <c r="R827" s="20"/>
    </row>
    <row r="828">
      <c r="A828" s="20"/>
      <c r="B828" s="20"/>
      <c r="C828" s="20"/>
      <c r="D828" s="20"/>
      <c r="E828" s="20"/>
      <c r="F828" s="20"/>
      <c r="G828" s="20"/>
      <c r="H828" s="20"/>
      <c r="I828" s="20"/>
      <c r="J828" s="20"/>
      <c r="K828" s="20"/>
      <c r="L828" s="20"/>
      <c r="M828" s="20"/>
      <c r="N828" s="20"/>
      <c r="O828" s="20"/>
      <c r="P828" s="20"/>
      <c r="Q828" s="20"/>
      <c r="R828" s="20"/>
    </row>
    <row r="829">
      <c r="A829" s="20"/>
      <c r="B829" s="20"/>
      <c r="C829" s="20"/>
      <c r="D829" s="20"/>
      <c r="E829" s="20"/>
      <c r="F829" s="20"/>
      <c r="G829" s="20"/>
      <c r="H829" s="20"/>
      <c r="I829" s="20"/>
      <c r="J829" s="20"/>
      <c r="K829" s="20"/>
      <c r="L829" s="20"/>
      <c r="M829" s="20"/>
      <c r="N829" s="20"/>
      <c r="O829" s="20"/>
      <c r="P829" s="20"/>
      <c r="Q829" s="20"/>
      <c r="R829" s="20"/>
    </row>
    <row r="830">
      <c r="A830" s="20"/>
      <c r="B830" s="20"/>
      <c r="C830" s="20"/>
      <c r="D830" s="20"/>
      <c r="E830" s="20"/>
      <c r="F830" s="20"/>
      <c r="G830" s="20"/>
      <c r="H830" s="20"/>
      <c r="I830" s="20"/>
      <c r="J830" s="20"/>
      <c r="K830" s="20"/>
      <c r="L830" s="20"/>
      <c r="M830" s="20"/>
      <c r="N830" s="20"/>
      <c r="O830" s="20"/>
      <c r="P830" s="20"/>
      <c r="Q830" s="20"/>
      <c r="R830" s="20"/>
    </row>
    <row r="831">
      <c r="A831" s="20"/>
      <c r="B831" s="20"/>
      <c r="C831" s="20"/>
      <c r="D831" s="20"/>
      <c r="E831" s="20"/>
      <c r="F831" s="20"/>
      <c r="G831" s="20"/>
      <c r="H831" s="20"/>
      <c r="I831" s="20"/>
      <c r="J831" s="20"/>
      <c r="K831" s="20"/>
      <c r="L831" s="20"/>
      <c r="M831" s="20"/>
      <c r="N831" s="20"/>
      <c r="O831" s="20"/>
      <c r="P831" s="20"/>
      <c r="Q831" s="20"/>
      <c r="R831" s="20"/>
    </row>
    <row r="832">
      <c r="A832" s="20"/>
      <c r="B832" s="20"/>
      <c r="C832" s="20"/>
      <c r="D832" s="20"/>
      <c r="E832" s="20"/>
      <c r="F832" s="20"/>
      <c r="G832" s="20"/>
      <c r="H832" s="20"/>
      <c r="I832" s="20"/>
      <c r="J832" s="20"/>
      <c r="K832" s="20"/>
      <c r="L832" s="20"/>
      <c r="M832" s="20"/>
      <c r="N832" s="20"/>
      <c r="O832" s="20"/>
      <c r="P832" s="20"/>
      <c r="Q832" s="20"/>
      <c r="R832" s="20"/>
    </row>
    <row r="833">
      <c r="A833" s="20"/>
      <c r="B833" s="20"/>
      <c r="C833" s="20"/>
      <c r="D833" s="20"/>
      <c r="E833" s="20"/>
      <c r="F833" s="20"/>
      <c r="G833" s="20"/>
      <c r="H833" s="20"/>
      <c r="I833" s="20"/>
      <c r="J833" s="20"/>
      <c r="K833" s="20"/>
      <c r="L833" s="20"/>
      <c r="M833" s="20"/>
      <c r="N833" s="20"/>
      <c r="O833" s="20"/>
      <c r="P833" s="20"/>
      <c r="Q833" s="20"/>
      <c r="R833" s="20"/>
    </row>
    <row r="834">
      <c r="A834" s="20"/>
      <c r="B834" s="20"/>
      <c r="C834" s="20"/>
      <c r="D834" s="20"/>
      <c r="E834" s="20"/>
      <c r="F834" s="20"/>
      <c r="G834" s="20"/>
      <c r="H834" s="20"/>
      <c r="I834" s="20"/>
      <c r="J834" s="20"/>
      <c r="K834" s="20"/>
      <c r="L834" s="20"/>
      <c r="M834" s="20"/>
      <c r="N834" s="20"/>
      <c r="O834" s="20"/>
      <c r="P834" s="20"/>
      <c r="Q834" s="20"/>
      <c r="R834" s="20"/>
    </row>
    <row r="835">
      <c r="A835" s="20"/>
      <c r="B835" s="20"/>
      <c r="C835" s="20"/>
      <c r="D835" s="20"/>
      <c r="E835" s="20"/>
      <c r="F835" s="20"/>
      <c r="G835" s="20"/>
      <c r="H835" s="20"/>
      <c r="I835" s="20"/>
      <c r="J835" s="20"/>
      <c r="K835" s="20"/>
      <c r="L835" s="20"/>
      <c r="M835" s="20"/>
      <c r="N835" s="20"/>
      <c r="O835" s="20"/>
      <c r="P835" s="20"/>
      <c r="Q835" s="20"/>
      <c r="R835" s="20"/>
    </row>
    <row r="836">
      <c r="A836" s="20"/>
      <c r="B836" s="20"/>
      <c r="C836" s="20"/>
      <c r="D836" s="20"/>
      <c r="E836" s="20"/>
      <c r="F836" s="20"/>
      <c r="G836" s="20"/>
      <c r="H836" s="20"/>
      <c r="I836" s="20"/>
      <c r="J836" s="20"/>
      <c r="K836" s="20"/>
      <c r="L836" s="20"/>
      <c r="M836" s="20"/>
      <c r="N836" s="20"/>
      <c r="O836" s="20"/>
      <c r="P836" s="20"/>
      <c r="Q836" s="20"/>
      <c r="R836" s="20"/>
    </row>
    <row r="837">
      <c r="A837" s="20"/>
      <c r="B837" s="20"/>
      <c r="C837" s="20"/>
      <c r="D837" s="20"/>
      <c r="E837" s="20"/>
      <c r="F837" s="20"/>
      <c r="G837" s="20"/>
      <c r="H837" s="20"/>
      <c r="I837" s="20"/>
      <c r="J837" s="20"/>
      <c r="K837" s="20"/>
      <c r="L837" s="20"/>
      <c r="M837" s="20"/>
      <c r="N837" s="20"/>
      <c r="O837" s="20"/>
      <c r="P837" s="20"/>
      <c r="Q837" s="20"/>
      <c r="R837" s="20"/>
    </row>
    <row r="838">
      <c r="A838" s="20"/>
      <c r="B838" s="20"/>
      <c r="C838" s="20"/>
      <c r="D838" s="20"/>
      <c r="E838" s="20"/>
      <c r="F838" s="20"/>
      <c r="G838" s="20"/>
      <c r="H838" s="20"/>
      <c r="I838" s="20"/>
      <c r="J838" s="20"/>
      <c r="K838" s="20"/>
      <c r="L838" s="20"/>
      <c r="M838" s="20"/>
      <c r="N838" s="20"/>
      <c r="O838" s="20"/>
      <c r="P838" s="20"/>
      <c r="Q838" s="20"/>
      <c r="R838" s="20"/>
    </row>
    <row r="839">
      <c r="A839" s="20"/>
      <c r="B839" s="20"/>
      <c r="C839" s="20"/>
      <c r="D839" s="20"/>
      <c r="E839" s="20"/>
      <c r="F839" s="20"/>
      <c r="G839" s="20"/>
      <c r="H839" s="20"/>
      <c r="I839" s="20"/>
      <c r="J839" s="20"/>
      <c r="K839" s="20"/>
      <c r="L839" s="20"/>
      <c r="M839" s="20"/>
      <c r="N839" s="20"/>
      <c r="O839" s="20"/>
      <c r="P839" s="20"/>
      <c r="Q839" s="20"/>
      <c r="R839" s="20"/>
    </row>
    <row r="840">
      <c r="A840" s="20"/>
      <c r="B840" s="20"/>
      <c r="C840" s="20"/>
      <c r="D840" s="20"/>
      <c r="E840" s="20"/>
      <c r="F840" s="20"/>
      <c r="G840" s="20"/>
      <c r="H840" s="20"/>
      <c r="I840" s="20"/>
      <c r="J840" s="20"/>
      <c r="K840" s="20"/>
      <c r="L840" s="20"/>
      <c r="M840" s="20"/>
      <c r="N840" s="20"/>
      <c r="O840" s="20"/>
      <c r="P840" s="20"/>
      <c r="Q840" s="20"/>
      <c r="R840" s="20"/>
    </row>
    <row r="841">
      <c r="A841" s="20"/>
      <c r="B841" s="20"/>
      <c r="C841" s="20"/>
      <c r="D841" s="20"/>
      <c r="E841" s="20"/>
      <c r="F841" s="20"/>
      <c r="G841" s="20"/>
      <c r="H841" s="20"/>
      <c r="I841" s="20"/>
      <c r="J841" s="20"/>
      <c r="K841" s="20"/>
      <c r="L841" s="20"/>
      <c r="M841" s="20"/>
      <c r="N841" s="20"/>
      <c r="O841" s="20"/>
      <c r="P841" s="20"/>
      <c r="Q841" s="20"/>
      <c r="R841" s="20"/>
    </row>
    <row r="842">
      <c r="A842" s="20"/>
      <c r="B842" s="20"/>
      <c r="C842" s="20"/>
      <c r="D842" s="20"/>
      <c r="E842" s="20"/>
      <c r="F842" s="20"/>
      <c r="G842" s="20"/>
      <c r="H842" s="20"/>
      <c r="I842" s="20"/>
      <c r="J842" s="20"/>
      <c r="K842" s="20"/>
      <c r="L842" s="20"/>
      <c r="M842" s="20"/>
      <c r="N842" s="20"/>
      <c r="O842" s="20"/>
      <c r="P842" s="20"/>
      <c r="Q842" s="20"/>
      <c r="R842" s="20"/>
    </row>
    <row r="843">
      <c r="A843" s="20"/>
      <c r="B843" s="20"/>
      <c r="C843" s="20"/>
      <c r="D843" s="20"/>
      <c r="E843" s="20"/>
      <c r="F843" s="20"/>
      <c r="G843" s="20"/>
      <c r="H843" s="20"/>
      <c r="I843" s="20"/>
      <c r="J843" s="20"/>
      <c r="K843" s="20"/>
      <c r="L843" s="20"/>
      <c r="M843" s="20"/>
      <c r="N843" s="20"/>
      <c r="O843" s="20"/>
      <c r="P843" s="20"/>
      <c r="Q843" s="20"/>
      <c r="R843" s="20"/>
    </row>
    <row r="844">
      <c r="A844" s="20"/>
      <c r="B844" s="20"/>
      <c r="C844" s="20"/>
      <c r="D844" s="20"/>
      <c r="E844" s="20"/>
      <c r="F844" s="20"/>
      <c r="G844" s="20"/>
      <c r="H844" s="20"/>
      <c r="I844" s="20"/>
      <c r="J844" s="20"/>
      <c r="K844" s="20"/>
      <c r="L844" s="20"/>
      <c r="M844" s="20"/>
      <c r="N844" s="20"/>
      <c r="O844" s="20"/>
      <c r="P844" s="20"/>
      <c r="Q844" s="20"/>
      <c r="R844" s="20"/>
    </row>
    <row r="845">
      <c r="A845" s="20"/>
      <c r="B845" s="20"/>
      <c r="C845" s="20"/>
      <c r="D845" s="20"/>
      <c r="E845" s="20"/>
      <c r="F845" s="20"/>
      <c r="G845" s="20"/>
      <c r="H845" s="20"/>
      <c r="I845" s="20"/>
      <c r="J845" s="20"/>
      <c r="K845" s="20"/>
      <c r="L845" s="20"/>
      <c r="M845" s="20"/>
      <c r="N845" s="20"/>
      <c r="O845" s="20"/>
      <c r="P845" s="20"/>
      <c r="Q845" s="20"/>
      <c r="R845" s="20"/>
    </row>
    <row r="846">
      <c r="A846" s="20"/>
      <c r="B846" s="20"/>
      <c r="C846" s="20"/>
      <c r="D846" s="20"/>
      <c r="E846" s="20"/>
      <c r="F846" s="20"/>
      <c r="G846" s="20"/>
      <c r="H846" s="20"/>
      <c r="I846" s="20"/>
      <c r="J846" s="20"/>
      <c r="K846" s="20"/>
      <c r="L846" s="20"/>
      <c r="M846" s="20"/>
      <c r="N846" s="20"/>
      <c r="O846" s="20"/>
      <c r="P846" s="20"/>
      <c r="Q846" s="20"/>
      <c r="R846" s="20"/>
    </row>
    <row r="847">
      <c r="A847" s="20"/>
      <c r="B847" s="20"/>
      <c r="C847" s="20"/>
      <c r="D847" s="20"/>
      <c r="E847" s="20"/>
      <c r="F847" s="20"/>
      <c r="G847" s="20"/>
      <c r="H847" s="20"/>
      <c r="I847" s="20"/>
      <c r="J847" s="20"/>
      <c r="K847" s="20"/>
      <c r="L847" s="20"/>
      <c r="M847" s="20"/>
      <c r="N847" s="20"/>
      <c r="O847" s="20"/>
      <c r="P847" s="20"/>
      <c r="Q847" s="20"/>
      <c r="R847" s="20"/>
    </row>
    <row r="848">
      <c r="A848" s="20"/>
      <c r="B848" s="20"/>
      <c r="C848" s="20"/>
      <c r="D848" s="20"/>
      <c r="E848" s="20"/>
      <c r="F848" s="20"/>
      <c r="G848" s="20"/>
      <c r="H848" s="20"/>
      <c r="I848" s="20"/>
      <c r="J848" s="20"/>
      <c r="K848" s="20"/>
      <c r="L848" s="20"/>
      <c r="M848" s="20"/>
      <c r="N848" s="20"/>
      <c r="O848" s="20"/>
      <c r="P848" s="20"/>
      <c r="Q848" s="20"/>
      <c r="R848" s="20"/>
    </row>
    <row r="849">
      <c r="A849" s="20"/>
      <c r="B849" s="20"/>
      <c r="C849" s="20"/>
      <c r="D849" s="20"/>
      <c r="E849" s="20"/>
      <c r="F849" s="20"/>
      <c r="G849" s="20"/>
      <c r="H849" s="20"/>
      <c r="I849" s="20"/>
      <c r="J849" s="20"/>
      <c r="K849" s="20"/>
      <c r="L849" s="20"/>
      <c r="M849" s="20"/>
      <c r="N849" s="20"/>
      <c r="O849" s="20"/>
      <c r="P849" s="20"/>
      <c r="Q849" s="20"/>
      <c r="R849" s="20"/>
    </row>
    <row r="850">
      <c r="A850" s="20"/>
      <c r="B850" s="20"/>
      <c r="C850" s="20"/>
      <c r="D850" s="20"/>
      <c r="E850" s="20"/>
      <c r="F850" s="20"/>
      <c r="G850" s="20"/>
      <c r="H850" s="20"/>
      <c r="I850" s="20"/>
      <c r="J850" s="20"/>
      <c r="K850" s="20"/>
      <c r="L850" s="20"/>
      <c r="M850" s="20"/>
      <c r="N850" s="20"/>
      <c r="O850" s="20"/>
      <c r="P850" s="20"/>
      <c r="Q850" s="20"/>
      <c r="R850" s="20"/>
    </row>
    <row r="851">
      <c r="A851" s="20"/>
      <c r="B851" s="20"/>
      <c r="C851" s="20"/>
      <c r="D851" s="20"/>
      <c r="E851" s="20"/>
      <c r="F851" s="20"/>
      <c r="G851" s="20"/>
      <c r="H851" s="20"/>
      <c r="I851" s="20"/>
      <c r="J851" s="20"/>
      <c r="K851" s="20"/>
      <c r="L851" s="20"/>
      <c r="M851" s="20"/>
      <c r="N851" s="20"/>
      <c r="O851" s="20"/>
      <c r="P851" s="20"/>
      <c r="Q851" s="20"/>
      <c r="R851" s="20"/>
    </row>
    <row r="852">
      <c r="A852" s="20"/>
      <c r="B852" s="20"/>
      <c r="C852" s="20"/>
      <c r="D852" s="20"/>
      <c r="E852" s="20"/>
      <c r="F852" s="20"/>
      <c r="G852" s="20"/>
      <c r="H852" s="20"/>
      <c r="I852" s="20"/>
      <c r="J852" s="20"/>
      <c r="K852" s="20"/>
      <c r="L852" s="20"/>
      <c r="M852" s="20"/>
      <c r="N852" s="20"/>
      <c r="O852" s="20"/>
      <c r="P852" s="20"/>
      <c r="Q852" s="20"/>
      <c r="R852" s="20"/>
    </row>
    <row r="853">
      <c r="A853" s="20"/>
      <c r="B853" s="20"/>
      <c r="C853" s="20"/>
      <c r="D853" s="20"/>
      <c r="E853" s="20"/>
      <c r="F853" s="20"/>
      <c r="G853" s="20"/>
      <c r="H853" s="20"/>
      <c r="I853" s="20"/>
      <c r="J853" s="20"/>
      <c r="K853" s="20"/>
      <c r="L853" s="20"/>
      <c r="M853" s="20"/>
      <c r="N853" s="20"/>
      <c r="O853" s="20"/>
      <c r="P853" s="20"/>
      <c r="Q853" s="20"/>
      <c r="R853" s="20"/>
    </row>
    <row r="854">
      <c r="A854" s="20"/>
      <c r="B854" s="20"/>
      <c r="C854" s="20"/>
      <c r="D854" s="20"/>
      <c r="E854" s="20"/>
      <c r="F854" s="20"/>
      <c r="G854" s="20"/>
      <c r="H854" s="20"/>
      <c r="I854" s="20"/>
      <c r="J854" s="20"/>
      <c r="K854" s="20"/>
      <c r="L854" s="20"/>
      <c r="M854" s="20"/>
      <c r="N854" s="20"/>
      <c r="O854" s="20"/>
      <c r="P854" s="20"/>
      <c r="Q854" s="20"/>
      <c r="R854" s="20"/>
    </row>
    <row r="855">
      <c r="A855" s="20"/>
      <c r="B855" s="20"/>
      <c r="C855" s="20"/>
      <c r="D855" s="20"/>
      <c r="E855" s="20"/>
      <c r="F855" s="20"/>
      <c r="G855" s="20"/>
      <c r="H855" s="20"/>
      <c r="I855" s="20"/>
      <c r="J855" s="20"/>
      <c r="K855" s="20"/>
      <c r="L855" s="20"/>
      <c r="M855" s="20"/>
      <c r="N855" s="20"/>
      <c r="O855" s="20"/>
      <c r="P855" s="20"/>
      <c r="Q855" s="20"/>
      <c r="R855" s="20"/>
    </row>
    <row r="856">
      <c r="A856" s="20"/>
      <c r="B856" s="20"/>
      <c r="C856" s="20"/>
      <c r="D856" s="20"/>
      <c r="E856" s="20"/>
      <c r="F856" s="20"/>
      <c r="G856" s="20"/>
      <c r="H856" s="20"/>
      <c r="I856" s="20"/>
      <c r="J856" s="20"/>
      <c r="K856" s="20"/>
      <c r="L856" s="20"/>
      <c r="M856" s="20"/>
      <c r="N856" s="20"/>
      <c r="O856" s="20"/>
      <c r="P856" s="20"/>
      <c r="Q856" s="20"/>
      <c r="R856" s="20"/>
    </row>
    <row r="857">
      <c r="A857" s="20"/>
      <c r="B857" s="20"/>
      <c r="C857" s="20"/>
      <c r="D857" s="20"/>
      <c r="E857" s="20"/>
      <c r="F857" s="20"/>
      <c r="G857" s="20"/>
      <c r="H857" s="20"/>
      <c r="I857" s="20"/>
      <c r="J857" s="20"/>
      <c r="K857" s="20"/>
      <c r="L857" s="20"/>
      <c r="M857" s="20"/>
      <c r="N857" s="20"/>
      <c r="O857" s="20"/>
      <c r="P857" s="20"/>
      <c r="Q857" s="20"/>
      <c r="R857" s="20"/>
    </row>
    <row r="858">
      <c r="A858" s="20"/>
      <c r="B858" s="20"/>
      <c r="C858" s="20"/>
      <c r="D858" s="20"/>
      <c r="E858" s="20"/>
      <c r="F858" s="20"/>
      <c r="G858" s="20"/>
      <c r="H858" s="20"/>
      <c r="I858" s="20"/>
      <c r="J858" s="20"/>
      <c r="K858" s="20"/>
      <c r="L858" s="20"/>
      <c r="M858" s="20"/>
      <c r="N858" s="20"/>
      <c r="O858" s="20"/>
      <c r="P858" s="20"/>
      <c r="Q858" s="20"/>
      <c r="R858" s="20"/>
    </row>
    <row r="859">
      <c r="A859" s="20"/>
      <c r="B859" s="20"/>
      <c r="C859" s="20"/>
      <c r="D859" s="20"/>
      <c r="E859" s="20"/>
      <c r="F859" s="20"/>
      <c r="G859" s="20"/>
      <c r="H859" s="20"/>
      <c r="I859" s="20"/>
      <c r="J859" s="20"/>
      <c r="K859" s="20"/>
      <c r="L859" s="20"/>
      <c r="M859" s="20"/>
      <c r="N859" s="20"/>
      <c r="O859" s="20"/>
      <c r="P859" s="20"/>
      <c r="Q859" s="20"/>
      <c r="R859" s="20"/>
    </row>
    <row r="860">
      <c r="A860" s="20"/>
      <c r="B860" s="20"/>
      <c r="C860" s="20"/>
      <c r="D860" s="20"/>
      <c r="E860" s="20"/>
      <c r="F860" s="20"/>
      <c r="G860" s="20"/>
      <c r="H860" s="20"/>
      <c r="I860" s="20"/>
      <c r="J860" s="20"/>
      <c r="K860" s="20"/>
      <c r="L860" s="20"/>
      <c r="M860" s="20"/>
      <c r="N860" s="20"/>
      <c r="O860" s="20"/>
      <c r="P860" s="20"/>
      <c r="Q860" s="20"/>
      <c r="R860" s="20"/>
    </row>
    <row r="861">
      <c r="A861" s="20"/>
      <c r="B861" s="20"/>
      <c r="C861" s="20"/>
      <c r="D861" s="20"/>
      <c r="E861" s="20"/>
      <c r="F861" s="20"/>
      <c r="G861" s="20"/>
      <c r="H861" s="20"/>
      <c r="I861" s="20"/>
      <c r="J861" s="20"/>
      <c r="K861" s="20"/>
      <c r="L861" s="20"/>
      <c r="M861" s="20"/>
      <c r="N861" s="20"/>
      <c r="O861" s="20"/>
      <c r="P861" s="20"/>
      <c r="Q861" s="20"/>
      <c r="R861" s="20"/>
    </row>
    <row r="862">
      <c r="A862" s="20"/>
      <c r="B862" s="20"/>
      <c r="C862" s="20"/>
      <c r="D862" s="20"/>
      <c r="E862" s="20"/>
      <c r="F862" s="20"/>
      <c r="G862" s="20"/>
      <c r="H862" s="20"/>
      <c r="I862" s="20"/>
      <c r="J862" s="20"/>
      <c r="K862" s="20"/>
      <c r="L862" s="20"/>
      <c r="M862" s="20"/>
      <c r="N862" s="20"/>
      <c r="O862" s="20"/>
      <c r="P862" s="20"/>
      <c r="Q862" s="20"/>
      <c r="R862" s="20"/>
    </row>
    <row r="863">
      <c r="A863" s="20"/>
      <c r="B863" s="20"/>
      <c r="C863" s="20"/>
      <c r="D863" s="20"/>
      <c r="E863" s="20"/>
      <c r="F863" s="20"/>
      <c r="G863" s="20"/>
      <c r="H863" s="20"/>
      <c r="I863" s="20"/>
      <c r="J863" s="20"/>
      <c r="K863" s="20"/>
      <c r="L863" s="20"/>
      <c r="M863" s="20"/>
      <c r="N863" s="20"/>
      <c r="O863" s="20"/>
      <c r="P863" s="20"/>
      <c r="Q863" s="20"/>
      <c r="R863" s="20"/>
    </row>
    <row r="864">
      <c r="A864" s="20"/>
      <c r="B864" s="20"/>
      <c r="C864" s="20"/>
      <c r="D864" s="20"/>
      <c r="E864" s="20"/>
      <c r="F864" s="20"/>
      <c r="G864" s="20"/>
      <c r="H864" s="20"/>
      <c r="I864" s="20"/>
      <c r="J864" s="20"/>
      <c r="K864" s="20"/>
      <c r="L864" s="20"/>
      <c r="M864" s="20"/>
      <c r="N864" s="20"/>
      <c r="O864" s="20"/>
      <c r="P864" s="20"/>
      <c r="Q864" s="20"/>
      <c r="R864" s="20"/>
    </row>
    <row r="865">
      <c r="A865" s="20"/>
      <c r="B865" s="20"/>
      <c r="C865" s="20"/>
      <c r="D865" s="20"/>
      <c r="E865" s="20"/>
      <c r="F865" s="20"/>
      <c r="G865" s="20"/>
      <c r="H865" s="20"/>
      <c r="I865" s="20"/>
      <c r="J865" s="20"/>
      <c r="K865" s="20"/>
      <c r="L865" s="20"/>
      <c r="M865" s="20"/>
      <c r="N865" s="20"/>
      <c r="O865" s="20"/>
      <c r="P865" s="20"/>
      <c r="Q865" s="20"/>
      <c r="R865" s="20"/>
    </row>
    <row r="866">
      <c r="A866" s="20"/>
      <c r="B866" s="20"/>
      <c r="C866" s="20"/>
      <c r="D866" s="20"/>
      <c r="E866" s="20"/>
      <c r="F866" s="20"/>
      <c r="G866" s="20"/>
      <c r="H866" s="20"/>
      <c r="I866" s="20"/>
      <c r="J866" s="20"/>
      <c r="K866" s="20"/>
      <c r="L866" s="20"/>
      <c r="M866" s="20"/>
      <c r="N866" s="20"/>
      <c r="O866" s="20"/>
      <c r="P866" s="20"/>
      <c r="Q866" s="20"/>
      <c r="R866" s="20"/>
    </row>
    <row r="867">
      <c r="A867" s="20"/>
      <c r="B867" s="20"/>
      <c r="C867" s="20"/>
      <c r="D867" s="20"/>
      <c r="E867" s="20"/>
      <c r="F867" s="20"/>
      <c r="G867" s="20"/>
      <c r="H867" s="20"/>
      <c r="I867" s="20"/>
      <c r="J867" s="20"/>
      <c r="K867" s="20"/>
      <c r="L867" s="20"/>
      <c r="M867" s="20"/>
      <c r="N867" s="20"/>
      <c r="O867" s="20"/>
      <c r="P867" s="20"/>
      <c r="Q867" s="20"/>
      <c r="R867" s="20"/>
    </row>
    <row r="868">
      <c r="A868" s="20"/>
      <c r="B868" s="20"/>
      <c r="C868" s="20"/>
      <c r="D868" s="20"/>
      <c r="E868" s="20"/>
      <c r="F868" s="20"/>
      <c r="G868" s="20"/>
      <c r="H868" s="20"/>
      <c r="I868" s="20"/>
      <c r="J868" s="20"/>
      <c r="K868" s="20"/>
      <c r="L868" s="20"/>
      <c r="M868" s="20"/>
      <c r="N868" s="20"/>
      <c r="O868" s="20"/>
      <c r="P868" s="20"/>
      <c r="Q868" s="20"/>
      <c r="R868" s="20"/>
    </row>
    <row r="869">
      <c r="A869" s="20"/>
      <c r="B869" s="20"/>
      <c r="C869" s="20"/>
      <c r="D869" s="20"/>
      <c r="E869" s="20"/>
      <c r="F869" s="20"/>
      <c r="G869" s="20"/>
      <c r="H869" s="20"/>
      <c r="I869" s="20"/>
      <c r="J869" s="20"/>
      <c r="K869" s="20"/>
      <c r="L869" s="20"/>
      <c r="M869" s="20"/>
      <c r="N869" s="20"/>
      <c r="O869" s="20"/>
      <c r="P869" s="20"/>
      <c r="Q869" s="20"/>
      <c r="R869" s="20"/>
    </row>
    <row r="870">
      <c r="A870" s="20"/>
      <c r="B870" s="20"/>
      <c r="C870" s="20"/>
      <c r="D870" s="20"/>
      <c r="E870" s="20"/>
      <c r="F870" s="20"/>
      <c r="G870" s="20"/>
      <c r="H870" s="20"/>
      <c r="I870" s="20"/>
      <c r="J870" s="20"/>
      <c r="K870" s="20"/>
      <c r="L870" s="20"/>
      <c r="M870" s="20"/>
      <c r="N870" s="20"/>
      <c r="O870" s="20"/>
      <c r="P870" s="20"/>
      <c r="Q870" s="20"/>
      <c r="R870" s="20"/>
    </row>
    <row r="871">
      <c r="A871" s="20"/>
      <c r="B871" s="20"/>
      <c r="C871" s="20"/>
      <c r="D871" s="20"/>
      <c r="E871" s="20"/>
      <c r="F871" s="20"/>
      <c r="G871" s="20"/>
      <c r="H871" s="20"/>
      <c r="I871" s="20"/>
      <c r="J871" s="20"/>
      <c r="K871" s="20"/>
      <c r="L871" s="20"/>
      <c r="M871" s="20"/>
      <c r="N871" s="20"/>
      <c r="O871" s="20"/>
      <c r="P871" s="20"/>
      <c r="Q871" s="20"/>
      <c r="R871" s="20"/>
    </row>
    <row r="872">
      <c r="A872" s="20"/>
      <c r="B872" s="20"/>
      <c r="C872" s="20"/>
      <c r="D872" s="20"/>
      <c r="E872" s="20"/>
      <c r="F872" s="20"/>
      <c r="G872" s="20"/>
      <c r="H872" s="20"/>
      <c r="I872" s="20"/>
      <c r="J872" s="20"/>
      <c r="K872" s="20"/>
      <c r="L872" s="20"/>
      <c r="M872" s="20"/>
      <c r="N872" s="20"/>
      <c r="O872" s="20"/>
      <c r="P872" s="20"/>
      <c r="Q872" s="20"/>
      <c r="R872" s="20"/>
    </row>
    <row r="873">
      <c r="A873" s="20"/>
      <c r="B873" s="20"/>
      <c r="C873" s="20"/>
      <c r="D873" s="20"/>
      <c r="E873" s="20"/>
      <c r="F873" s="20"/>
      <c r="G873" s="20"/>
      <c r="H873" s="20"/>
      <c r="I873" s="20"/>
      <c r="J873" s="20"/>
      <c r="K873" s="20"/>
      <c r="L873" s="20"/>
      <c r="M873" s="20"/>
      <c r="N873" s="20"/>
      <c r="O873" s="20"/>
      <c r="P873" s="20"/>
      <c r="Q873" s="20"/>
      <c r="R873" s="20"/>
    </row>
    <row r="874">
      <c r="A874" s="20"/>
      <c r="B874" s="20"/>
      <c r="C874" s="20"/>
      <c r="D874" s="20"/>
      <c r="E874" s="20"/>
      <c r="F874" s="20"/>
      <c r="G874" s="20"/>
      <c r="H874" s="20"/>
      <c r="I874" s="20"/>
      <c r="J874" s="20"/>
      <c r="K874" s="20"/>
      <c r="L874" s="20"/>
      <c r="M874" s="20"/>
      <c r="N874" s="20"/>
      <c r="O874" s="20"/>
      <c r="P874" s="20"/>
      <c r="Q874" s="20"/>
      <c r="R874" s="20"/>
    </row>
    <row r="875">
      <c r="A875" s="20"/>
      <c r="B875" s="20"/>
      <c r="C875" s="20"/>
      <c r="D875" s="20"/>
      <c r="E875" s="20"/>
      <c r="F875" s="20"/>
      <c r="G875" s="20"/>
      <c r="H875" s="20"/>
      <c r="I875" s="20"/>
      <c r="J875" s="20"/>
      <c r="K875" s="20"/>
      <c r="L875" s="20"/>
      <c r="M875" s="20"/>
      <c r="N875" s="20"/>
      <c r="O875" s="20"/>
      <c r="P875" s="20"/>
      <c r="Q875" s="20"/>
      <c r="R875" s="20"/>
    </row>
    <row r="876">
      <c r="A876" s="20"/>
      <c r="B876" s="20"/>
      <c r="C876" s="20"/>
      <c r="D876" s="20"/>
      <c r="E876" s="20"/>
      <c r="F876" s="20"/>
      <c r="G876" s="20"/>
      <c r="H876" s="20"/>
      <c r="I876" s="20"/>
      <c r="J876" s="20"/>
      <c r="K876" s="20"/>
      <c r="L876" s="20"/>
      <c r="M876" s="20"/>
      <c r="N876" s="20"/>
      <c r="O876" s="20"/>
      <c r="P876" s="20"/>
      <c r="Q876" s="20"/>
      <c r="R876" s="20"/>
    </row>
    <row r="877">
      <c r="A877" s="20"/>
      <c r="B877" s="20"/>
      <c r="C877" s="20"/>
      <c r="D877" s="20"/>
      <c r="E877" s="20"/>
      <c r="F877" s="20"/>
      <c r="G877" s="20"/>
      <c r="H877" s="20"/>
      <c r="I877" s="20"/>
      <c r="J877" s="20"/>
      <c r="K877" s="20"/>
      <c r="L877" s="20"/>
      <c r="M877" s="20"/>
      <c r="N877" s="20"/>
      <c r="O877" s="20"/>
      <c r="P877" s="20"/>
      <c r="Q877" s="20"/>
      <c r="R877" s="20"/>
    </row>
    <row r="878">
      <c r="A878" s="20"/>
      <c r="B878" s="20"/>
      <c r="C878" s="20"/>
      <c r="D878" s="20"/>
      <c r="E878" s="20"/>
      <c r="F878" s="20"/>
      <c r="G878" s="20"/>
      <c r="H878" s="20"/>
      <c r="I878" s="20"/>
      <c r="J878" s="20"/>
      <c r="K878" s="20"/>
      <c r="L878" s="20"/>
      <c r="M878" s="20"/>
      <c r="N878" s="20"/>
      <c r="O878" s="20"/>
      <c r="P878" s="20"/>
      <c r="Q878" s="20"/>
      <c r="R878" s="20"/>
    </row>
    <row r="879">
      <c r="A879" s="20"/>
      <c r="B879" s="20"/>
      <c r="C879" s="20"/>
      <c r="D879" s="20"/>
      <c r="E879" s="20"/>
      <c r="F879" s="20"/>
      <c r="G879" s="20"/>
      <c r="H879" s="20"/>
      <c r="I879" s="20"/>
      <c r="J879" s="20"/>
      <c r="K879" s="20"/>
      <c r="L879" s="20"/>
      <c r="M879" s="20"/>
      <c r="N879" s="20"/>
      <c r="O879" s="20"/>
      <c r="P879" s="20"/>
      <c r="Q879" s="20"/>
      <c r="R879" s="20"/>
    </row>
    <row r="880">
      <c r="A880" s="20"/>
      <c r="B880" s="20"/>
      <c r="C880" s="20"/>
      <c r="D880" s="20"/>
      <c r="E880" s="20"/>
      <c r="F880" s="20"/>
      <c r="G880" s="20"/>
      <c r="H880" s="20"/>
      <c r="I880" s="20"/>
      <c r="J880" s="20"/>
      <c r="K880" s="20"/>
      <c r="L880" s="20"/>
      <c r="M880" s="20"/>
      <c r="N880" s="20"/>
      <c r="O880" s="20"/>
      <c r="P880" s="20"/>
      <c r="Q880" s="20"/>
      <c r="R880" s="20"/>
    </row>
    <row r="881">
      <c r="A881" s="20"/>
      <c r="B881" s="20"/>
      <c r="C881" s="20"/>
      <c r="D881" s="20"/>
      <c r="E881" s="20"/>
      <c r="F881" s="20"/>
      <c r="G881" s="20"/>
      <c r="H881" s="20"/>
      <c r="I881" s="20"/>
      <c r="J881" s="20"/>
      <c r="K881" s="20"/>
      <c r="L881" s="20"/>
      <c r="M881" s="20"/>
      <c r="N881" s="20"/>
      <c r="O881" s="20"/>
      <c r="P881" s="20"/>
      <c r="Q881" s="20"/>
      <c r="R881" s="20"/>
    </row>
    <row r="882">
      <c r="A882" s="20"/>
      <c r="B882" s="20"/>
      <c r="C882" s="20"/>
      <c r="D882" s="20"/>
      <c r="E882" s="20"/>
      <c r="F882" s="20"/>
      <c r="G882" s="20"/>
      <c r="H882" s="20"/>
      <c r="I882" s="20"/>
      <c r="J882" s="20"/>
      <c r="K882" s="20"/>
      <c r="L882" s="20"/>
      <c r="M882" s="20"/>
      <c r="N882" s="20"/>
      <c r="O882" s="20"/>
      <c r="P882" s="20"/>
      <c r="Q882" s="20"/>
      <c r="R882" s="20"/>
    </row>
    <row r="883">
      <c r="A883" s="20"/>
      <c r="B883" s="20"/>
      <c r="C883" s="20"/>
      <c r="D883" s="20"/>
      <c r="E883" s="20"/>
      <c r="F883" s="20"/>
      <c r="G883" s="20"/>
      <c r="H883" s="20"/>
      <c r="I883" s="20"/>
      <c r="J883" s="20"/>
      <c r="K883" s="20"/>
      <c r="L883" s="20"/>
      <c r="M883" s="20"/>
      <c r="N883" s="20"/>
      <c r="O883" s="20"/>
      <c r="P883" s="20"/>
      <c r="Q883" s="20"/>
      <c r="R883" s="20"/>
    </row>
    <row r="884">
      <c r="A884" s="20"/>
      <c r="B884" s="20"/>
      <c r="C884" s="20"/>
      <c r="D884" s="20"/>
      <c r="E884" s="20"/>
      <c r="F884" s="20"/>
      <c r="G884" s="20"/>
      <c r="H884" s="20"/>
      <c r="I884" s="20"/>
      <c r="J884" s="20"/>
      <c r="K884" s="20"/>
      <c r="L884" s="20"/>
      <c r="M884" s="20"/>
      <c r="N884" s="20"/>
      <c r="O884" s="20"/>
      <c r="P884" s="20"/>
      <c r="Q884" s="20"/>
      <c r="R884" s="20"/>
    </row>
    <row r="885">
      <c r="A885" s="20"/>
      <c r="B885" s="20"/>
      <c r="C885" s="20"/>
      <c r="D885" s="20"/>
      <c r="E885" s="20"/>
      <c r="F885" s="20"/>
      <c r="G885" s="20"/>
      <c r="H885" s="20"/>
      <c r="I885" s="20"/>
      <c r="J885" s="20"/>
      <c r="K885" s="20"/>
      <c r="L885" s="20"/>
      <c r="M885" s="20"/>
      <c r="N885" s="20"/>
      <c r="O885" s="20"/>
      <c r="P885" s="20"/>
      <c r="Q885" s="20"/>
      <c r="R885" s="20"/>
    </row>
    <row r="886">
      <c r="A886" s="20"/>
      <c r="B886" s="20"/>
      <c r="C886" s="20"/>
      <c r="D886" s="20"/>
      <c r="E886" s="20"/>
      <c r="F886" s="20"/>
      <c r="G886" s="20"/>
      <c r="H886" s="20"/>
      <c r="I886" s="20"/>
      <c r="J886" s="20"/>
      <c r="K886" s="20"/>
      <c r="L886" s="20"/>
      <c r="M886" s="20"/>
      <c r="N886" s="20"/>
      <c r="O886" s="20"/>
      <c r="P886" s="20"/>
      <c r="Q886" s="20"/>
      <c r="R886" s="20"/>
    </row>
    <row r="887">
      <c r="A887" s="20"/>
      <c r="B887" s="20"/>
      <c r="C887" s="20"/>
      <c r="D887" s="20"/>
      <c r="E887" s="20"/>
      <c r="F887" s="20"/>
      <c r="G887" s="20"/>
      <c r="H887" s="20"/>
      <c r="I887" s="20"/>
      <c r="J887" s="20"/>
      <c r="K887" s="20"/>
      <c r="L887" s="20"/>
      <c r="M887" s="20"/>
      <c r="N887" s="20"/>
      <c r="O887" s="20"/>
      <c r="P887" s="20"/>
      <c r="Q887" s="20"/>
      <c r="R887" s="20"/>
    </row>
    <row r="888">
      <c r="A888" s="20"/>
      <c r="B888" s="20"/>
      <c r="C888" s="20"/>
      <c r="D888" s="20"/>
      <c r="E888" s="20"/>
      <c r="F888" s="20"/>
      <c r="G888" s="20"/>
      <c r="H888" s="20"/>
      <c r="I888" s="20"/>
      <c r="J888" s="20"/>
      <c r="K888" s="20"/>
      <c r="L888" s="20"/>
      <c r="M888" s="20"/>
      <c r="N888" s="20"/>
      <c r="O888" s="20"/>
      <c r="P888" s="20"/>
      <c r="Q888" s="20"/>
      <c r="R888" s="20"/>
    </row>
    <row r="889">
      <c r="A889" s="20"/>
      <c r="B889" s="20"/>
      <c r="C889" s="20"/>
      <c r="D889" s="20"/>
      <c r="E889" s="20"/>
      <c r="F889" s="20"/>
      <c r="G889" s="20"/>
      <c r="H889" s="20"/>
      <c r="I889" s="20"/>
      <c r="J889" s="20"/>
      <c r="K889" s="20"/>
      <c r="L889" s="20"/>
      <c r="M889" s="20"/>
      <c r="N889" s="20"/>
      <c r="O889" s="20"/>
      <c r="P889" s="20"/>
      <c r="Q889" s="20"/>
      <c r="R889" s="20"/>
    </row>
    <row r="890">
      <c r="A890" s="20"/>
      <c r="B890" s="20"/>
      <c r="C890" s="20"/>
      <c r="D890" s="20"/>
      <c r="E890" s="20"/>
      <c r="F890" s="20"/>
      <c r="G890" s="20"/>
      <c r="H890" s="20"/>
      <c r="I890" s="20"/>
      <c r="J890" s="20"/>
      <c r="K890" s="20"/>
      <c r="L890" s="20"/>
      <c r="M890" s="20"/>
      <c r="N890" s="20"/>
      <c r="O890" s="20"/>
      <c r="P890" s="20"/>
      <c r="Q890" s="20"/>
      <c r="R890" s="20"/>
    </row>
    <row r="891">
      <c r="A891" s="20"/>
      <c r="B891" s="20"/>
      <c r="C891" s="20"/>
      <c r="D891" s="20"/>
      <c r="E891" s="20"/>
      <c r="F891" s="20"/>
      <c r="G891" s="20"/>
      <c r="H891" s="20"/>
      <c r="I891" s="20"/>
      <c r="J891" s="20"/>
      <c r="K891" s="20"/>
      <c r="L891" s="20"/>
      <c r="M891" s="20"/>
      <c r="N891" s="20"/>
      <c r="O891" s="20"/>
      <c r="P891" s="20"/>
      <c r="Q891" s="20"/>
      <c r="R891" s="20"/>
    </row>
    <row r="892">
      <c r="A892" s="20"/>
      <c r="B892" s="20"/>
      <c r="C892" s="20"/>
      <c r="D892" s="20"/>
      <c r="E892" s="20"/>
      <c r="F892" s="20"/>
      <c r="G892" s="20"/>
      <c r="H892" s="20"/>
      <c r="I892" s="20"/>
      <c r="J892" s="20"/>
      <c r="K892" s="20"/>
      <c r="L892" s="20"/>
      <c r="M892" s="20"/>
      <c r="N892" s="20"/>
      <c r="O892" s="20"/>
      <c r="P892" s="20"/>
      <c r="Q892" s="20"/>
      <c r="R892" s="20"/>
    </row>
    <row r="893">
      <c r="A893" s="20"/>
      <c r="B893" s="20"/>
      <c r="C893" s="20"/>
      <c r="D893" s="20"/>
      <c r="E893" s="20"/>
      <c r="F893" s="20"/>
      <c r="G893" s="20"/>
      <c r="H893" s="20"/>
      <c r="I893" s="20"/>
      <c r="J893" s="20"/>
      <c r="K893" s="20"/>
      <c r="L893" s="20"/>
      <c r="M893" s="20"/>
      <c r="N893" s="20"/>
      <c r="O893" s="20"/>
      <c r="P893" s="20"/>
      <c r="Q893" s="20"/>
      <c r="R893" s="20"/>
    </row>
    <row r="894">
      <c r="A894" s="20"/>
      <c r="B894" s="20"/>
      <c r="C894" s="20"/>
      <c r="D894" s="20"/>
      <c r="E894" s="20"/>
      <c r="F894" s="20"/>
      <c r="G894" s="20"/>
      <c r="H894" s="20"/>
      <c r="I894" s="20"/>
      <c r="J894" s="20"/>
      <c r="K894" s="20"/>
      <c r="L894" s="20"/>
      <c r="M894" s="20"/>
      <c r="N894" s="20"/>
      <c r="O894" s="20"/>
      <c r="P894" s="20"/>
      <c r="Q894" s="20"/>
      <c r="R894" s="20"/>
    </row>
    <row r="895">
      <c r="A895" s="20"/>
      <c r="B895" s="20"/>
      <c r="C895" s="20"/>
      <c r="D895" s="20"/>
      <c r="E895" s="20"/>
      <c r="F895" s="20"/>
      <c r="G895" s="20"/>
      <c r="H895" s="20"/>
      <c r="I895" s="20"/>
      <c r="J895" s="20"/>
      <c r="K895" s="20"/>
      <c r="L895" s="20"/>
      <c r="M895" s="20"/>
      <c r="N895" s="20"/>
      <c r="O895" s="20"/>
      <c r="P895" s="20"/>
      <c r="Q895" s="20"/>
      <c r="R895" s="20"/>
    </row>
    <row r="896">
      <c r="A896" s="20"/>
      <c r="B896" s="20"/>
      <c r="C896" s="20"/>
      <c r="D896" s="20"/>
      <c r="E896" s="20"/>
      <c r="F896" s="20"/>
      <c r="G896" s="20"/>
      <c r="H896" s="20"/>
      <c r="I896" s="20"/>
      <c r="J896" s="20"/>
      <c r="K896" s="20"/>
      <c r="L896" s="20"/>
      <c r="M896" s="20"/>
      <c r="N896" s="20"/>
      <c r="O896" s="20"/>
      <c r="P896" s="20"/>
      <c r="Q896" s="20"/>
      <c r="R896" s="20"/>
    </row>
    <row r="897">
      <c r="A897" s="20"/>
      <c r="B897" s="20"/>
      <c r="C897" s="20"/>
      <c r="D897" s="20"/>
      <c r="E897" s="20"/>
      <c r="F897" s="20"/>
      <c r="G897" s="20"/>
      <c r="H897" s="20"/>
      <c r="I897" s="20"/>
      <c r="J897" s="20"/>
      <c r="K897" s="20"/>
      <c r="L897" s="20"/>
      <c r="M897" s="20"/>
      <c r="N897" s="20"/>
      <c r="O897" s="20"/>
      <c r="P897" s="20"/>
      <c r="Q897" s="20"/>
      <c r="R897" s="20"/>
    </row>
    <row r="898">
      <c r="A898" s="20"/>
      <c r="B898" s="20"/>
      <c r="C898" s="20"/>
      <c r="D898" s="20"/>
      <c r="E898" s="20"/>
      <c r="F898" s="20"/>
      <c r="G898" s="20"/>
      <c r="H898" s="20"/>
      <c r="I898" s="20"/>
      <c r="J898" s="20"/>
      <c r="K898" s="20"/>
      <c r="L898" s="20"/>
      <c r="M898" s="20"/>
      <c r="N898" s="20"/>
      <c r="O898" s="20"/>
      <c r="P898" s="20"/>
      <c r="Q898" s="20"/>
      <c r="R898" s="20"/>
    </row>
    <row r="899">
      <c r="A899" s="20"/>
      <c r="B899" s="20"/>
      <c r="C899" s="20"/>
      <c r="D899" s="20"/>
      <c r="E899" s="20"/>
      <c r="F899" s="20"/>
      <c r="G899" s="20"/>
      <c r="H899" s="20"/>
      <c r="I899" s="20"/>
      <c r="J899" s="20"/>
      <c r="K899" s="20"/>
      <c r="L899" s="20"/>
      <c r="M899" s="20"/>
      <c r="N899" s="20"/>
      <c r="O899" s="20"/>
      <c r="P899" s="20"/>
      <c r="Q899" s="20"/>
      <c r="R899" s="20"/>
    </row>
    <row r="900">
      <c r="A900" s="20"/>
      <c r="B900" s="20"/>
      <c r="C900" s="20"/>
      <c r="D900" s="20"/>
      <c r="E900" s="20"/>
      <c r="F900" s="20"/>
      <c r="G900" s="20"/>
      <c r="H900" s="20"/>
      <c r="I900" s="20"/>
      <c r="J900" s="20"/>
      <c r="K900" s="20"/>
      <c r="L900" s="20"/>
      <c r="M900" s="20"/>
      <c r="N900" s="20"/>
      <c r="O900" s="20"/>
      <c r="P900" s="20"/>
      <c r="Q900" s="20"/>
      <c r="R900" s="20"/>
    </row>
    <row r="901">
      <c r="A901" s="20"/>
      <c r="B901" s="20"/>
      <c r="C901" s="20"/>
      <c r="D901" s="20"/>
      <c r="E901" s="20"/>
      <c r="F901" s="20"/>
      <c r="G901" s="20"/>
      <c r="H901" s="20"/>
      <c r="I901" s="20"/>
      <c r="J901" s="20"/>
      <c r="K901" s="20"/>
      <c r="L901" s="20"/>
      <c r="M901" s="20"/>
      <c r="N901" s="20"/>
      <c r="O901" s="20"/>
      <c r="P901" s="20"/>
      <c r="Q901" s="20"/>
      <c r="R901" s="20"/>
    </row>
    <row r="902">
      <c r="A902" s="20"/>
      <c r="B902" s="20"/>
      <c r="C902" s="20"/>
      <c r="D902" s="20"/>
      <c r="E902" s="20"/>
      <c r="F902" s="20"/>
      <c r="G902" s="20"/>
      <c r="H902" s="20"/>
      <c r="I902" s="20"/>
      <c r="J902" s="20"/>
      <c r="K902" s="20"/>
      <c r="L902" s="20"/>
      <c r="M902" s="20"/>
      <c r="N902" s="20"/>
      <c r="O902" s="20"/>
      <c r="P902" s="20"/>
      <c r="Q902" s="20"/>
      <c r="R902" s="20"/>
    </row>
    <row r="903">
      <c r="A903" s="20"/>
      <c r="B903" s="20"/>
      <c r="C903" s="20"/>
      <c r="D903" s="20"/>
      <c r="E903" s="20"/>
      <c r="F903" s="20"/>
      <c r="G903" s="20"/>
      <c r="H903" s="20"/>
      <c r="I903" s="20"/>
      <c r="J903" s="20"/>
      <c r="K903" s="20"/>
      <c r="L903" s="20"/>
      <c r="M903" s="20"/>
      <c r="N903" s="20"/>
      <c r="O903" s="20"/>
      <c r="P903" s="20"/>
      <c r="Q903" s="20"/>
      <c r="R903" s="20"/>
    </row>
    <row r="904">
      <c r="A904" s="20"/>
      <c r="B904" s="20"/>
      <c r="C904" s="20"/>
      <c r="D904" s="20"/>
      <c r="E904" s="20"/>
      <c r="F904" s="20"/>
      <c r="G904" s="20"/>
      <c r="H904" s="20"/>
      <c r="I904" s="20"/>
      <c r="J904" s="20"/>
      <c r="K904" s="20"/>
      <c r="L904" s="20"/>
      <c r="M904" s="20"/>
      <c r="N904" s="20"/>
      <c r="O904" s="20"/>
      <c r="P904" s="20"/>
      <c r="Q904" s="20"/>
      <c r="R904" s="20"/>
    </row>
    <row r="905">
      <c r="A905" s="20"/>
      <c r="B905" s="20"/>
      <c r="C905" s="20"/>
      <c r="D905" s="20"/>
      <c r="E905" s="20"/>
      <c r="F905" s="20"/>
      <c r="G905" s="20"/>
      <c r="H905" s="20"/>
      <c r="I905" s="20"/>
      <c r="J905" s="20"/>
      <c r="K905" s="20"/>
      <c r="L905" s="20"/>
      <c r="M905" s="20"/>
      <c r="N905" s="20"/>
      <c r="O905" s="20"/>
      <c r="P905" s="20"/>
      <c r="Q905" s="20"/>
      <c r="R905" s="20"/>
    </row>
    <row r="906">
      <c r="A906" s="20"/>
      <c r="B906" s="20"/>
      <c r="C906" s="20"/>
      <c r="D906" s="20"/>
      <c r="E906" s="20"/>
      <c r="F906" s="20"/>
      <c r="G906" s="20"/>
      <c r="H906" s="20"/>
      <c r="I906" s="20"/>
      <c r="J906" s="20"/>
      <c r="K906" s="20"/>
      <c r="L906" s="20"/>
      <c r="M906" s="20"/>
      <c r="N906" s="20"/>
      <c r="O906" s="20"/>
      <c r="P906" s="20"/>
      <c r="Q906" s="20"/>
      <c r="R906" s="20"/>
    </row>
    <row r="907">
      <c r="A907" s="20"/>
      <c r="B907" s="20"/>
      <c r="C907" s="20"/>
      <c r="D907" s="20"/>
      <c r="E907" s="20"/>
      <c r="F907" s="20"/>
      <c r="G907" s="20"/>
      <c r="H907" s="20"/>
      <c r="I907" s="20"/>
      <c r="J907" s="20"/>
      <c r="K907" s="20"/>
      <c r="L907" s="20"/>
      <c r="M907" s="20"/>
      <c r="N907" s="20"/>
      <c r="O907" s="20"/>
      <c r="P907" s="20"/>
      <c r="Q907" s="20"/>
      <c r="R907" s="20"/>
    </row>
    <row r="908">
      <c r="A908" s="20"/>
      <c r="B908" s="20"/>
      <c r="C908" s="20"/>
      <c r="D908" s="20"/>
      <c r="E908" s="20"/>
      <c r="F908" s="20"/>
      <c r="G908" s="20"/>
      <c r="H908" s="20"/>
      <c r="I908" s="20"/>
      <c r="J908" s="20"/>
      <c r="K908" s="20"/>
      <c r="L908" s="20"/>
      <c r="M908" s="20"/>
      <c r="N908" s="20"/>
      <c r="O908" s="20"/>
      <c r="P908" s="20"/>
      <c r="Q908" s="20"/>
      <c r="R908" s="20"/>
    </row>
    <row r="909">
      <c r="A909" s="20"/>
      <c r="B909" s="20"/>
      <c r="C909" s="20"/>
      <c r="D909" s="20"/>
      <c r="E909" s="20"/>
      <c r="F909" s="20"/>
      <c r="G909" s="20"/>
      <c r="H909" s="20"/>
      <c r="I909" s="20"/>
      <c r="J909" s="20"/>
      <c r="K909" s="20"/>
      <c r="L909" s="20"/>
      <c r="M909" s="20"/>
      <c r="N909" s="20"/>
      <c r="O909" s="20"/>
      <c r="P909" s="20"/>
      <c r="Q909" s="20"/>
      <c r="R909" s="20"/>
    </row>
    <row r="910">
      <c r="A910" s="20"/>
      <c r="B910" s="20"/>
      <c r="C910" s="20"/>
      <c r="D910" s="20"/>
      <c r="E910" s="20"/>
      <c r="F910" s="20"/>
      <c r="G910" s="20"/>
      <c r="H910" s="20"/>
      <c r="I910" s="20"/>
      <c r="J910" s="20"/>
      <c r="K910" s="20"/>
      <c r="L910" s="20"/>
      <c r="M910" s="20"/>
      <c r="N910" s="20"/>
      <c r="O910" s="20"/>
      <c r="P910" s="20"/>
      <c r="Q910" s="20"/>
      <c r="R910" s="20"/>
    </row>
    <row r="911">
      <c r="A911" s="20"/>
      <c r="B911" s="20"/>
      <c r="C911" s="20"/>
      <c r="D911" s="20"/>
      <c r="E911" s="20"/>
      <c r="F911" s="20"/>
      <c r="G911" s="20"/>
      <c r="H911" s="20"/>
      <c r="I911" s="20"/>
      <c r="J911" s="20"/>
      <c r="K911" s="20"/>
      <c r="L911" s="20"/>
      <c r="M911" s="20"/>
      <c r="N911" s="20"/>
      <c r="O911" s="20"/>
      <c r="P911" s="20"/>
      <c r="Q911" s="20"/>
      <c r="R911" s="20"/>
    </row>
    <row r="912">
      <c r="A912" s="20"/>
      <c r="B912" s="20"/>
      <c r="C912" s="20"/>
      <c r="D912" s="20"/>
      <c r="E912" s="20"/>
      <c r="F912" s="20"/>
      <c r="G912" s="20"/>
      <c r="H912" s="20"/>
      <c r="I912" s="20"/>
      <c r="J912" s="20"/>
      <c r="K912" s="20"/>
      <c r="L912" s="20"/>
      <c r="M912" s="20"/>
      <c r="N912" s="20"/>
      <c r="O912" s="20"/>
      <c r="P912" s="20"/>
      <c r="Q912" s="20"/>
      <c r="R912" s="20"/>
    </row>
    <row r="913">
      <c r="A913" s="20"/>
      <c r="B913" s="20"/>
      <c r="C913" s="20"/>
      <c r="D913" s="20"/>
      <c r="E913" s="20"/>
      <c r="F913" s="20"/>
      <c r="G913" s="20"/>
      <c r="H913" s="20"/>
      <c r="I913" s="20"/>
      <c r="J913" s="20"/>
      <c r="K913" s="20"/>
      <c r="L913" s="20"/>
      <c r="M913" s="20"/>
      <c r="N913" s="20"/>
      <c r="O913" s="20"/>
      <c r="P913" s="20"/>
      <c r="Q913" s="20"/>
      <c r="R913" s="20"/>
    </row>
    <row r="914">
      <c r="A914" s="20"/>
      <c r="B914" s="20"/>
      <c r="C914" s="20"/>
      <c r="D914" s="20"/>
      <c r="E914" s="20"/>
      <c r="F914" s="20"/>
      <c r="G914" s="20"/>
      <c r="H914" s="20"/>
      <c r="I914" s="20"/>
      <c r="J914" s="20"/>
      <c r="K914" s="20"/>
      <c r="L914" s="20"/>
      <c r="M914" s="20"/>
      <c r="N914" s="20"/>
      <c r="O914" s="20"/>
      <c r="P914" s="20"/>
      <c r="Q914" s="20"/>
      <c r="R914" s="20"/>
    </row>
    <row r="915">
      <c r="A915" s="20"/>
      <c r="B915" s="20"/>
      <c r="C915" s="20"/>
      <c r="D915" s="20"/>
      <c r="E915" s="20"/>
      <c r="F915" s="20"/>
      <c r="G915" s="20"/>
      <c r="H915" s="20"/>
      <c r="I915" s="20"/>
      <c r="J915" s="20"/>
      <c r="K915" s="20"/>
      <c r="L915" s="20"/>
      <c r="M915" s="20"/>
      <c r="N915" s="20"/>
      <c r="O915" s="20"/>
      <c r="P915" s="20"/>
      <c r="Q915" s="20"/>
      <c r="R915" s="20"/>
    </row>
    <row r="916">
      <c r="A916" s="20"/>
      <c r="B916" s="20"/>
      <c r="C916" s="20"/>
      <c r="D916" s="20"/>
      <c r="E916" s="20"/>
      <c r="F916" s="20"/>
      <c r="G916" s="20"/>
      <c r="H916" s="20"/>
      <c r="I916" s="20"/>
      <c r="J916" s="20"/>
      <c r="K916" s="20"/>
      <c r="L916" s="20"/>
      <c r="M916" s="20"/>
      <c r="N916" s="20"/>
      <c r="O916" s="20"/>
      <c r="P916" s="20"/>
      <c r="Q916" s="20"/>
      <c r="R916" s="20"/>
    </row>
    <row r="917">
      <c r="A917" s="20"/>
      <c r="B917" s="20"/>
      <c r="C917" s="20"/>
      <c r="D917" s="20"/>
      <c r="E917" s="20"/>
      <c r="F917" s="20"/>
      <c r="G917" s="20"/>
      <c r="H917" s="20"/>
      <c r="I917" s="20"/>
      <c r="J917" s="20"/>
      <c r="K917" s="20"/>
      <c r="L917" s="20"/>
      <c r="M917" s="20"/>
      <c r="N917" s="20"/>
      <c r="O917" s="20"/>
      <c r="P917" s="20"/>
      <c r="Q917" s="20"/>
      <c r="R917" s="20"/>
    </row>
    <row r="918">
      <c r="A918" s="20"/>
      <c r="B918" s="20"/>
      <c r="C918" s="20"/>
      <c r="D918" s="20"/>
      <c r="E918" s="20"/>
      <c r="F918" s="20"/>
      <c r="G918" s="20"/>
      <c r="H918" s="20"/>
      <c r="I918" s="20"/>
      <c r="J918" s="20"/>
      <c r="K918" s="20"/>
      <c r="L918" s="20"/>
      <c r="M918" s="20"/>
      <c r="N918" s="20"/>
      <c r="O918" s="20"/>
      <c r="P918" s="20"/>
      <c r="Q918" s="20"/>
      <c r="R918" s="20"/>
    </row>
    <row r="919">
      <c r="A919" s="20"/>
      <c r="B919" s="20"/>
      <c r="C919" s="20"/>
      <c r="D919" s="20"/>
      <c r="E919" s="20"/>
      <c r="F919" s="20"/>
      <c r="G919" s="20"/>
      <c r="H919" s="20"/>
      <c r="I919" s="20"/>
      <c r="J919" s="20"/>
      <c r="K919" s="20"/>
      <c r="L919" s="20"/>
      <c r="M919" s="20"/>
      <c r="N919" s="20"/>
      <c r="O919" s="20"/>
      <c r="P919" s="20"/>
      <c r="Q919" s="20"/>
      <c r="R919" s="20"/>
    </row>
    <row r="920">
      <c r="A920" s="20"/>
      <c r="B920" s="20"/>
      <c r="C920" s="20"/>
      <c r="D920" s="20"/>
      <c r="E920" s="20"/>
      <c r="F920" s="20"/>
      <c r="G920" s="20"/>
      <c r="H920" s="20"/>
      <c r="I920" s="20"/>
      <c r="J920" s="20"/>
      <c r="K920" s="20"/>
      <c r="L920" s="20"/>
      <c r="M920" s="20"/>
      <c r="N920" s="20"/>
      <c r="O920" s="20"/>
      <c r="P920" s="20"/>
      <c r="Q920" s="20"/>
      <c r="R920" s="20"/>
    </row>
    <row r="921">
      <c r="A921" s="20"/>
      <c r="B921" s="20"/>
      <c r="C921" s="20"/>
      <c r="D921" s="20"/>
      <c r="E921" s="20"/>
      <c r="F921" s="20"/>
      <c r="G921" s="20"/>
      <c r="H921" s="20"/>
      <c r="I921" s="20"/>
      <c r="J921" s="20"/>
      <c r="K921" s="20"/>
      <c r="L921" s="20"/>
      <c r="M921" s="20"/>
      <c r="N921" s="20"/>
      <c r="O921" s="20"/>
      <c r="P921" s="20"/>
      <c r="Q921" s="20"/>
      <c r="R921" s="20"/>
    </row>
    <row r="922">
      <c r="A922" s="20"/>
      <c r="B922" s="20"/>
      <c r="C922" s="20"/>
      <c r="D922" s="20"/>
      <c r="E922" s="20"/>
      <c r="F922" s="20"/>
      <c r="G922" s="20"/>
      <c r="H922" s="20"/>
      <c r="I922" s="20"/>
      <c r="J922" s="20"/>
      <c r="K922" s="20"/>
      <c r="L922" s="20"/>
      <c r="M922" s="20"/>
      <c r="N922" s="20"/>
      <c r="O922" s="20"/>
      <c r="P922" s="20"/>
      <c r="Q922" s="20"/>
      <c r="R922" s="20"/>
    </row>
    <row r="923">
      <c r="A923" s="20"/>
      <c r="B923" s="20"/>
      <c r="C923" s="20"/>
      <c r="D923" s="20"/>
      <c r="E923" s="20"/>
      <c r="F923" s="20"/>
      <c r="G923" s="20"/>
      <c r="H923" s="20"/>
      <c r="I923" s="20"/>
      <c r="J923" s="20"/>
      <c r="K923" s="20"/>
      <c r="L923" s="20"/>
      <c r="M923" s="20"/>
      <c r="N923" s="20"/>
      <c r="O923" s="20"/>
      <c r="P923" s="20"/>
      <c r="Q923" s="20"/>
      <c r="R923" s="20"/>
    </row>
    <row r="924">
      <c r="A924" s="20"/>
      <c r="B924" s="20"/>
      <c r="C924" s="20"/>
      <c r="D924" s="20"/>
      <c r="E924" s="20"/>
      <c r="F924" s="20"/>
      <c r="G924" s="20"/>
      <c r="H924" s="20"/>
      <c r="I924" s="20"/>
      <c r="J924" s="20"/>
      <c r="K924" s="20"/>
      <c r="L924" s="20"/>
      <c r="M924" s="20"/>
      <c r="N924" s="20"/>
      <c r="O924" s="20"/>
      <c r="P924" s="20"/>
      <c r="Q924" s="20"/>
      <c r="R924" s="20"/>
    </row>
    <row r="925">
      <c r="A925" s="20"/>
      <c r="B925" s="20"/>
      <c r="C925" s="20"/>
      <c r="D925" s="20"/>
      <c r="E925" s="20"/>
      <c r="F925" s="20"/>
      <c r="G925" s="20"/>
      <c r="H925" s="20"/>
      <c r="I925" s="20"/>
      <c r="J925" s="20"/>
      <c r="K925" s="20"/>
      <c r="L925" s="20"/>
      <c r="M925" s="20"/>
      <c r="N925" s="20"/>
      <c r="O925" s="20"/>
      <c r="P925" s="20"/>
      <c r="Q925" s="20"/>
      <c r="R925" s="20"/>
    </row>
    <row r="926">
      <c r="A926" s="20"/>
      <c r="B926" s="20"/>
      <c r="C926" s="20"/>
      <c r="D926" s="20"/>
      <c r="E926" s="20"/>
      <c r="F926" s="20"/>
      <c r="G926" s="20"/>
      <c r="H926" s="20"/>
      <c r="I926" s="20"/>
      <c r="J926" s="20"/>
      <c r="K926" s="20"/>
      <c r="L926" s="20"/>
      <c r="M926" s="20"/>
      <c r="N926" s="20"/>
      <c r="O926" s="20"/>
      <c r="P926" s="20"/>
      <c r="Q926" s="20"/>
      <c r="R926" s="20"/>
    </row>
    <row r="927">
      <c r="A927" s="20"/>
      <c r="B927" s="20"/>
      <c r="C927" s="20"/>
      <c r="D927" s="20"/>
      <c r="E927" s="20"/>
      <c r="F927" s="20"/>
      <c r="G927" s="20"/>
      <c r="H927" s="20"/>
      <c r="I927" s="20"/>
      <c r="J927" s="20"/>
      <c r="K927" s="20"/>
      <c r="L927" s="20"/>
      <c r="M927" s="20"/>
      <c r="N927" s="20"/>
      <c r="O927" s="20"/>
      <c r="P927" s="20"/>
      <c r="Q927" s="20"/>
      <c r="R927" s="20"/>
    </row>
    <row r="928">
      <c r="A928" s="20"/>
      <c r="B928" s="20"/>
      <c r="C928" s="20"/>
      <c r="D928" s="20"/>
      <c r="E928" s="20"/>
      <c r="F928" s="20"/>
      <c r="G928" s="20"/>
      <c r="H928" s="20"/>
      <c r="I928" s="20"/>
      <c r="J928" s="20"/>
      <c r="K928" s="20"/>
      <c r="L928" s="20"/>
      <c r="M928" s="20"/>
      <c r="N928" s="20"/>
      <c r="O928" s="20"/>
      <c r="P928" s="20"/>
      <c r="Q928" s="20"/>
      <c r="R928" s="20"/>
    </row>
    <row r="929">
      <c r="A929" s="20"/>
      <c r="B929" s="20"/>
      <c r="C929" s="20"/>
      <c r="D929" s="20"/>
      <c r="E929" s="20"/>
      <c r="F929" s="20"/>
      <c r="G929" s="20"/>
      <c r="H929" s="20"/>
      <c r="I929" s="20"/>
      <c r="J929" s="20"/>
      <c r="K929" s="20"/>
      <c r="L929" s="20"/>
      <c r="M929" s="20"/>
      <c r="N929" s="20"/>
      <c r="O929" s="20"/>
      <c r="P929" s="20"/>
      <c r="Q929" s="20"/>
      <c r="R929" s="20"/>
    </row>
    <row r="930">
      <c r="A930" s="20"/>
      <c r="B930" s="20"/>
      <c r="C930" s="20"/>
      <c r="D930" s="20"/>
      <c r="E930" s="20"/>
      <c r="F930" s="20"/>
      <c r="G930" s="20"/>
      <c r="H930" s="20"/>
      <c r="I930" s="20"/>
      <c r="J930" s="20"/>
      <c r="K930" s="20"/>
      <c r="L930" s="20"/>
      <c r="M930" s="20"/>
      <c r="N930" s="20"/>
      <c r="O930" s="20"/>
      <c r="P930" s="20"/>
      <c r="Q930" s="20"/>
      <c r="R930" s="20"/>
    </row>
    <row r="931">
      <c r="A931" s="20"/>
      <c r="B931" s="20"/>
      <c r="C931" s="20"/>
      <c r="D931" s="20"/>
      <c r="E931" s="20"/>
      <c r="F931" s="20"/>
      <c r="G931" s="20"/>
      <c r="H931" s="20"/>
      <c r="I931" s="20"/>
      <c r="J931" s="20"/>
      <c r="K931" s="20"/>
      <c r="L931" s="20"/>
      <c r="M931" s="20"/>
      <c r="N931" s="20"/>
      <c r="O931" s="20"/>
      <c r="P931" s="20"/>
      <c r="Q931" s="20"/>
      <c r="R931" s="20"/>
    </row>
    <row r="932">
      <c r="A932" s="20"/>
      <c r="B932" s="20"/>
      <c r="C932" s="20"/>
      <c r="D932" s="20"/>
      <c r="E932" s="20"/>
      <c r="F932" s="20"/>
      <c r="G932" s="20"/>
      <c r="H932" s="20"/>
      <c r="I932" s="20"/>
      <c r="J932" s="20"/>
      <c r="K932" s="20"/>
      <c r="L932" s="20"/>
      <c r="M932" s="20"/>
      <c r="N932" s="20"/>
      <c r="O932" s="20"/>
      <c r="P932" s="20"/>
      <c r="Q932" s="20"/>
      <c r="R932" s="20"/>
    </row>
    <row r="933">
      <c r="A933" s="20"/>
      <c r="B933" s="20"/>
      <c r="C933" s="20"/>
      <c r="D933" s="20"/>
      <c r="E933" s="20"/>
      <c r="F933" s="20"/>
      <c r="G933" s="20"/>
      <c r="H933" s="20"/>
      <c r="I933" s="20"/>
      <c r="J933" s="20"/>
      <c r="K933" s="20"/>
      <c r="L933" s="20"/>
      <c r="M933" s="20"/>
      <c r="N933" s="20"/>
      <c r="O933" s="20"/>
      <c r="P933" s="20"/>
      <c r="Q933" s="20"/>
      <c r="R933" s="20"/>
    </row>
    <row r="934">
      <c r="A934" s="20"/>
      <c r="B934" s="20"/>
      <c r="C934" s="20"/>
      <c r="D934" s="20"/>
      <c r="E934" s="20"/>
      <c r="F934" s="20"/>
      <c r="G934" s="20"/>
      <c r="H934" s="20"/>
      <c r="I934" s="20"/>
      <c r="J934" s="20"/>
      <c r="K934" s="20"/>
      <c r="L934" s="20"/>
      <c r="M934" s="20"/>
      <c r="N934" s="20"/>
      <c r="O934" s="20"/>
      <c r="P934" s="20"/>
      <c r="Q934" s="20"/>
      <c r="R934" s="20"/>
    </row>
    <row r="935">
      <c r="A935" s="20"/>
      <c r="B935" s="20"/>
      <c r="C935" s="20"/>
      <c r="D935" s="20"/>
      <c r="E935" s="20"/>
      <c r="F935" s="20"/>
      <c r="G935" s="20"/>
      <c r="H935" s="20"/>
      <c r="I935" s="20"/>
      <c r="J935" s="20"/>
      <c r="K935" s="20"/>
      <c r="L935" s="20"/>
      <c r="M935" s="20"/>
      <c r="N935" s="20"/>
      <c r="O935" s="20"/>
      <c r="P935" s="20"/>
      <c r="Q935" s="20"/>
      <c r="R935" s="20"/>
    </row>
    <row r="936">
      <c r="A936" s="20"/>
      <c r="B936" s="20"/>
      <c r="C936" s="20"/>
      <c r="D936" s="20"/>
      <c r="E936" s="20"/>
      <c r="F936" s="20"/>
      <c r="G936" s="20"/>
      <c r="H936" s="20"/>
      <c r="I936" s="20"/>
      <c r="J936" s="20"/>
      <c r="K936" s="20"/>
      <c r="L936" s="20"/>
      <c r="M936" s="20"/>
      <c r="N936" s="20"/>
      <c r="O936" s="20"/>
      <c r="P936" s="20"/>
      <c r="Q936" s="20"/>
      <c r="R936" s="20"/>
    </row>
    <row r="937">
      <c r="A937" s="20"/>
      <c r="B937" s="20"/>
      <c r="C937" s="20"/>
      <c r="D937" s="20"/>
      <c r="E937" s="20"/>
      <c r="F937" s="20"/>
      <c r="G937" s="20"/>
      <c r="H937" s="20"/>
      <c r="I937" s="20"/>
      <c r="J937" s="20"/>
      <c r="K937" s="20"/>
      <c r="L937" s="20"/>
      <c r="M937" s="20"/>
      <c r="N937" s="20"/>
      <c r="O937" s="20"/>
      <c r="P937" s="20"/>
      <c r="Q937" s="20"/>
      <c r="R937" s="20"/>
    </row>
    <row r="938">
      <c r="A938" s="20"/>
      <c r="B938" s="20"/>
      <c r="C938" s="20"/>
      <c r="D938" s="20"/>
      <c r="E938" s="20"/>
      <c r="F938" s="20"/>
      <c r="G938" s="20"/>
      <c r="H938" s="20"/>
      <c r="I938" s="20"/>
      <c r="J938" s="20"/>
      <c r="K938" s="20"/>
      <c r="L938" s="20"/>
      <c r="M938" s="20"/>
      <c r="N938" s="20"/>
      <c r="O938" s="20"/>
      <c r="P938" s="20"/>
      <c r="Q938" s="20"/>
      <c r="R938" s="20"/>
    </row>
    <row r="939">
      <c r="A939" s="20"/>
      <c r="B939" s="20"/>
      <c r="C939" s="20"/>
      <c r="D939" s="20"/>
      <c r="E939" s="20"/>
      <c r="F939" s="20"/>
      <c r="G939" s="20"/>
      <c r="H939" s="20"/>
      <c r="I939" s="20"/>
      <c r="J939" s="20"/>
      <c r="K939" s="20"/>
      <c r="L939" s="20"/>
      <c r="M939" s="20"/>
      <c r="N939" s="20"/>
      <c r="O939" s="20"/>
      <c r="P939" s="20"/>
      <c r="Q939" s="20"/>
      <c r="R939" s="20"/>
    </row>
    <row r="940">
      <c r="A940" s="20"/>
      <c r="B940" s="20"/>
      <c r="C940" s="20"/>
      <c r="D940" s="20"/>
      <c r="E940" s="20"/>
      <c r="F940" s="20"/>
      <c r="G940" s="20"/>
      <c r="H940" s="20"/>
      <c r="I940" s="20"/>
      <c r="J940" s="20"/>
      <c r="K940" s="20"/>
      <c r="L940" s="20"/>
      <c r="M940" s="20"/>
      <c r="N940" s="20"/>
      <c r="O940" s="20"/>
      <c r="P940" s="20"/>
      <c r="Q940" s="20"/>
      <c r="R940" s="20"/>
    </row>
    <row r="941">
      <c r="A941" s="20"/>
      <c r="B941" s="20"/>
      <c r="C941" s="20"/>
      <c r="D941" s="20"/>
      <c r="E941" s="20"/>
      <c r="F941" s="20"/>
      <c r="G941" s="20"/>
      <c r="H941" s="20"/>
      <c r="I941" s="20"/>
      <c r="J941" s="20"/>
      <c r="K941" s="20"/>
      <c r="L941" s="20"/>
      <c r="M941" s="20"/>
      <c r="N941" s="20"/>
      <c r="O941" s="20"/>
      <c r="P941" s="20"/>
      <c r="Q941" s="20"/>
      <c r="R941" s="20"/>
    </row>
    <row r="942">
      <c r="A942" s="20"/>
      <c r="B942" s="20"/>
      <c r="C942" s="20"/>
      <c r="D942" s="20"/>
      <c r="E942" s="20"/>
      <c r="F942" s="20"/>
      <c r="G942" s="20"/>
      <c r="H942" s="20"/>
      <c r="I942" s="20"/>
      <c r="J942" s="20"/>
      <c r="K942" s="20"/>
      <c r="L942" s="20"/>
      <c r="M942" s="20"/>
      <c r="N942" s="20"/>
      <c r="O942" s="20"/>
      <c r="P942" s="20"/>
      <c r="Q942" s="20"/>
      <c r="R942" s="20"/>
    </row>
    <row r="943">
      <c r="A943" s="20"/>
      <c r="B943" s="20"/>
      <c r="C943" s="20"/>
      <c r="D943" s="20"/>
      <c r="E943" s="20"/>
      <c r="F943" s="20"/>
      <c r="G943" s="20"/>
      <c r="H943" s="20"/>
      <c r="I943" s="20"/>
      <c r="J943" s="20"/>
      <c r="K943" s="20"/>
      <c r="L943" s="20"/>
      <c r="M943" s="20"/>
      <c r="N943" s="20"/>
      <c r="O943" s="20"/>
      <c r="P943" s="20"/>
      <c r="Q943" s="20"/>
      <c r="R943" s="20"/>
    </row>
    <row r="944">
      <c r="A944" s="20"/>
      <c r="B944" s="20"/>
      <c r="C944" s="20"/>
      <c r="D944" s="20"/>
      <c r="E944" s="20"/>
      <c r="F944" s="20"/>
      <c r="G944" s="20"/>
      <c r="H944" s="20"/>
      <c r="I944" s="20"/>
      <c r="J944" s="20"/>
      <c r="K944" s="20"/>
      <c r="L944" s="20"/>
      <c r="M944" s="20"/>
      <c r="N944" s="20"/>
      <c r="O944" s="20"/>
      <c r="P944" s="20"/>
      <c r="Q944" s="20"/>
      <c r="R944" s="20"/>
    </row>
    <row r="945">
      <c r="A945" s="20"/>
      <c r="B945" s="20"/>
      <c r="C945" s="20"/>
      <c r="D945" s="20"/>
      <c r="E945" s="20"/>
      <c r="F945" s="20"/>
      <c r="G945" s="20"/>
      <c r="H945" s="20"/>
      <c r="I945" s="20"/>
      <c r="J945" s="20"/>
      <c r="K945" s="20"/>
      <c r="L945" s="20"/>
      <c r="M945" s="20"/>
      <c r="N945" s="20"/>
      <c r="O945" s="20"/>
      <c r="P945" s="20"/>
      <c r="Q945" s="20"/>
      <c r="R945" s="20"/>
    </row>
    <row r="946">
      <c r="A946" s="20"/>
      <c r="B946" s="20"/>
      <c r="C946" s="20"/>
      <c r="D946" s="20"/>
      <c r="E946" s="20"/>
      <c r="F946" s="20"/>
      <c r="G946" s="20"/>
      <c r="H946" s="20"/>
      <c r="I946" s="20"/>
      <c r="J946" s="20"/>
      <c r="K946" s="20"/>
      <c r="L946" s="20"/>
      <c r="M946" s="20"/>
      <c r="N946" s="20"/>
      <c r="O946" s="20"/>
      <c r="P946" s="20"/>
      <c r="Q946" s="20"/>
      <c r="R946" s="20"/>
    </row>
    <row r="947">
      <c r="A947" s="20"/>
      <c r="B947" s="20"/>
      <c r="C947" s="20"/>
      <c r="D947" s="20"/>
      <c r="E947" s="20"/>
      <c r="F947" s="20"/>
      <c r="G947" s="20"/>
      <c r="H947" s="20"/>
      <c r="I947" s="20"/>
      <c r="J947" s="20"/>
      <c r="K947" s="20"/>
      <c r="L947" s="20"/>
      <c r="M947" s="20"/>
      <c r="N947" s="20"/>
      <c r="O947" s="20"/>
      <c r="P947" s="20"/>
      <c r="Q947" s="20"/>
      <c r="R947" s="20"/>
    </row>
    <row r="948">
      <c r="A948" s="20"/>
      <c r="B948" s="20"/>
      <c r="C948" s="20"/>
      <c r="D948" s="20"/>
      <c r="E948" s="20"/>
      <c r="F948" s="20"/>
      <c r="G948" s="20"/>
      <c r="H948" s="20"/>
      <c r="I948" s="20"/>
      <c r="J948" s="20"/>
      <c r="K948" s="20"/>
      <c r="L948" s="20"/>
      <c r="M948" s="20"/>
      <c r="N948" s="20"/>
      <c r="O948" s="20"/>
      <c r="P948" s="20"/>
      <c r="Q948" s="20"/>
      <c r="R948" s="20"/>
    </row>
    <row r="949">
      <c r="A949" s="20"/>
      <c r="B949" s="20"/>
      <c r="C949" s="20"/>
      <c r="D949" s="20"/>
      <c r="E949" s="20"/>
      <c r="F949" s="20"/>
      <c r="G949" s="20"/>
      <c r="H949" s="20"/>
      <c r="I949" s="20"/>
      <c r="J949" s="20"/>
      <c r="K949" s="20"/>
      <c r="L949" s="20"/>
      <c r="M949" s="20"/>
      <c r="N949" s="20"/>
      <c r="O949" s="20"/>
      <c r="P949" s="20"/>
      <c r="Q949" s="20"/>
      <c r="R949" s="20"/>
    </row>
    <row r="950">
      <c r="A950" s="20"/>
      <c r="B950" s="20"/>
      <c r="C950" s="20"/>
      <c r="D950" s="20"/>
      <c r="E950" s="20"/>
      <c r="F950" s="20"/>
      <c r="G950" s="20"/>
      <c r="H950" s="20"/>
      <c r="I950" s="20"/>
      <c r="J950" s="20"/>
      <c r="K950" s="20"/>
      <c r="L950" s="20"/>
      <c r="M950" s="20"/>
      <c r="N950" s="20"/>
      <c r="O950" s="20"/>
      <c r="P950" s="20"/>
      <c r="Q950" s="20"/>
      <c r="R950" s="20"/>
    </row>
    <row r="951">
      <c r="A951" s="20"/>
      <c r="B951" s="20"/>
      <c r="C951" s="20"/>
      <c r="D951" s="20"/>
      <c r="E951" s="20"/>
      <c r="F951" s="20"/>
      <c r="G951" s="20"/>
      <c r="H951" s="20"/>
      <c r="I951" s="20"/>
      <c r="J951" s="20"/>
      <c r="K951" s="20"/>
      <c r="L951" s="20"/>
      <c r="M951" s="20"/>
      <c r="N951" s="20"/>
      <c r="O951" s="20"/>
      <c r="P951" s="20"/>
      <c r="Q951" s="20"/>
      <c r="R951" s="20"/>
    </row>
    <row r="952">
      <c r="A952" s="20"/>
      <c r="B952" s="20"/>
      <c r="C952" s="20"/>
      <c r="D952" s="20"/>
      <c r="E952" s="20"/>
      <c r="F952" s="20"/>
      <c r="G952" s="20"/>
      <c r="H952" s="20"/>
      <c r="I952" s="20"/>
      <c r="J952" s="20"/>
      <c r="K952" s="20"/>
      <c r="L952" s="20"/>
      <c r="M952" s="20"/>
      <c r="N952" s="20"/>
      <c r="O952" s="20"/>
      <c r="P952" s="20"/>
      <c r="Q952" s="20"/>
      <c r="R952" s="20"/>
    </row>
    <row r="953">
      <c r="A953" s="20"/>
      <c r="B953" s="20"/>
      <c r="C953" s="20"/>
      <c r="D953" s="20"/>
      <c r="E953" s="20"/>
      <c r="F953" s="20"/>
      <c r="G953" s="20"/>
      <c r="H953" s="20"/>
      <c r="I953" s="20"/>
      <c r="J953" s="20"/>
      <c r="K953" s="20"/>
      <c r="L953" s="20"/>
      <c r="M953" s="20"/>
      <c r="N953" s="20"/>
      <c r="O953" s="20"/>
      <c r="P953" s="20"/>
      <c r="Q953" s="20"/>
      <c r="R953" s="20"/>
    </row>
    <row r="954">
      <c r="A954" s="20"/>
      <c r="B954" s="20"/>
      <c r="C954" s="20"/>
      <c r="D954" s="20"/>
      <c r="E954" s="20"/>
      <c r="F954" s="20"/>
      <c r="G954" s="20"/>
      <c r="H954" s="20"/>
      <c r="I954" s="20"/>
      <c r="J954" s="20"/>
      <c r="K954" s="20"/>
      <c r="L954" s="20"/>
      <c r="M954" s="20"/>
      <c r="N954" s="20"/>
      <c r="O954" s="20"/>
      <c r="P954" s="20"/>
      <c r="Q954" s="20"/>
      <c r="R954" s="20"/>
    </row>
    <row r="955">
      <c r="A955" s="20"/>
      <c r="B955" s="20"/>
      <c r="C955" s="20"/>
      <c r="D955" s="20"/>
      <c r="E955" s="20"/>
      <c r="F955" s="20"/>
      <c r="G955" s="20"/>
      <c r="H955" s="20"/>
      <c r="I955" s="20"/>
      <c r="J955" s="20"/>
      <c r="K955" s="20"/>
      <c r="L955" s="20"/>
      <c r="M955" s="20"/>
      <c r="N955" s="20"/>
      <c r="O955" s="20"/>
      <c r="P955" s="20"/>
      <c r="Q955" s="20"/>
      <c r="R955" s="20"/>
    </row>
    <row r="956">
      <c r="A956" s="20"/>
      <c r="B956" s="20"/>
      <c r="C956" s="20"/>
      <c r="D956" s="20"/>
      <c r="E956" s="20"/>
      <c r="F956" s="20"/>
      <c r="G956" s="20"/>
      <c r="H956" s="20"/>
      <c r="I956" s="20"/>
      <c r="J956" s="20"/>
      <c r="K956" s="20"/>
      <c r="L956" s="20"/>
      <c r="M956" s="20"/>
      <c r="N956" s="20"/>
      <c r="O956" s="20"/>
      <c r="P956" s="20"/>
      <c r="Q956" s="20"/>
      <c r="R956" s="20"/>
    </row>
    <row r="957">
      <c r="A957" s="20"/>
      <c r="B957" s="20"/>
      <c r="C957" s="20"/>
      <c r="D957" s="20"/>
      <c r="E957" s="20"/>
      <c r="F957" s="20"/>
      <c r="G957" s="20"/>
      <c r="H957" s="20"/>
      <c r="I957" s="20"/>
      <c r="J957" s="20"/>
      <c r="K957" s="20"/>
      <c r="L957" s="20"/>
      <c r="M957" s="20"/>
      <c r="N957" s="20"/>
      <c r="O957" s="20"/>
      <c r="P957" s="20"/>
      <c r="Q957" s="20"/>
      <c r="R957" s="20"/>
    </row>
    <row r="958">
      <c r="A958" s="20"/>
      <c r="B958" s="20"/>
      <c r="C958" s="20"/>
      <c r="D958" s="20"/>
      <c r="E958" s="20"/>
      <c r="F958" s="20"/>
      <c r="G958" s="20"/>
      <c r="H958" s="20"/>
      <c r="I958" s="20"/>
      <c r="J958" s="20"/>
      <c r="K958" s="20"/>
      <c r="L958" s="20"/>
      <c r="M958" s="20"/>
      <c r="N958" s="20"/>
      <c r="O958" s="20"/>
      <c r="P958" s="20"/>
      <c r="Q958" s="20"/>
      <c r="R958" s="20"/>
    </row>
    <row r="959">
      <c r="A959" s="20"/>
      <c r="B959" s="20"/>
      <c r="C959" s="20"/>
      <c r="D959" s="20"/>
      <c r="E959" s="20"/>
      <c r="F959" s="20"/>
      <c r="G959" s="20"/>
      <c r="H959" s="20"/>
      <c r="I959" s="20"/>
      <c r="J959" s="20"/>
      <c r="K959" s="20"/>
      <c r="L959" s="20"/>
      <c r="M959" s="20"/>
      <c r="N959" s="20"/>
      <c r="O959" s="20"/>
      <c r="P959" s="20"/>
      <c r="Q959" s="20"/>
      <c r="R959" s="20"/>
    </row>
    <row r="960">
      <c r="A960" s="20"/>
      <c r="B960" s="20"/>
      <c r="C960" s="20"/>
      <c r="D960" s="20"/>
      <c r="E960" s="20"/>
      <c r="F960" s="20"/>
      <c r="G960" s="20"/>
      <c r="H960" s="20"/>
      <c r="I960" s="20"/>
      <c r="J960" s="20"/>
      <c r="K960" s="20"/>
      <c r="L960" s="20"/>
      <c r="M960" s="20"/>
      <c r="N960" s="20"/>
      <c r="O960" s="20"/>
      <c r="P960" s="20"/>
      <c r="Q960" s="20"/>
      <c r="R960" s="20"/>
    </row>
    <row r="961">
      <c r="A961" s="20"/>
      <c r="B961" s="20"/>
      <c r="C961" s="20"/>
      <c r="D961" s="20"/>
      <c r="E961" s="20"/>
      <c r="F961" s="20"/>
      <c r="G961" s="20"/>
      <c r="H961" s="20"/>
      <c r="I961" s="20"/>
      <c r="J961" s="20"/>
      <c r="K961" s="20"/>
      <c r="L961" s="20"/>
      <c r="M961" s="20"/>
      <c r="N961" s="20"/>
      <c r="O961" s="20"/>
      <c r="P961" s="20"/>
      <c r="Q961" s="20"/>
      <c r="R961" s="20"/>
    </row>
    <row r="962">
      <c r="A962" s="20"/>
      <c r="B962" s="20"/>
      <c r="C962" s="20"/>
      <c r="D962" s="20"/>
      <c r="E962" s="20"/>
      <c r="F962" s="20"/>
      <c r="G962" s="20"/>
      <c r="H962" s="20"/>
      <c r="I962" s="20"/>
      <c r="J962" s="20"/>
      <c r="K962" s="20"/>
      <c r="L962" s="20"/>
      <c r="M962" s="20"/>
      <c r="N962" s="20"/>
      <c r="O962" s="20"/>
      <c r="P962" s="20"/>
      <c r="Q962" s="20"/>
      <c r="R962" s="20"/>
    </row>
    <row r="963">
      <c r="A963" s="20"/>
      <c r="B963" s="20"/>
      <c r="C963" s="20"/>
      <c r="D963" s="20"/>
      <c r="E963" s="20"/>
      <c r="F963" s="20"/>
      <c r="G963" s="20"/>
      <c r="H963" s="20"/>
      <c r="I963" s="20"/>
      <c r="J963" s="20"/>
      <c r="K963" s="20"/>
      <c r="L963" s="20"/>
      <c r="M963" s="20"/>
      <c r="N963" s="20"/>
      <c r="O963" s="20"/>
      <c r="P963" s="20"/>
      <c r="Q963" s="20"/>
      <c r="R963" s="20"/>
    </row>
    <row r="964">
      <c r="A964" s="20"/>
      <c r="B964" s="20"/>
      <c r="C964" s="20"/>
      <c r="D964" s="20"/>
      <c r="E964" s="20"/>
      <c r="F964" s="20"/>
      <c r="G964" s="20"/>
      <c r="H964" s="20"/>
      <c r="I964" s="20"/>
      <c r="J964" s="20"/>
      <c r="K964" s="20"/>
      <c r="L964" s="20"/>
      <c r="M964" s="20"/>
      <c r="N964" s="20"/>
      <c r="O964" s="20"/>
      <c r="P964" s="20"/>
      <c r="Q964" s="20"/>
      <c r="R964" s="20"/>
    </row>
    <row r="965">
      <c r="A965" s="20"/>
      <c r="B965" s="20"/>
      <c r="C965" s="20"/>
      <c r="D965" s="20"/>
      <c r="E965" s="20"/>
      <c r="F965" s="20"/>
      <c r="G965" s="20"/>
      <c r="H965" s="20"/>
      <c r="I965" s="20"/>
      <c r="J965" s="20"/>
      <c r="K965" s="20"/>
      <c r="L965" s="20"/>
      <c r="M965" s="20"/>
      <c r="N965" s="20"/>
      <c r="O965" s="20"/>
      <c r="P965" s="20"/>
      <c r="Q965" s="20"/>
      <c r="R965" s="20"/>
    </row>
    <row r="966">
      <c r="A966" s="20"/>
      <c r="B966" s="20"/>
      <c r="C966" s="20"/>
      <c r="D966" s="20"/>
      <c r="E966" s="20"/>
      <c r="F966" s="20"/>
      <c r="G966" s="20"/>
      <c r="H966" s="20"/>
      <c r="I966" s="20"/>
      <c r="J966" s="20"/>
      <c r="K966" s="20"/>
      <c r="L966" s="20"/>
      <c r="M966" s="20"/>
      <c r="N966" s="20"/>
      <c r="O966" s="20"/>
      <c r="P966" s="20"/>
      <c r="Q966" s="20"/>
      <c r="R966" s="20"/>
    </row>
    <row r="967">
      <c r="A967" s="20"/>
      <c r="B967" s="20"/>
      <c r="C967" s="20"/>
      <c r="D967" s="20"/>
      <c r="E967" s="20"/>
      <c r="F967" s="20"/>
      <c r="G967" s="20"/>
      <c r="H967" s="20"/>
      <c r="I967" s="20"/>
      <c r="J967" s="20"/>
      <c r="K967" s="20"/>
      <c r="L967" s="20"/>
      <c r="M967" s="20"/>
      <c r="N967" s="20"/>
      <c r="O967" s="20"/>
      <c r="P967" s="20"/>
      <c r="Q967" s="20"/>
      <c r="R967" s="20"/>
    </row>
    <row r="968">
      <c r="A968" s="20"/>
      <c r="B968" s="20"/>
      <c r="C968" s="20"/>
      <c r="D968" s="20"/>
      <c r="E968" s="20"/>
      <c r="F968" s="20"/>
      <c r="G968" s="20"/>
      <c r="H968" s="20"/>
      <c r="I968" s="20"/>
      <c r="J968" s="20"/>
      <c r="K968" s="20"/>
      <c r="L968" s="20"/>
      <c r="M968" s="20"/>
      <c r="N968" s="20"/>
      <c r="O968" s="20"/>
      <c r="P968" s="20"/>
      <c r="Q968" s="20"/>
      <c r="R968" s="20"/>
    </row>
    <row r="969">
      <c r="A969" s="20"/>
      <c r="B969" s="20"/>
      <c r="C969" s="20"/>
      <c r="D969" s="20"/>
      <c r="E969" s="20"/>
      <c r="F969" s="20"/>
      <c r="G969" s="20"/>
      <c r="H969" s="20"/>
      <c r="I969" s="20"/>
      <c r="J969" s="20"/>
      <c r="K969" s="20"/>
      <c r="L969" s="20"/>
      <c r="M969" s="20"/>
      <c r="N969" s="20"/>
      <c r="O969" s="20"/>
      <c r="P969" s="20"/>
      <c r="Q969" s="20"/>
      <c r="R969" s="20"/>
    </row>
    <row r="970">
      <c r="A970" s="20"/>
      <c r="B970" s="20"/>
      <c r="C970" s="20"/>
      <c r="D970" s="20"/>
      <c r="E970" s="20"/>
      <c r="F970" s="20"/>
      <c r="G970" s="20"/>
      <c r="H970" s="20"/>
      <c r="I970" s="20"/>
      <c r="J970" s="20"/>
      <c r="K970" s="20"/>
      <c r="L970" s="20"/>
      <c r="M970" s="20"/>
      <c r="N970" s="20"/>
      <c r="O970" s="20"/>
      <c r="P970" s="20"/>
      <c r="Q970" s="20"/>
      <c r="R970" s="20"/>
    </row>
    <row r="971">
      <c r="A971" s="20"/>
      <c r="B971" s="20"/>
      <c r="C971" s="20"/>
      <c r="D971" s="20"/>
      <c r="E971" s="20"/>
      <c r="F971" s="20"/>
      <c r="G971" s="20"/>
      <c r="H971" s="20"/>
      <c r="I971" s="20"/>
      <c r="J971" s="20"/>
      <c r="K971" s="20"/>
      <c r="L971" s="20"/>
      <c r="M971" s="20"/>
      <c r="N971" s="20"/>
      <c r="O971" s="20"/>
      <c r="P971" s="20"/>
      <c r="Q971" s="20"/>
      <c r="R971" s="20"/>
    </row>
    <row r="972">
      <c r="A972" s="20"/>
      <c r="B972" s="20"/>
      <c r="C972" s="20"/>
      <c r="D972" s="20"/>
      <c r="E972" s="20"/>
      <c r="F972" s="20"/>
      <c r="G972" s="20"/>
      <c r="H972" s="20"/>
      <c r="I972" s="20"/>
      <c r="J972" s="20"/>
      <c r="K972" s="20"/>
      <c r="L972" s="20"/>
      <c r="M972" s="20"/>
      <c r="N972" s="20"/>
      <c r="O972" s="20"/>
      <c r="P972" s="20"/>
      <c r="Q972" s="20"/>
      <c r="R972" s="20"/>
    </row>
    <row r="973">
      <c r="A973" s="20"/>
      <c r="B973" s="20"/>
      <c r="C973" s="20"/>
      <c r="D973" s="20"/>
      <c r="E973" s="20"/>
      <c r="F973" s="20"/>
      <c r="G973" s="20"/>
      <c r="H973" s="20"/>
      <c r="I973" s="20"/>
      <c r="J973" s="20"/>
      <c r="K973" s="20"/>
      <c r="L973" s="20"/>
      <c r="M973" s="20"/>
      <c r="N973" s="20"/>
      <c r="O973" s="20"/>
      <c r="P973" s="20"/>
      <c r="Q973" s="20"/>
      <c r="R973" s="20"/>
    </row>
    <row r="974">
      <c r="A974" s="20"/>
      <c r="B974" s="20"/>
      <c r="C974" s="20"/>
      <c r="D974" s="20"/>
      <c r="E974" s="20"/>
      <c r="F974" s="20"/>
      <c r="G974" s="20"/>
      <c r="H974" s="20"/>
      <c r="I974" s="20"/>
      <c r="J974" s="20"/>
      <c r="K974" s="20"/>
      <c r="L974" s="20"/>
      <c r="M974" s="20"/>
      <c r="N974" s="20"/>
      <c r="O974" s="20"/>
      <c r="P974" s="20"/>
      <c r="Q974" s="20"/>
      <c r="R974" s="20"/>
    </row>
    <row r="975">
      <c r="A975" s="20"/>
      <c r="B975" s="20"/>
      <c r="C975" s="20"/>
      <c r="D975" s="20"/>
      <c r="E975" s="20"/>
      <c r="F975" s="20"/>
      <c r="G975" s="20"/>
      <c r="H975" s="20"/>
      <c r="I975" s="20"/>
      <c r="J975" s="20"/>
      <c r="K975" s="20"/>
      <c r="L975" s="20"/>
      <c r="M975" s="20"/>
      <c r="N975" s="20"/>
      <c r="O975" s="20"/>
      <c r="P975" s="20"/>
      <c r="Q975" s="20"/>
      <c r="R975" s="20"/>
    </row>
    <row r="976">
      <c r="A976" s="20"/>
      <c r="B976" s="20"/>
      <c r="C976" s="20"/>
      <c r="D976" s="20"/>
      <c r="E976" s="20"/>
      <c r="F976" s="20"/>
      <c r="G976" s="20"/>
      <c r="H976" s="20"/>
      <c r="I976" s="20"/>
      <c r="J976" s="20"/>
      <c r="K976" s="20"/>
      <c r="L976" s="20"/>
      <c r="M976" s="20"/>
      <c r="N976" s="20"/>
      <c r="O976" s="20"/>
      <c r="P976" s="20"/>
      <c r="Q976" s="20"/>
      <c r="R976" s="20"/>
    </row>
    <row r="977">
      <c r="A977" s="20"/>
      <c r="B977" s="20"/>
      <c r="C977" s="20"/>
      <c r="D977" s="20"/>
      <c r="E977" s="20"/>
      <c r="F977" s="20"/>
      <c r="G977" s="20"/>
      <c r="H977" s="20"/>
      <c r="I977" s="20"/>
      <c r="J977" s="20"/>
      <c r="K977" s="20"/>
      <c r="L977" s="20"/>
      <c r="M977" s="20"/>
      <c r="N977" s="20"/>
      <c r="O977" s="20"/>
      <c r="P977" s="20"/>
      <c r="Q977" s="20"/>
      <c r="R977" s="20"/>
    </row>
    <row r="978">
      <c r="A978" s="20"/>
      <c r="B978" s="20"/>
      <c r="C978" s="20"/>
      <c r="D978" s="20"/>
      <c r="E978" s="20"/>
      <c r="F978" s="20"/>
      <c r="G978" s="20"/>
      <c r="H978" s="20"/>
      <c r="I978" s="20"/>
      <c r="J978" s="20"/>
      <c r="K978" s="20"/>
      <c r="L978" s="20"/>
      <c r="M978" s="20"/>
      <c r="N978" s="20"/>
      <c r="O978" s="20"/>
      <c r="P978" s="20"/>
      <c r="Q978" s="20"/>
      <c r="R978" s="20"/>
    </row>
    <row r="979">
      <c r="A979" s="20"/>
      <c r="B979" s="20"/>
      <c r="C979" s="20"/>
      <c r="D979" s="20"/>
      <c r="E979" s="20"/>
      <c r="F979" s="20"/>
      <c r="G979" s="20"/>
      <c r="H979" s="20"/>
      <c r="I979" s="20"/>
      <c r="J979" s="20"/>
      <c r="K979" s="20"/>
      <c r="L979" s="20"/>
      <c r="M979" s="20"/>
      <c r="N979" s="20"/>
      <c r="O979" s="20"/>
      <c r="P979" s="20"/>
      <c r="Q979" s="20"/>
      <c r="R979" s="20"/>
    </row>
    <row r="980">
      <c r="A980" s="20"/>
      <c r="B980" s="20"/>
      <c r="C980" s="20"/>
      <c r="D980" s="20"/>
      <c r="E980" s="20"/>
      <c r="F980" s="20"/>
      <c r="G980" s="20"/>
      <c r="H980" s="20"/>
      <c r="I980" s="20"/>
      <c r="J980" s="20"/>
      <c r="K980" s="20"/>
      <c r="L980" s="20"/>
      <c r="M980" s="20"/>
      <c r="N980" s="20"/>
      <c r="O980" s="20"/>
      <c r="P980" s="20"/>
      <c r="Q980" s="20"/>
      <c r="R980" s="20"/>
    </row>
    <row r="981">
      <c r="A981" s="20"/>
      <c r="B981" s="20"/>
      <c r="C981" s="20"/>
      <c r="D981" s="20"/>
      <c r="E981" s="20"/>
      <c r="F981" s="20"/>
      <c r="G981" s="20"/>
      <c r="H981" s="20"/>
      <c r="I981" s="20"/>
      <c r="J981" s="20"/>
      <c r="K981" s="20"/>
      <c r="L981" s="20"/>
      <c r="M981" s="20"/>
      <c r="N981" s="20"/>
      <c r="O981" s="20"/>
      <c r="P981" s="20"/>
      <c r="Q981" s="20"/>
      <c r="R981" s="20"/>
    </row>
    <row r="982">
      <c r="A982" s="20"/>
      <c r="B982" s="20"/>
      <c r="C982" s="20"/>
      <c r="D982" s="20"/>
      <c r="E982" s="20"/>
      <c r="F982" s="20"/>
      <c r="G982" s="20"/>
      <c r="H982" s="20"/>
      <c r="I982" s="20"/>
      <c r="J982" s="20"/>
      <c r="K982" s="20"/>
      <c r="L982" s="20"/>
      <c r="M982" s="20"/>
      <c r="N982" s="20"/>
      <c r="O982" s="20"/>
      <c r="P982" s="20"/>
      <c r="Q982" s="20"/>
      <c r="R982" s="20"/>
    </row>
    <row r="983">
      <c r="A983" s="20"/>
      <c r="B983" s="20"/>
      <c r="C983" s="20"/>
      <c r="D983" s="20"/>
      <c r="E983" s="20"/>
      <c r="F983" s="20"/>
      <c r="G983" s="20"/>
      <c r="H983" s="20"/>
      <c r="I983" s="20"/>
      <c r="J983" s="20"/>
      <c r="K983" s="20"/>
      <c r="L983" s="20"/>
      <c r="M983" s="20"/>
      <c r="N983" s="20"/>
      <c r="O983" s="20"/>
      <c r="P983" s="20"/>
      <c r="Q983" s="20"/>
      <c r="R983" s="20"/>
    </row>
    <row r="984">
      <c r="A984" s="20"/>
      <c r="B984" s="20"/>
      <c r="C984" s="20"/>
      <c r="D984" s="20"/>
      <c r="E984" s="20"/>
      <c r="F984" s="20"/>
      <c r="G984" s="20"/>
      <c r="H984" s="20"/>
      <c r="I984" s="20"/>
      <c r="J984" s="20"/>
      <c r="K984" s="20"/>
      <c r="L984" s="20"/>
      <c r="M984" s="20"/>
      <c r="N984" s="20"/>
      <c r="O984" s="20"/>
      <c r="P984" s="20"/>
      <c r="Q984" s="20"/>
      <c r="R984" s="20"/>
    </row>
    <row r="985">
      <c r="A985" s="20"/>
      <c r="B985" s="20"/>
      <c r="C985" s="20"/>
      <c r="D985" s="20"/>
      <c r="E985" s="20"/>
      <c r="F985" s="20"/>
      <c r="G985" s="20"/>
      <c r="H985" s="20"/>
      <c r="I985" s="20"/>
      <c r="J985" s="20"/>
      <c r="K985" s="20"/>
      <c r="L985" s="20"/>
      <c r="M985" s="20"/>
      <c r="N985" s="20"/>
      <c r="O985" s="20"/>
      <c r="P985" s="20"/>
      <c r="Q985" s="20"/>
      <c r="R985" s="20"/>
    </row>
    <row r="986">
      <c r="A986" s="20"/>
      <c r="B986" s="20"/>
      <c r="C986" s="20"/>
      <c r="D986" s="20"/>
      <c r="E986" s="20"/>
      <c r="F986" s="20"/>
      <c r="G986" s="20"/>
      <c r="H986" s="20"/>
      <c r="I986" s="20"/>
      <c r="J986" s="20"/>
      <c r="K986" s="20"/>
      <c r="L986" s="20"/>
      <c r="M986" s="20"/>
      <c r="N986" s="20"/>
      <c r="O986" s="20"/>
      <c r="P986" s="20"/>
      <c r="Q986" s="20"/>
      <c r="R986" s="20"/>
    </row>
    <row r="987">
      <c r="A987" s="20"/>
      <c r="B987" s="20"/>
      <c r="C987" s="20"/>
      <c r="D987" s="20"/>
      <c r="E987" s="20"/>
      <c r="F987" s="20"/>
      <c r="G987" s="20"/>
      <c r="H987" s="20"/>
      <c r="I987" s="20"/>
      <c r="J987" s="20"/>
      <c r="K987" s="20"/>
      <c r="L987" s="20"/>
      <c r="M987" s="20"/>
      <c r="N987" s="20"/>
      <c r="O987" s="20"/>
      <c r="P987" s="20"/>
      <c r="Q987" s="20"/>
      <c r="R987" s="20"/>
    </row>
    <row r="988">
      <c r="A988" s="20"/>
      <c r="B988" s="20"/>
      <c r="C988" s="20"/>
      <c r="D988" s="20"/>
      <c r="E988" s="20"/>
      <c r="F988" s="20"/>
      <c r="G988" s="20"/>
      <c r="H988" s="20"/>
      <c r="I988" s="20"/>
      <c r="J988" s="20"/>
      <c r="K988" s="20"/>
      <c r="L988" s="20"/>
      <c r="M988" s="20"/>
      <c r="N988" s="20"/>
      <c r="O988" s="20"/>
      <c r="P988" s="20"/>
      <c r="Q988" s="20"/>
      <c r="R988" s="20"/>
    </row>
    <row r="989">
      <c r="A989" s="20"/>
      <c r="B989" s="20"/>
      <c r="C989" s="20"/>
      <c r="D989" s="20"/>
      <c r="E989" s="20"/>
      <c r="F989" s="20"/>
      <c r="G989" s="20"/>
      <c r="H989" s="20"/>
      <c r="I989" s="20"/>
      <c r="J989" s="20"/>
      <c r="K989" s="20"/>
      <c r="L989" s="20"/>
      <c r="M989" s="20"/>
      <c r="N989" s="20"/>
      <c r="O989" s="20"/>
      <c r="P989" s="20"/>
      <c r="Q989" s="20"/>
      <c r="R989" s="20"/>
    </row>
    <row r="990">
      <c r="A990" s="20"/>
      <c r="B990" s="20"/>
      <c r="C990" s="20"/>
      <c r="D990" s="20"/>
      <c r="E990" s="20"/>
      <c r="F990" s="20"/>
      <c r="G990" s="20"/>
      <c r="H990" s="20"/>
      <c r="I990" s="20"/>
      <c r="J990" s="20"/>
      <c r="K990" s="20"/>
      <c r="L990" s="20"/>
      <c r="M990" s="20"/>
      <c r="N990" s="20"/>
      <c r="O990" s="20"/>
      <c r="P990" s="20"/>
      <c r="Q990" s="20"/>
      <c r="R990" s="20"/>
    </row>
    <row r="991">
      <c r="A991" s="20"/>
      <c r="B991" s="20"/>
      <c r="C991" s="20"/>
      <c r="D991" s="20"/>
      <c r="E991" s="20"/>
      <c r="F991" s="20"/>
      <c r="G991" s="20"/>
      <c r="H991" s="20"/>
      <c r="I991" s="20"/>
      <c r="J991" s="20"/>
      <c r="K991" s="20"/>
      <c r="L991" s="20"/>
      <c r="M991" s="20"/>
      <c r="N991" s="20"/>
      <c r="O991" s="20"/>
      <c r="P991" s="20"/>
      <c r="Q991" s="20"/>
      <c r="R991" s="20"/>
    </row>
    <row r="992">
      <c r="A992" s="20"/>
      <c r="B992" s="20"/>
      <c r="C992" s="20"/>
      <c r="D992" s="20"/>
      <c r="E992" s="20"/>
      <c r="F992" s="20"/>
      <c r="G992" s="20"/>
      <c r="H992" s="20"/>
      <c r="I992" s="20"/>
      <c r="J992" s="20"/>
      <c r="K992" s="20"/>
      <c r="L992" s="20"/>
      <c r="M992" s="20"/>
      <c r="N992" s="20"/>
      <c r="O992" s="20"/>
      <c r="P992" s="20"/>
      <c r="Q992" s="20"/>
      <c r="R992" s="20"/>
    </row>
    <row r="993">
      <c r="A993" s="20"/>
      <c r="B993" s="20"/>
      <c r="C993" s="20"/>
      <c r="D993" s="20"/>
      <c r="E993" s="20"/>
      <c r="F993" s="20"/>
      <c r="G993" s="20"/>
      <c r="H993" s="20"/>
      <c r="I993" s="20"/>
      <c r="J993" s="20"/>
      <c r="K993" s="20"/>
      <c r="L993" s="20"/>
      <c r="M993" s="20"/>
      <c r="N993" s="20"/>
      <c r="O993" s="20"/>
      <c r="P993" s="20"/>
      <c r="Q993" s="20"/>
      <c r="R993" s="20"/>
    </row>
    <row r="994">
      <c r="A994" s="20"/>
      <c r="B994" s="20"/>
      <c r="C994" s="20"/>
      <c r="D994" s="20"/>
      <c r="E994" s="20"/>
      <c r="F994" s="20"/>
      <c r="G994" s="20"/>
      <c r="H994" s="20"/>
      <c r="I994" s="20"/>
      <c r="J994" s="20"/>
      <c r="K994" s="20"/>
      <c r="L994" s="20"/>
      <c r="M994" s="20"/>
      <c r="N994" s="20"/>
      <c r="O994" s="20"/>
      <c r="P994" s="20"/>
      <c r="Q994" s="20"/>
      <c r="R994" s="2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51" t="s">
        <v>276</v>
      </c>
      <c r="B1" s="151" t="s">
        <v>7</v>
      </c>
      <c r="C1" s="151" t="s">
        <v>751</v>
      </c>
      <c r="D1" s="151" t="s">
        <v>752</v>
      </c>
      <c r="E1" s="151" t="s">
        <v>753</v>
      </c>
      <c r="F1" s="151" t="s">
        <v>754</v>
      </c>
      <c r="G1" s="151"/>
      <c r="H1" s="151"/>
      <c r="I1" s="43"/>
      <c r="J1" s="43"/>
      <c r="K1" s="43"/>
      <c r="L1" s="43"/>
      <c r="M1" s="43"/>
      <c r="N1" s="43"/>
      <c r="O1" s="43"/>
      <c r="P1" s="43"/>
      <c r="Q1" s="43"/>
      <c r="R1" s="43"/>
      <c r="S1" s="43"/>
      <c r="T1" s="43"/>
    </row>
    <row r="2">
      <c r="A2" s="5" t="s">
        <v>279</v>
      </c>
      <c r="B2" s="5" t="s">
        <v>280</v>
      </c>
      <c r="C2" s="5" t="s">
        <v>113</v>
      </c>
      <c r="D2" s="5" t="s">
        <v>755</v>
      </c>
      <c r="E2" s="5" t="s">
        <v>756</v>
      </c>
      <c r="F2" s="5" t="s">
        <v>757</v>
      </c>
      <c r="G2" s="5"/>
      <c r="H2" s="5"/>
      <c r="I2" s="20"/>
      <c r="J2" s="20"/>
      <c r="K2" s="20"/>
      <c r="L2" s="20"/>
      <c r="M2" s="20"/>
      <c r="N2" s="20"/>
      <c r="O2" s="20"/>
      <c r="P2" s="20"/>
      <c r="Q2" s="20"/>
      <c r="R2" s="20"/>
      <c r="S2" s="20"/>
      <c r="T2" s="20"/>
    </row>
    <row r="3">
      <c r="A3" s="5" t="s">
        <v>281</v>
      </c>
      <c r="B3" s="5" t="s">
        <v>406</v>
      </c>
      <c r="C3" s="5" t="s">
        <v>758</v>
      </c>
      <c r="D3" s="5" t="s">
        <v>759</v>
      </c>
      <c r="E3" s="5" t="s">
        <v>753</v>
      </c>
      <c r="F3" s="5" t="s">
        <v>760</v>
      </c>
      <c r="G3" s="5"/>
      <c r="H3" s="5"/>
      <c r="I3" s="20"/>
      <c r="J3" s="134"/>
      <c r="K3" s="134"/>
      <c r="L3" s="134"/>
      <c r="M3" s="134"/>
      <c r="N3" s="20"/>
      <c r="O3" s="20"/>
      <c r="P3" s="20"/>
      <c r="Q3" s="20"/>
      <c r="R3" s="20"/>
      <c r="S3" s="20"/>
      <c r="T3" s="20"/>
    </row>
    <row r="4">
      <c r="A4" s="5" t="s">
        <v>285</v>
      </c>
      <c r="B4" s="5" t="s">
        <v>286</v>
      </c>
      <c r="C4" s="5" t="s">
        <v>761</v>
      </c>
      <c r="D4" s="5" t="s">
        <v>762</v>
      </c>
      <c r="E4" s="5" t="s">
        <v>763</v>
      </c>
      <c r="F4" s="5" t="s">
        <v>764</v>
      </c>
      <c r="G4" s="5"/>
      <c r="H4" s="5"/>
      <c r="I4" s="20"/>
      <c r="J4" s="134"/>
      <c r="K4" s="134"/>
      <c r="L4" s="134"/>
      <c r="M4" s="134"/>
      <c r="N4" s="20"/>
      <c r="O4" s="20"/>
      <c r="P4" s="20"/>
      <c r="Q4" s="20"/>
      <c r="R4" s="20"/>
      <c r="S4" s="20"/>
      <c r="T4" s="20"/>
    </row>
    <row r="5">
      <c r="A5" s="5" t="s">
        <v>289</v>
      </c>
      <c r="B5" s="5" t="s">
        <v>290</v>
      </c>
      <c r="C5" s="5" t="s">
        <v>765</v>
      </c>
      <c r="D5" s="5" t="s">
        <v>766</v>
      </c>
      <c r="E5" s="5" t="s">
        <v>767</v>
      </c>
      <c r="F5" s="5" t="s">
        <v>768</v>
      </c>
      <c r="G5" s="5"/>
      <c r="H5" s="5"/>
      <c r="I5" s="20"/>
      <c r="J5" s="134"/>
      <c r="K5" s="134"/>
      <c r="L5" s="134"/>
      <c r="M5" s="134"/>
      <c r="N5" s="20"/>
      <c r="O5" s="20"/>
      <c r="P5" s="20"/>
      <c r="Q5" s="20"/>
      <c r="R5" s="20"/>
      <c r="S5" s="20"/>
      <c r="T5" s="20"/>
    </row>
    <row r="6">
      <c r="A6" s="114" t="s">
        <v>292</v>
      </c>
      <c r="B6" s="152"/>
      <c r="C6" s="109" t="s">
        <v>769</v>
      </c>
      <c r="D6" s="114" t="s">
        <v>517</v>
      </c>
      <c r="E6" s="109" t="s">
        <v>770</v>
      </c>
      <c r="F6" s="109" t="s">
        <v>771</v>
      </c>
      <c r="G6" s="109"/>
      <c r="H6" s="109"/>
      <c r="I6" s="111"/>
      <c r="J6" s="111"/>
      <c r="K6" s="111"/>
      <c r="L6" s="111"/>
      <c r="M6" s="111"/>
      <c r="N6" s="111"/>
      <c r="O6" s="111"/>
      <c r="P6" s="111"/>
      <c r="Q6" s="111"/>
      <c r="R6" s="111"/>
      <c r="S6" s="111"/>
      <c r="T6" s="111"/>
      <c r="U6" s="153"/>
      <c r="V6" s="153"/>
      <c r="W6" s="153"/>
      <c r="X6" s="153"/>
      <c r="Y6" s="153"/>
    </row>
    <row r="7">
      <c r="A7" s="11" t="s">
        <v>295</v>
      </c>
      <c r="B7" s="154"/>
      <c r="C7" s="5" t="s">
        <v>772</v>
      </c>
      <c r="D7" s="11" t="s">
        <v>519</v>
      </c>
      <c r="E7" s="5" t="s">
        <v>773</v>
      </c>
      <c r="F7" s="5" t="s">
        <v>774</v>
      </c>
      <c r="G7" s="5"/>
      <c r="H7" s="5"/>
      <c r="I7" s="20"/>
      <c r="J7" s="20"/>
      <c r="K7" s="20"/>
      <c r="L7" s="20"/>
      <c r="M7" s="20"/>
      <c r="N7" s="20"/>
      <c r="O7" s="20"/>
      <c r="P7" s="20"/>
      <c r="Q7" s="20"/>
      <c r="R7" s="20"/>
      <c r="S7" s="20"/>
      <c r="T7" s="20"/>
    </row>
    <row r="8">
      <c r="A8" s="11" t="s">
        <v>298</v>
      </c>
      <c r="B8" s="11" t="s">
        <v>775</v>
      </c>
      <c r="C8" s="5" t="s">
        <v>776</v>
      </c>
      <c r="D8" s="154" t="s">
        <v>521</v>
      </c>
      <c r="E8" s="5" t="s">
        <v>777</v>
      </c>
      <c r="F8" s="5" t="s">
        <v>778</v>
      </c>
      <c r="G8" s="5"/>
      <c r="H8" s="5"/>
      <c r="I8" s="20"/>
      <c r="J8" s="20"/>
      <c r="K8" s="20"/>
      <c r="L8" s="20"/>
      <c r="M8" s="20"/>
      <c r="N8" s="20"/>
      <c r="O8" s="20"/>
      <c r="P8" s="20"/>
      <c r="Q8" s="20"/>
      <c r="R8" s="20"/>
      <c r="S8" s="20"/>
      <c r="T8" s="20"/>
    </row>
    <row r="9">
      <c r="A9" s="11" t="s">
        <v>302</v>
      </c>
      <c r="B9" s="154"/>
      <c r="C9" s="5" t="s">
        <v>779</v>
      </c>
      <c r="D9" s="5" t="s">
        <v>780</v>
      </c>
      <c r="E9" s="5" t="s">
        <v>781</v>
      </c>
      <c r="F9" s="5" t="s">
        <v>782</v>
      </c>
      <c r="G9" s="5"/>
      <c r="H9" s="5"/>
      <c r="I9" s="20"/>
      <c r="J9" s="20"/>
      <c r="K9" s="20"/>
      <c r="L9" s="20"/>
      <c r="M9" s="20"/>
      <c r="N9" s="20"/>
      <c r="O9" s="20"/>
      <c r="P9" s="20"/>
      <c r="Q9" s="20"/>
      <c r="R9" s="20"/>
      <c r="S9" s="20"/>
      <c r="T9" s="20"/>
    </row>
    <row r="10">
      <c r="A10" s="154" t="s">
        <v>305</v>
      </c>
      <c r="B10" s="154" t="s">
        <v>306</v>
      </c>
      <c r="C10" s="11">
        <v>1.25E-6</v>
      </c>
      <c r="D10" s="204">
        <f>0.2*(1/(0.2/2.11+0.8/1))/1000</f>
        <v>0.0002235169492</v>
      </c>
      <c r="E10" s="204">
        <f>0.7*(1/(0.7/2.11+0.3/1))/1000</f>
        <v>0.001108027007</v>
      </c>
      <c r="F10" s="205">
        <v>7.0E-4</v>
      </c>
      <c r="G10" s="162"/>
      <c r="H10" s="162"/>
      <c r="I10" s="163"/>
      <c r="J10" s="163"/>
      <c r="K10" s="163"/>
      <c r="L10" s="163"/>
      <c r="M10" s="163"/>
      <c r="N10" s="163"/>
      <c r="O10" s="163"/>
      <c r="P10" s="163"/>
      <c r="Q10" s="163"/>
      <c r="R10" s="163"/>
      <c r="S10" s="163"/>
      <c r="T10" s="163"/>
      <c r="U10" s="163"/>
      <c r="V10" s="163"/>
      <c r="W10" s="163"/>
      <c r="X10" s="163"/>
      <c r="Y10" s="163"/>
      <c r="Z10" s="20"/>
    </row>
    <row r="11">
      <c r="A11" s="156" t="s">
        <v>307</v>
      </c>
      <c r="B11" s="156" t="s">
        <v>308</v>
      </c>
      <c r="C11" s="11" t="s">
        <v>783</v>
      </c>
      <c r="D11" s="156"/>
      <c r="E11" s="11" t="s">
        <v>784</v>
      </c>
      <c r="F11" s="156"/>
      <c r="G11" s="166"/>
      <c r="H11" s="166"/>
      <c r="I11" s="167"/>
      <c r="J11" s="167"/>
      <c r="K11" s="167"/>
      <c r="L11" s="167"/>
      <c r="M11" s="167"/>
      <c r="N11" s="167"/>
      <c r="O11" s="167"/>
      <c r="P11" s="167"/>
      <c r="Q11" s="167"/>
      <c r="R11" s="167"/>
      <c r="S11" s="167"/>
      <c r="T11" s="167"/>
      <c r="U11" s="167"/>
      <c r="V11" s="167"/>
      <c r="W11" s="167"/>
      <c r="X11" s="167"/>
      <c r="Y11" s="167"/>
      <c r="Z11" s="20"/>
    </row>
    <row r="12">
      <c r="A12" s="152" t="s">
        <v>311</v>
      </c>
      <c r="B12" s="152" t="s">
        <v>312</v>
      </c>
      <c r="C12" s="109" t="s">
        <v>313</v>
      </c>
      <c r="D12" s="154" t="s">
        <v>521</v>
      </c>
      <c r="E12" s="109" t="s">
        <v>777</v>
      </c>
      <c r="F12" s="114" t="s">
        <v>778</v>
      </c>
      <c r="G12" s="109"/>
      <c r="H12" s="109"/>
      <c r="I12" s="111"/>
      <c r="J12" s="111"/>
      <c r="K12" s="111"/>
      <c r="L12" s="111"/>
      <c r="M12" s="111"/>
      <c r="N12" s="111"/>
      <c r="O12" s="111"/>
      <c r="P12" s="111"/>
      <c r="Q12" s="111"/>
      <c r="R12" s="111"/>
      <c r="S12" s="111"/>
      <c r="T12" s="111"/>
    </row>
    <row r="13">
      <c r="A13" s="154" t="s">
        <v>314</v>
      </c>
      <c r="B13" s="154" t="s">
        <v>315</v>
      </c>
      <c r="C13" s="5" t="s">
        <v>785</v>
      </c>
      <c r="D13" s="5" t="s">
        <v>780</v>
      </c>
      <c r="E13" s="5" t="s">
        <v>781</v>
      </c>
      <c r="F13" s="5" t="s">
        <v>786</v>
      </c>
      <c r="G13" s="5"/>
      <c r="H13" s="5"/>
      <c r="I13" s="20"/>
      <c r="J13" s="20"/>
      <c r="K13" s="20"/>
      <c r="L13" s="20"/>
      <c r="M13" s="20"/>
      <c r="N13" s="20"/>
      <c r="O13" s="20"/>
      <c r="P13" s="20"/>
      <c r="Q13" s="20"/>
      <c r="R13" s="20"/>
      <c r="S13" s="20"/>
      <c r="T13" s="20"/>
    </row>
    <row r="14">
      <c r="A14" s="154" t="s">
        <v>317</v>
      </c>
      <c r="B14" s="154" t="s">
        <v>318</v>
      </c>
      <c r="C14" s="5" t="s">
        <v>313</v>
      </c>
      <c r="D14" s="5" t="s">
        <v>787</v>
      </c>
      <c r="E14" s="5" t="s">
        <v>788</v>
      </c>
      <c r="F14" s="5" t="s">
        <v>789</v>
      </c>
      <c r="G14" s="5"/>
      <c r="H14" s="5"/>
      <c r="I14" s="20"/>
      <c r="J14" s="20"/>
      <c r="K14" s="20"/>
      <c r="L14" s="20"/>
      <c r="M14" s="20"/>
      <c r="N14" s="20"/>
      <c r="O14" s="20"/>
      <c r="P14" s="20"/>
      <c r="Q14" s="20"/>
      <c r="R14" s="20"/>
      <c r="S14" s="20"/>
      <c r="T14" s="20"/>
    </row>
    <row r="15">
      <c r="A15" s="156" t="s">
        <v>320</v>
      </c>
      <c r="B15" s="156" t="s">
        <v>321</v>
      </c>
      <c r="C15" s="5" t="s">
        <v>785</v>
      </c>
      <c r="D15" s="5" t="s">
        <v>790</v>
      </c>
      <c r="E15" s="5" t="s">
        <v>791</v>
      </c>
      <c r="F15" s="102" t="s">
        <v>792</v>
      </c>
      <c r="G15" s="5"/>
      <c r="H15" s="102"/>
      <c r="I15" s="104"/>
      <c r="J15" s="104"/>
      <c r="K15" s="104"/>
      <c r="L15" s="104"/>
      <c r="M15" s="104"/>
      <c r="N15" s="104"/>
      <c r="O15" s="104"/>
      <c r="P15" s="104"/>
      <c r="Q15" s="104"/>
      <c r="R15" s="104"/>
      <c r="S15" s="104"/>
      <c r="T15" s="104"/>
    </row>
    <row r="16">
      <c r="A16" s="109" t="s">
        <v>323</v>
      </c>
      <c r="B16" s="109"/>
      <c r="C16" s="109" t="s">
        <v>528</v>
      </c>
      <c r="D16" s="109" t="s">
        <v>793</v>
      </c>
      <c r="E16" s="109" t="s">
        <v>787</v>
      </c>
      <c r="F16" s="109" t="s">
        <v>788</v>
      </c>
      <c r="G16" s="109"/>
      <c r="H16" s="109"/>
      <c r="I16" s="111"/>
      <c r="J16" s="111"/>
      <c r="K16" s="111"/>
      <c r="L16" s="111"/>
      <c r="M16" s="111"/>
      <c r="N16" s="111"/>
      <c r="O16" s="111"/>
      <c r="P16" s="111"/>
      <c r="Q16" s="111"/>
      <c r="R16" s="111"/>
      <c r="S16" s="111"/>
      <c r="T16" s="111"/>
    </row>
    <row r="17">
      <c r="A17" s="11" t="s">
        <v>325</v>
      </c>
      <c r="B17" s="11" t="s">
        <v>326</v>
      </c>
      <c r="C17" s="206" t="s">
        <v>779</v>
      </c>
      <c r="D17" s="5" t="s">
        <v>794</v>
      </c>
      <c r="E17" s="5" t="s">
        <v>790</v>
      </c>
      <c r="F17" s="5" t="s">
        <v>791</v>
      </c>
      <c r="G17" s="5"/>
      <c r="H17" s="5"/>
      <c r="I17" s="20"/>
      <c r="J17" s="20"/>
      <c r="K17" s="20"/>
      <c r="L17" s="20"/>
      <c r="M17" s="20"/>
      <c r="N17" s="20"/>
      <c r="O17" s="20"/>
      <c r="P17" s="20"/>
      <c r="Q17" s="20"/>
      <c r="R17" s="20"/>
      <c r="S17" s="20"/>
      <c r="T17" s="20"/>
    </row>
    <row r="18">
      <c r="A18" s="5" t="s">
        <v>328</v>
      </c>
      <c r="B18" s="5" t="s">
        <v>329</v>
      </c>
      <c r="C18" s="185">
        <v>1.0</v>
      </c>
      <c r="D18" s="71">
        <v>1.0</v>
      </c>
      <c r="E18" s="71">
        <v>1.0</v>
      </c>
      <c r="F18" s="169">
        <f>1/(0.7/2.11+0.3/1)</f>
        <v>1.582895724</v>
      </c>
      <c r="G18" s="5"/>
      <c r="H18" s="5"/>
      <c r="I18" s="20"/>
      <c r="J18" s="20"/>
      <c r="K18" s="20"/>
      <c r="L18" s="20"/>
      <c r="M18" s="20"/>
      <c r="N18" s="20"/>
      <c r="O18" s="20"/>
      <c r="P18" s="20"/>
      <c r="Q18" s="20"/>
      <c r="R18" s="20"/>
      <c r="S18" s="20"/>
      <c r="T18" s="20"/>
    </row>
    <row r="19">
      <c r="A19" s="5" t="s">
        <v>330</v>
      </c>
      <c r="B19" s="5" t="s">
        <v>331</v>
      </c>
      <c r="C19" s="134" t="s">
        <v>795</v>
      </c>
      <c r="D19" s="5" t="s">
        <v>313</v>
      </c>
      <c r="E19" s="5" t="s">
        <v>313</v>
      </c>
      <c r="F19" s="5" t="s">
        <v>313</v>
      </c>
      <c r="I19" s="20"/>
      <c r="J19" s="20"/>
      <c r="K19" s="20"/>
      <c r="L19" s="20"/>
      <c r="M19" s="20"/>
      <c r="N19" s="20"/>
      <c r="O19" s="20"/>
      <c r="P19" s="20"/>
      <c r="Q19" s="20"/>
      <c r="R19" s="20"/>
      <c r="S19" s="20"/>
      <c r="T19" s="20"/>
    </row>
    <row r="20">
      <c r="A20" s="5" t="s">
        <v>334</v>
      </c>
      <c r="B20" s="5" t="s">
        <v>335</v>
      </c>
      <c r="C20" s="71"/>
      <c r="D20" s="71">
        <v>187871.0</v>
      </c>
      <c r="E20" s="71">
        <v>187871.0</v>
      </c>
      <c r="F20" s="71">
        <v>187871.0</v>
      </c>
      <c r="G20" s="5"/>
      <c r="H20" s="158"/>
      <c r="I20" s="20"/>
      <c r="J20" s="134"/>
      <c r="K20" s="134"/>
      <c r="L20" s="20"/>
      <c r="M20" s="20"/>
      <c r="N20" s="20"/>
      <c r="O20" s="20"/>
      <c r="P20" s="20"/>
      <c r="Q20" s="20"/>
      <c r="R20" s="20"/>
      <c r="S20" s="20"/>
      <c r="T20" s="20"/>
    </row>
    <row r="21">
      <c r="A21" s="5" t="s">
        <v>336</v>
      </c>
      <c r="B21" s="5" t="s">
        <v>337</v>
      </c>
      <c r="C21" s="5" t="s">
        <v>796</v>
      </c>
      <c r="D21" s="11" t="s">
        <v>797</v>
      </c>
      <c r="E21" s="11" t="s">
        <v>797</v>
      </c>
      <c r="F21" s="11" t="s">
        <v>797</v>
      </c>
    </row>
    <row r="22">
      <c r="A22" s="154" t="s">
        <v>339</v>
      </c>
      <c r="B22" s="154" t="s">
        <v>340</v>
      </c>
      <c r="C22" s="11">
        <v>1.25E-6</v>
      </c>
      <c r="D22" s="204">
        <f>0.2*(1/(0.2/2.11+0.8/1))/1000</f>
        <v>0.0002235169492</v>
      </c>
      <c r="E22" s="204">
        <f>0.7*(1/(0.7/2.11+0.3/1))/1000</f>
        <v>0.001108027007</v>
      </c>
      <c r="F22" s="207">
        <f>0.7*(1/(0.7/2.11+0.3/1))*1000</f>
        <v>1108.027007</v>
      </c>
      <c r="G22" s="163"/>
      <c r="H22" s="163"/>
      <c r="I22" s="163"/>
      <c r="J22" s="163"/>
      <c r="K22" s="163"/>
      <c r="L22" s="163"/>
      <c r="M22" s="163"/>
      <c r="N22" s="163"/>
      <c r="O22" s="163"/>
      <c r="P22" s="163"/>
      <c r="Q22" s="163"/>
      <c r="R22" s="163"/>
      <c r="S22" s="163"/>
      <c r="T22" s="163"/>
      <c r="U22" s="163"/>
      <c r="V22" s="163"/>
      <c r="W22" s="163"/>
      <c r="X22" s="163"/>
      <c r="Y22" s="163"/>
    </row>
    <row r="23">
      <c r="A23" s="154" t="s">
        <v>341</v>
      </c>
      <c r="B23" s="154" t="s">
        <v>342</v>
      </c>
      <c r="C23" s="11" t="s">
        <v>783</v>
      </c>
      <c r="D23" s="154" t="s">
        <v>310</v>
      </c>
      <c r="E23" s="11" t="s">
        <v>784</v>
      </c>
      <c r="F23" s="11" t="s">
        <v>784</v>
      </c>
      <c r="G23" s="163"/>
      <c r="H23" s="163"/>
      <c r="I23" s="163"/>
      <c r="J23" s="163"/>
      <c r="K23" s="163"/>
      <c r="L23" s="163"/>
      <c r="M23" s="163"/>
      <c r="N23" s="163"/>
      <c r="O23" s="163"/>
      <c r="P23" s="163"/>
      <c r="Q23" s="163"/>
      <c r="R23" s="163"/>
      <c r="S23" s="163"/>
      <c r="T23" s="163"/>
      <c r="U23" s="163"/>
      <c r="V23" s="163"/>
      <c r="W23" s="163"/>
      <c r="X23" s="163"/>
      <c r="Y23" s="163"/>
    </row>
    <row r="24">
      <c r="A24" s="102" t="s">
        <v>343</v>
      </c>
      <c r="B24" s="102" t="s">
        <v>344</v>
      </c>
      <c r="C24" s="102" t="b">
        <v>1</v>
      </c>
      <c r="D24" s="102" t="b">
        <v>0</v>
      </c>
      <c r="E24" s="102" t="b">
        <v>0</v>
      </c>
      <c r="F24" s="102" t="b">
        <v>0</v>
      </c>
      <c r="G24" s="102"/>
      <c r="H24" s="102"/>
      <c r="I24" s="104"/>
      <c r="J24" s="104"/>
      <c r="K24" s="104"/>
      <c r="L24" s="104"/>
      <c r="M24" s="104"/>
      <c r="N24" s="104"/>
      <c r="O24" s="104"/>
      <c r="P24" s="104"/>
      <c r="Q24" s="104"/>
      <c r="R24" s="104"/>
      <c r="S24" s="104"/>
      <c r="T24" s="104"/>
    </row>
    <row r="25">
      <c r="A25" s="109" t="s">
        <v>345</v>
      </c>
      <c r="B25" s="109" t="s">
        <v>346</v>
      </c>
      <c r="C25" s="109" t="s">
        <v>536</v>
      </c>
      <c r="D25" s="109" t="s">
        <v>630</v>
      </c>
      <c r="E25" s="109" t="s">
        <v>644</v>
      </c>
      <c r="F25" s="109"/>
      <c r="G25" s="109"/>
      <c r="H25" s="109"/>
      <c r="I25" s="111"/>
      <c r="J25" s="111"/>
      <c r="K25" s="111"/>
      <c r="L25" s="111"/>
      <c r="M25" s="111"/>
      <c r="N25" s="111"/>
      <c r="O25" s="111"/>
      <c r="P25" s="111"/>
      <c r="Q25" s="111"/>
      <c r="R25" s="111"/>
      <c r="S25" s="111"/>
      <c r="T25" s="111"/>
    </row>
    <row r="26">
      <c r="A26" s="5" t="s">
        <v>347</v>
      </c>
      <c r="B26" s="5" t="s">
        <v>348</v>
      </c>
      <c r="C26" s="5" t="s">
        <v>798</v>
      </c>
      <c r="D26" s="5" t="s">
        <v>637</v>
      </c>
      <c r="E26" s="5" t="s">
        <v>799</v>
      </c>
      <c r="F26" s="20"/>
      <c r="G26" s="5"/>
      <c r="H26" s="20"/>
      <c r="I26" s="20"/>
      <c r="J26" s="20"/>
      <c r="K26" s="20"/>
      <c r="L26" s="20"/>
      <c r="M26" s="20"/>
      <c r="N26" s="20"/>
      <c r="O26" s="20"/>
      <c r="P26" s="20"/>
      <c r="Q26" s="20"/>
      <c r="R26" s="20"/>
      <c r="S26" s="20"/>
      <c r="T26" s="20"/>
    </row>
    <row r="27">
      <c r="A27" s="5" t="s">
        <v>349</v>
      </c>
      <c r="B27" s="20"/>
      <c r="C27" s="5" t="s">
        <v>313</v>
      </c>
      <c r="D27" s="154" t="s">
        <v>521</v>
      </c>
      <c r="E27" s="5" t="s">
        <v>777</v>
      </c>
      <c r="F27" s="20"/>
      <c r="G27" s="5"/>
      <c r="H27" s="20"/>
      <c r="I27" s="20"/>
      <c r="J27" s="20"/>
      <c r="K27" s="20"/>
      <c r="L27" s="20"/>
      <c r="M27" s="20"/>
      <c r="N27" s="20"/>
      <c r="O27" s="20"/>
      <c r="P27" s="20"/>
      <c r="Q27" s="20"/>
      <c r="R27" s="20"/>
      <c r="S27" s="20"/>
      <c r="T27" s="20"/>
    </row>
    <row r="28">
      <c r="A28" s="5" t="s">
        <v>350</v>
      </c>
      <c r="B28" s="5" t="s">
        <v>351</v>
      </c>
      <c r="C28" s="71">
        <v>11.5</v>
      </c>
      <c r="D28" s="176">
        <v>0.005</v>
      </c>
      <c r="E28" s="5">
        <v>0.1</v>
      </c>
      <c r="F28" s="20"/>
      <c r="G28" s="5"/>
      <c r="H28" s="20"/>
      <c r="I28" s="20"/>
      <c r="J28" s="20"/>
      <c r="K28" s="20"/>
      <c r="L28" s="20"/>
      <c r="M28" s="20"/>
      <c r="N28" s="20"/>
      <c r="O28" s="20"/>
      <c r="P28" s="20"/>
      <c r="Q28" s="20"/>
      <c r="R28" s="20"/>
      <c r="S28" s="20"/>
      <c r="T28" s="20"/>
    </row>
    <row r="29">
      <c r="A29" s="5" t="s">
        <v>352</v>
      </c>
      <c r="B29" s="5" t="s">
        <v>353</v>
      </c>
      <c r="C29" s="5">
        <v>0.0</v>
      </c>
      <c r="D29" s="5">
        <v>0.0</v>
      </c>
      <c r="E29" s="5">
        <v>0.0</v>
      </c>
      <c r="F29" s="20"/>
      <c r="G29" s="5"/>
      <c r="H29" s="20"/>
      <c r="I29" s="20"/>
      <c r="J29" s="20"/>
      <c r="K29" s="20"/>
      <c r="L29" s="20"/>
      <c r="M29" s="20"/>
      <c r="N29" s="20"/>
      <c r="O29" s="20"/>
      <c r="P29" s="20"/>
      <c r="Q29" s="20"/>
      <c r="R29" s="20"/>
      <c r="S29" s="20"/>
      <c r="T29" s="20"/>
    </row>
    <row r="30">
      <c r="A30" s="5" t="s">
        <v>354</v>
      </c>
      <c r="B30" s="20"/>
      <c r="C30" s="5" t="s">
        <v>800</v>
      </c>
      <c r="D30" s="134" t="s">
        <v>639</v>
      </c>
      <c r="E30" s="5" t="s">
        <v>801</v>
      </c>
      <c r="F30" s="20"/>
      <c r="G30" s="5"/>
      <c r="H30" s="20"/>
      <c r="I30" s="20"/>
      <c r="J30" s="20"/>
      <c r="K30" s="20"/>
      <c r="L30" s="20"/>
      <c r="M30" s="20"/>
      <c r="N30" s="20"/>
      <c r="O30" s="20"/>
      <c r="P30" s="20"/>
      <c r="Q30" s="20"/>
      <c r="R30" s="20"/>
      <c r="S30" s="20"/>
      <c r="T30" s="20"/>
    </row>
    <row r="31">
      <c r="A31" s="5" t="s">
        <v>355</v>
      </c>
      <c r="B31" s="5" t="s">
        <v>346</v>
      </c>
      <c r="C31" s="20"/>
      <c r="D31" s="20"/>
      <c r="E31" s="20"/>
      <c r="F31" s="20"/>
      <c r="H31" s="20"/>
      <c r="I31" s="20"/>
      <c r="J31" s="20"/>
      <c r="K31" s="20"/>
      <c r="L31" s="20"/>
      <c r="M31" s="20"/>
      <c r="N31" s="20"/>
      <c r="O31" s="20"/>
      <c r="P31" s="20"/>
      <c r="Q31" s="20"/>
      <c r="R31" s="20"/>
      <c r="S31" s="20"/>
      <c r="T31" s="20"/>
    </row>
    <row r="32">
      <c r="A32" s="5" t="s">
        <v>356</v>
      </c>
      <c r="B32" s="5" t="s">
        <v>348</v>
      </c>
      <c r="C32" s="20"/>
      <c r="D32" s="20"/>
      <c r="E32" s="20"/>
      <c r="F32" s="20"/>
      <c r="H32" s="20"/>
      <c r="I32" s="20"/>
      <c r="J32" s="20"/>
      <c r="K32" s="20"/>
      <c r="L32" s="20"/>
      <c r="M32" s="20"/>
      <c r="N32" s="20"/>
      <c r="O32" s="20"/>
      <c r="P32" s="20"/>
      <c r="Q32" s="20"/>
      <c r="R32" s="20"/>
      <c r="S32" s="20"/>
      <c r="T32" s="20"/>
    </row>
    <row r="33">
      <c r="A33" s="5" t="s">
        <v>357</v>
      </c>
      <c r="B33" s="20"/>
      <c r="C33" s="20"/>
      <c r="D33" s="20"/>
      <c r="E33" s="20"/>
      <c r="F33" s="20"/>
      <c r="H33" s="20"/>
      <c r="I33" s="20"/>
      <c r="J33" s="20"/>
      <c r="K33" s="20"/>
      <c r="L33" s="20"/>
      <c r="M33" s="20"/>
      <c r="N33" s="20"/>
      <c r="O33" s="20"/>
      <c r="P33" s="20"/>
      <c r="Q33" s="20"/>
      <c r="R33" s="20"/>
      <c r="S33" s="20"/>
      <c r="T33" s="20"/>
    </row>
    <row r="34">
      <c r="A34" s="5" t="s">
        <v>358</v>
      </c>
      <c r="B34" s="5" t="s">
        <v>351</v>
      </c>
      <c r="C34" s="20"/>
      <c r="D34" s="20"/>
      <c r="E34" s="20"/>
      <c r="F34" s="20"/>
      <c r="H34" s="20"/>
      <c r="I34" s="20"/>
      <c r="J34" s="20"/>
      <c r="K34" s="20"/>
      <c r="L34" s="20"/>
      <c r="M34" s="20"/>
      <c r="N34" s="20"/>
      <c r="O34" s="20"/>
      <c r="P34" s="20"/>
      <c r="Q34" s="20"/>
      <c r="R34" s="20"/>
      <c r="S34" s="20"/>
      <c r="T34" s="20"/>
    </row>
    <row r="35">
      <c r="A35" s="5" t="s">
        <v>359</v>
      </c>
      <c r="B35" s="5" t="s">
        <v>353</v>
      </c>
      <c r="C35" s="20"/>
      <c r="D35" s="20"/>
      <c r="E35" s="20"/>
      <c r="F35" s="20"/>
      <c r="G35" s="20"/>
      <c r="H35" s="20"/>
      <c r="I35" s="20"/>
      <c r="J35" s="20"/>
      <c r="K35" s="20"/>
      <c r="L35" s="20"/>
      <c r="M35" s="20"/>
      <c r="N35" s="20"/>
      <c r="O35" s="20"/>
      <c r="P35" s="20"/>
      <c r="Q35" s="20"/>
      <c r="R35" s="20"/>
      <c r="S35" s="20"/>
      <c r="T35" s="20"/>
    </row>
    <row r="36">
      <c r="A36" s="5" t="s">
        <v>360</v>
      </c>
      <c r="B36" s="20"/>
      <c r="C36" s="20"/>
      <c r="D36" s="20"/>
      <c r="E36" s="20"/>
      <c r="F36" s="20"/>
      <c r="G36" s="20"/>
      <c r="H36" s="20"/>
      <c r="I36" s="20"/>
      <c r="J36" s="20"/>
      <c r="K36" s="20"/>
      <c r="L36" s="20"/>
      <c r="M36" s="20"/>
      <c r="N36" s="20"/>
      <c r="O36" s="20"/>
      <c r="P36" s="20"/>
      <c r="Q36" s="20"/>
      <c r="R36" s="20"/>
      <c r="S36" s="20"/>
      <c r="T36" s="20"/>
    </row>
    <row r="37">
      <c r="A37" s="5" t="s">
        <v>361</v>
      </c>
      <c r="B37" s="5" t="s">
        <v>346</v>
      </c>
      <c r="C37" s="20"/>
      <c r="D37" s="20"/>
      <c r="E37" s="20"/>
      <c r="F37" s="20"/>
      <c r="I37" s="20"/>
      <c r="J37" s="20"/>
      <c r="K37" s="20"/>
      <c r="L37" s="20"/>
      <c r="M37" s="20"/>
      <c r="N37" s="20"/>
      <c r="O37" s="20"/>
      <c r="P37" s="20"/>
      <c r="Q37" s="20"/>
      <c r="R37" s="20"/>
      <c r="S37" s="20"/>
      <c r="T37" s="20"/>
    </row>
    <row r="38">
      <c r="A38" s="5" t="s">
        <v>362</v>
      </c>
      <c r="B38" s="5" t="s">
        <v>348</v>
      </c>
      <c r="C38" s="20"/>
      <c r="D38" s="20"/>
      <c r="E38" s="20"/>
      <c r="F38" s="20"/>
      <c r="I38" s="20"/>
      <c r="J38" s="20"/>
      <c r="K38" s="20"/>
      <c r="L38" s="20"/>
      <c r="M38" s="20"/>
      <c r="N38" s="20"/>
      <c r="O38" s="20"/>
      <c r="P38" s="20"/>
      <c r="Q38" s="20"/>
      <c r="R38" s="20"/>
      <c r="S38" s="20"/>
      <c r="T38" s="20"/>
    </row>
    <row r="39">
      <c r="A39" s="5" t="s">
        <v>363</v>
      </c>
      <c r="B39" s="20"/>
      <c r="C39" s="20"/>
      <c r="D39" s="20"/>
      <c r="E39" s="20"/>
      <c r="F39" s="20"/>
      <c r="I39" s="20"/>
      <c r="J39" s="20"/>
      <c r="K39" s="20"/>
      <c r="L39" s="20"/>
      <c r="M39" s="20"/>
      <c r="N39" s="20"/>
      <c r="O39" s="20"/>
      <c r="P39" s="20"/>
      <c r="Q39" s="20"/>
      <c r="R39" s="20"/>
      <c r="S39" s="20"/>
      <c r="T39" s="20"/>
    </row>
    <row r="40">
      <c r="A40" s="5" t="s">
        <v>364</v>
      </c>
      <c r="B40" s="5" t="s">
        <v>351</v>
      </c>
      <c r="C40" s="20"/>
      <c r="D40" s="20"/>
      <c r="E40" s="20"/>
      <c r="F40" s="20"/>
      <c r="I40" s="20"/>
      <c r="J40" s="20"/>
      <c r="K40" s="20"/>
      <c r="L40" s="20"/>
      <c r="M40" s="20"/>
      <c r="N40" s="20"/>
      <c r="O40" s="20"/>
      <c r="P40" s="20"/>
      <c r="Q40" s="20"/>
      <c r="R40" s="20"/>
      <c r="S40" s="20"/>
      <c r="T40" s="20"/>
    </row>
    <row r="41">
      <c r="A41" s="5" t="s">
        <v>365</v>
      </c>
      <c r="B41" s="5" t="s">
        <v>353</v>
      </c>
      <c r="C41" s="20"/>
      <c r="D41" s="20"/>
      <c r="E41" s="20"/>
      <c r="F41" s="20"/>
      <c r="I41" s="20"/>
      <c r="J41" s="20"/>
      <c r="K41" s="20"/>
      <c r="L41" s="20"/>
      <c r="M41" s="20"/>
      <c r="N41" s="20"/>
      <c r="O41" s="20"/>
      <c r="P41" s="20"/>
      <c r="Q41" s="20"/>
      <c r="R41" s="20"/>
      <c r="S41" s="20"/>
      <c r="T41" s="20"/>
    </row>
    <row r="42">
      <c r="A42" s="102" t="s">
        <v>366</v>
      </c>
      <c r="B42" s="102"/>
      <c r="C42" s="102"/>
      <c r="D42" s="102"/>
      <c r="E42" s="102"/>
      <c r="F42" s="102"/>
      <c r="G42" s="102"/>
      <c r="H42" s="102"/>
      <c r="I42" s="104"/>
      <c r="J42" s="104"/>
      <c r="K42" s="104"/>
      <c r="L42" s="104"/>
      <c r="M42" s="104"/>
      <c r="N42" s="104"/>
      <c r="O42" s="104"/>
      <c r="P42" s="104"/>
      <c r="Q42" s="104"/>
      <c r="R42" s="104"/>
      <c r="S42" s="104"/>
      <c r="T42" s="104"/>
    </row>
    <row r="43">
      <c r="A43" s="109" t="s">
        <v>367</v>
      </c>
      <c r="B43" s="109" t="s">
        <v>368</v>
      </c>
      <c r="C43" s="109" t="s">
        <v>793</v>
      </c>
      <c r="D43" s="109" t="s">
        <v>787</v>
      </c>
      <c r="E43" s="109" t="s">
        <v>788</v>
      </c>
      <c r="F43" s="109" t="s">
        <v>789</v>
      </c>
      <c r="G43" s="109"/>
      <c r="H43" s="109"/>
      <c r="I43" s="111"/>
      <c r="J43" s="111"/>
      <c r="K43" s="111"/>
      <c r="L43" s="111"/>
      <c r="M43" s="111"/>
      <c r="N43" s="111"/>
      <c r="O43" s="111"/>
      <c r="P43" s="111"/>
      <c r="Q43" s="111"/>
      <c r="R43" s="111"/>
      <c r="S43" s="111"/>
      <c r="T43" s="111"/>
    </row>
    <row r="44">
      <c r="A44" s="5" t="s">
        <v>370</v>
      </c>
      <c r="B44" s="5" t="s">
        <v>371</v>
      </c>
      <c r="C44" s="5" t="s">
        <v>755</v>
      </c>
      <c r="D44" s="5" t="s">
        <v>756</v>
      </c>
      <c r="E44" s="5" t="s">
        <v>757</v>
      </c>
      <c r="F44" s="5" t="s">
        <v>372</v>
      </c>
      <c r="G44" s="5"/>
      <c r="H44" s="5"/>
      <c r="I44" s="20"/>
      <c r="J44" s="20"/>
      <c r="K44" s="20"/>
      <c r="L44" s="20"/>
      <c r="M44" s="20"/>
      <c r="N44" s="20"/>
      <c r="O44" s="20"/>
      <c r="P44" s="20"/>
      <c r="Q44" s="20"/>
      <c r="R44" s="20"/>
      <c r="S44" s="20"/>
      <c r="T44" s="20"/>
    </row>
    <row r="45">
      <c r="A45" s="5" t="s">
        <v>373</v>
      </c>
      <c r="B45" s="11" t="s">
        <v>374</v>
      </c>
      <c r="C45" s="189">
        <v>0.97</v>
      </c>
      <c r="D45" s="189">
        <v>0.99</v>
      </c>
      <c r="E45" s="189">
        <v>0.99</v>
      </c>
      <c r="F45" s="189">
        <v>1.0</v>
      </c>
      <c r="G45" s="5"/>
      <c r="H45" s="5"/>
      <c r="I45" s="5"/>
      <c r="J45" s="20"/>
      <c r="K45" s="20"/>
      <c r="L45" s="20"/>
      <c r="M45" s="20"/>
      <c r="N45" s="20"/>
      <c r="O45" s="20"/>
      <c r="P45" s="20"/>
      <c r="Q45" s="20"/>
      <c r="R45" s="20"/>
      <c r="S45" s="20"/>
      <c r="T45" s="20"/>
    </row>
    <row r="46">
      <c r="A46" s="154" t="s">
        <v>375</v>
      </c>
      <c r="B46" s="11" t="s">
        <v>376</v>
      </c>
      <c r="C46" s="208">
        <f>1/1000</f>
        <v>0.001</v>
      </c>
      <c r="D46" s="209">
        <f>0.2 * (1/(0.2/2.11 + 0.8/1)) / (0.7 * 1/(0.7/2.11+0.3/1))</f>
        <v>0.2017251816</v>
      </c>
      <c r="E46" s="71">
        <v>1.0</v>
      </c>
      <c r="F46" s="71">
        <v>0.7028</v>
      </c>
      <c r="G46" s="162"/>
      <c r="H46" s="162"/>
      <c r="I46" s="162"/>
      <c r="J46" s="163"/>
      <c r="K46" s="163"/>
      <c r="L46" s="163"/>
      <c r="M46" s="163"/>
      <c r="N46" s="163"/>
      <c r="O46" s="163"/>
      <c r="P46" s="163"/>
      <c r="Q46" s="163"/>
      <c r="R46" s="163"/>
      <c r="S46" s="163"/>
      <c r="T46" s="163"/>
    </row>
    <row r="47">
      <c r="A47" s="5" t="s">
        <v>377</v>
      </c>
      <c r="B47" s="5" t="s">
        <v>378</v>
      </c>
      <c r="C47" s="5" t="s">
        <v>794</v>
      </c>
      <c r="D47" s="5" t="s">
        <v>790</v>
      </c>
      <c r="E47" s="5" t="s">
        <v>791</v>
      </c>
      <c r="F47" s="5" t="s">
        <v>792</v>
      </c>
      <c r="L47" s="20"/>
      <c r="M47" s="20"/>
      <c r="N47" s="20"/>
      <c r="O47" s="20"/>
      <c r="P47" s="20"/>
      <c r="Q47" s="20"/>
      <c r="R47" s="20"/>
      <c r="S47" s="20"/>
      <c r="T47" s="20"/>
    </row>
    <row r="48">
      <c r="A48" s="5" t="s">
        <v>380</v>
      </c>
      <c r="B48" s="20"/>
      <c r="C48" s="5" t="s">
        <v>313</v>
      </c>
      <c r="D48" s="5" t="s">
        <v>313</v>
      </c>
      <c r="E48" s="5" t="s">
        <v>313</v>
      </c>
      <c r="F48" s="5" t="s">
        <v>313</v>
      </c>
      <c r="G48" s="5"/>
      <c r="H48" s="5"/>
      <c r="I48" s="5"/>
      <c r="J48" s="20"/>
      <c r="K48" s="20"/>
      <c r="L48" s="20"/>
      <c r="M48" s="20"/>
      <c r="N48" s="20"/>
      <c r="O48" s="20"/>
      <c r="P48" s="20"/>
      <c r="Q48" s="20"/>
      <c r="R48" s="20"/>
      <c r="S48" s="20"/>
      <c r="T48" s="20"/>
      <c r="U48" s="163"/>
      <c r="V48" s="163"/>
      <c r="W48" s="163"/>
      <c r="X48" s="163"/>
      <c r="Y48" s="163"/>
      <c r="Z48" s="163"/>
    </row>
    <row r="49">
      <c r="A49" s="5" t="s">
        <v>382</v>
      </c>
      <c r="B49" s="20"/>
      <c r="C49" s="5">
        <v>187871.0</v>
      </c>
      <c r="D49" s="5">
        <v>187871.0</v>
      </c>
      <c r="E49" s="5">
        <v>187871.0</v>
      </c>
      <c r="F49" s="5">
        <v>187871.0</v>
      </c>
      <c r="G49" s="5"/>
      <c r="H49" s="5"/>
      <c r="I49" s="5"/>
      <c r="J49" s="20"/>
      <c r="K49" s="20"/>
      <c r="L49" s="20"/>
      <c r="M49" s="20"/>
      <c r="N49" s="20"/>
      <c r="O49" s="20"/>
      <c r="P49" s="20"/>
      <c r="Q49" s="20"/>
      <c r="R49" s="20"/>
      <c r="S49" s="20"/>
      <c r="T49" s="20"/>
    </row>
    <row r="50">
      <c r="A50" s="154" t="s">
        <v>383</v>
      </c>
      <c r="B50" s="10"/>
      <c r="C50" s="11" t="s">
        <v>797</v>
      </c>
      <c r="D50" s="11" t="s">
        <v>797</v>
      </c>
      <c r="E50" s="11" t="s">
        <v>797</v>
      </c>
      <c r="F50" s="11" t="s">
        <v>797</v>
      </c>
      <c r="G50" s="162"/>
      <c r="H50" s="162"/>
      <c r="I50" s="162"/>
      <c r="J50" s="163"/>
      <c r="K50" s="163"/>
      <c r="L50" s="163"/>
      <c r="M50" s="163"/>
      <c r="N50" s="163"/>
      <c r="O50" s="163"/>
      <c r="P50" s="163"/>
      <c r="Q50" s="163"/>
      <c r="R50" s="163"/>
      <c r="S50" s="163"/>
      <c r="T50" s="163"/>
    </row>
    <row r="51">
      <c r="A51" s="154" t="s">
        <v>385</v>
      </c>
      <c r="B51" s="10" t="s">
        <v>340</v>
      </c>
      <c r="C51" s="210">
        <f>0.2*(1/(0.2/2.11+0.8/1))/1000</f>
        <v>0.0002235169492</v>
      </c>
      <c r="D51" s="210">
        <f t="shared" ref="D51:E51" si="1">0.7*(1/(0.7/2.11+0.3/1))/1000</f>
        <v>0.001108027007</v>
      </c>
      <c r="E51" s="210">
        <f t="shared" si="1"/>
        <v>0.001108027007</v>
      </c>
      <c r="F51" s="202">
        <v>0.001</v>
      </c>
      <c r="G51" s="162"/>
      <c r="H51" s="162"/>
      <c r="I51" s="162"/>
      <c r="J51" s="163"/>
      <c r="K51" s="163"/>
      <c r="L51" s="163"/>
      <c r="M51" s="163"/>
      <c r="N51" s="163"/>
      <c r="O51" s="163"/>
      <c r="P51" s="163"/>
      <c r="Q51" s="163"/>
      <c r="R51" s="163"/>
      <c r="S51" s="163"/>
      <c r="T51" s="163"/>
      <c r="U51" s="163"/>
      <c r="V51" s="163"/>
      <c r="W51" s="163"/>
      <c r="X51" s="163"/>
      <c r="Y51" s="163"/>
    </row>
    <row r="52">
      <c r="A52" s="154" t="s">
        <v>386</v>
      </c>
      <c r="B52" s="10" t="s">
        <v>342</v>
      </c>
      <c r="C52" s="11" t="s">
        <v>784</v>
      </c>
      <c r="D52" s="11" t="s">
        <v>784</v>
      </c>
      <c r="E52" s="11" t="s">
        <v>784</v>
      </c>
      <c r="F52" s="11" t="s">
        <v>784</v>
      </c>
      <c r="G52" s="162"/>
      <c r="H52" s="162"/>
      <c r="I52" s="162"/>
      <c r="J52" s="163"/>
      <c r="K52" s="163"/>
      <c r="L52" s="163"/>
      <c r="M52" s="163"/>
      <c r="N52" s="163"/>
      <c r="O52" s="163"/>
      <c r="P52" s="163"/>
      <c r="Q52" s="163"/>
      <c r="R52" s="163"/>
      <c r="S52" s="163"/>
      <c r="T52" s="163"/>
      <c r="U52" s="163"/>
      <c r="V52" s="163"/>
      <c r="W52" s="163"/>
      <c r="X52" s="163"/>
      <c r="Y52" s="163"/>
    </row>
    <row r="53">
      <c r="A53" s="102" t="s">
        <v>387</v>
      </c>
      <c r="B53" s="102" t="s">
        <v>388</v>
      </c>
      <c r="C53" s="102" t="b">
        <v>0</v>
      </c>
      <c r="D53" s="102" t="b">
        <v>0</v>
      </c>
      <c r="E53" s="102" t="b">
        <v>0</v>
      </c>
      <c r="F53" s="102" t="b">
        <v>0</v>
      </c>
      <c r="G53" s="102"/>
      <c r="H53" s="102"/>
      <c r="I53" s="104"/>
      <c r="J53" s="104"/>
      <c r="K53" s="104"/>
      <c r="L53" s="104"/>
      <c r="M53" s="104"/>
      <c r="N53" s="104"/>
      <c r="O53" s="104"/>
      <c r="P53" s="104"/>
      <c r="Q53" s="104"/>
      <c r="R53" s="104"/>
      <c r="S53" s="104"/>
      <c r="T53" s="104"/>
    </row>
    <row r="54">
      <c r="A54" s="109" t="s">
        <v>389</v>
      </c>
      <c r="B54" s="109"/>
      <c r="C54" s="109"/>
      <c r="D54" s="109" t="s">
        <v>802</v>
      </c>
      <c r="E54" s="109" t="s">
        <v>479</v>
      </c>
      <c r="F54" s="109" t="s">
        <v>803</v>
      </c>
      <c r="G54" s="109"/>
      <c r="H54" s="109"/>
      <c r="I54" s="111"/>
      <c r="J54" s="111"/>
      <c r="K54" s="111"/>
      <c r="L54" s="111"/>
      <c r="M54" s="111"/>
      <c r="N54" s="111"/>
      <c r="O54" s="111"/>
      <c r="P54" s="111"/>
      <c r="Q54" s="111"/>
      <c r="R54" s="111"/>
      <c r="S54" s="111"/>
      <c r="T54" s="111"/>
    </row>
    <row r="55">
      <c r="A55" s="5" t="s">
        <v>390</v>
      </c>
      <c r="B55" s="20"/>
      <c r="C55" s="5"/>
      <c r="D55" s="5" t="s">
        <v>496</v>
      </c>
      <c r="E55" s="5" t="s">
        <v>496</v>
      </c>
      <c r="F55" s="5" t="s">
        <v>804</v>
      </c>
      <c r="G55" s="5"/>
      <c r="H55" s="5"/>
      <c r="I55" s="5"/>
      <c r="J55" s="20"/>
      <c r="K55" s="20"/>
      <c r="L55" s="20"/>
      <c r="M55" s="20"/>
      <c r="N55" s="20"/>
      <c r="O55" s="20"/>
      <c r="P55" s="20"/>
      <c r="Q55" s="20"/>
      <c r="R55" s="20"/>
      <c r="S55" s="20"/>
      <c r="T55" s="20"/>
    </row>
    <row r="56">
      <c r="A56" s="5" t="s">
        <v>392</v>
      </c>
      <c r="B56" s="20"/>
      <c r="C56" s="5"/>
      <c r="D56" s="71">
        <v>0.0</v>
      </c>
      <c r="E56" s="71">
        <v>0.0</v>
      </c>
      <c r="F56" s="71">
        <v>0.2972</v>
      </c>
      <c r="G56" s="5"/>
      <c r="H56" s="5"/>
      <c r="I56" s="5"/>
      <c r="J56" s="20"/>
      <c r="K56" s="20"/>
      <c r="L56" s="20"/>
      <c r="M56" s="20"/>
      <c r="N56" s="20"/>
      <c r="O56" s="20"/>
      <c r="P56" s="20"/>
      <c r="Q56" s="20"/>
      <c r="R56" s="20"/>
      <c r="S56" s="20"/>
      <c r="T56" s="20"/>
    </row>
    <row r="57">
      <c r="A57" s="5" t="s">
        <v>393</v>
      </c>
      <c r="B57" s="20"/>
      <c r="C57" s="5"/>
      <c r="D57" s="5" t="s">
        <v>656</v>
      </c>
      <c r="E57" s="5"/>
      <c r="F57" s="5"/>
      <c r="G57" s="5"/>
      <c r="H57" s="5"/>
      <c r="I57" s="5"/>
      <c r="J57" s="20"/>
      <c r="K57" s="20"/>
      <c r="L57" s="20"/>
      <c r="M57" s="20"/>
      <c r="N57" s="20"/>
      <c r="O57" s="20"/>
      <c r="P57" s="20"/>
      <c r="Q57" s="20"/>
      <c r="R57" s="20"/>
      <c r="S57" s="20"/>
      <c r="T57" s="20"/>
    </row>
    <row r="58">
      <c r="A58" s="5" t="s">
        <v>394</v>
      </c>
      <c r="B58" s="20"/>
      <c r="C58" s="5"/>
      <c r="D58" s="5" t="s">
        <v>805</v>
      </c>
      <c r="E58" s="5" t="s">
        <v>806</v>
      </c>
      <c r="F58" s="5" t="s">
        <v>807</v>
      </c>
      <c r="G58" s="5"/>
      <c r="H58" s="5"/>
      <c r="I58" s="20"/>
      <c r="J58" s="20"/>
      <c r="K58" s="20"/>
      <c r="L58" s="20"/>
      <c r="M58" s="20"/>
      <c r="N58" s="20"/>
      <c r="O58" s="20"/>
      <c r="P58" s="20"/>
      <c r="Q58" s="20"/>
      <c r="R58" s="20"/>
      <c r="S58" s="20"/>
      <c r="T58" s="20"/>
    </row>
    <row r="59">
      <c r="A59" s="5" t="s">
        <v>395</v>
      </c>
      <c r="B59" s="20"/>
      <c r="C59" s="5"/>
      <c r="D59" s="5">
        <v>1.0</v>
      </c>
      <c r="E59" s="5">
        <v>1.0</v>
      </c>
      <c r="F59" s="5">
        <v>1.0</v>
      </c>
      <c r="G59" s="20"/>
      <c r="H59" s="20"/>
      <c r="I59" s="20"/>
      <c r="J59" s="20"/>
      <c r="K59" s="20"/>
      <c r="L59" s="20"/>
      <c r="M59" s="20"/>
      <c r="N59" s="20"/>
      <c r="O59" s="20"/>
      <c r="P59" s="20"/>
      <c r="Q59" s="20"/>
      <c r="R59" s="20"/>
      <c r="S59" s="20"/>
      <c r="T59" s="20"/>
    </row>
    <row r="60">
      <c r="A60" s="5" t="s">
        <v>396</v>
      </c>
      <c r="B60" s="20"/>
      <c r="C60" s="20"/>
      <c r="D60" s="20"/>
      <c r="E60" s="20"/>
      <c r="F60" s="20"/>
      <c r="G60" s="20"/>
      <c r="H60" s="20"/>
      <c r="I60" s="20"/>
      <c r="J60" s="20"/>
      <c r="K60" s="20"/>
      <c r="L60" s="20"/>
      <c r="M60" s="20"/>
      <c r="N60" s="20"/>
      <c r="O60" s="20"/>
      <c r="P60" s="20"/>
      <c r="Q60" s="20"/>
      <c r="R60" s="20"/>
      <c r="S60" s="20"/>
      <c r="T60" s="20"/>
    </row>
    <row r="61">
      <c r="A61" s="5" t="s">
        <v>397</v>
      </c>
      <c r="B61" s="20"/>
      <c r="C61" s="20"/>
      <c r="D61" s="20"/>
      <c r="E61" s="20"/>
      <c r="F61" s="20"/>
      <c r="G61" s="20"/>
      <c r="H61" s="20"/>
      <c r="I61" s="20"/>
      <c r="J61" s="20"/>
      <c r="K61" s="20"/>
      <c r="L61" s="20"/>
      <c r="M61" s="20"/>
      <c r="N61" s="20"/>
      <c r="O61" s="20"/>
      <c r="P61" s="20"/>
      <c r="Q61" s="20"/>
      <c r="R61" s="20"/>
      <c r="S61" s="20"/>
      <c r="T61" s="20"/>
    </row>
    <row r="62">
      <c r="A62" s="5" t="s">
        <v>398</v>
      </c>
      <c r="B62" s="20"/>
      <c r="C62" s="20"/>
      <c r="D62" s="20"/>
      <c r="E62" s="20"/>
      <c r="F62" s="20"/>
      <c r="G62" s="20"/>
      <c r="H62" s="20"/>
      <c r="I62" s="20"/>
      <c r="J62" s="20"/>
      <c r="K62" s="20"/>
      <c r="L62" s="20"/>
      <c r="M62" s="20"/>
      <c r="N62" s="20"/>
      <c r="O62" s="20"/>
      <c r="P62" s="20"/>
      <c r="Q62" s="20"/>
      <c r="R62" s="20"/>
      <c r="S62" s="20"/>
      <c r="T62" s="20"/>
    </row>
    <row r="63">
      <c r="A63" s="5" t="s">
        <v>399</v>
      </c>
      <c r="B63" s="20"/>
      <c r="C63" s="20"/>
      <c r="D63" s="20"/>
      <c r="E63" s="20"/>
      <c r="F63" s="20"/>
      <c r="G63" s="20"/>
      <c r="H63" s="20"/>
      <c r="I63" s="20"/>
      <c r="J63" s="20"/>
      <c r="K63" s="20"/>
      <c r="L63" s="20"/>
      <c r="M63" s="20"/>
      <c r="N63" s="20"/>
      <c r="O63" s="20"/>
      <c r="P63" s="20"/>
      <c r="Q63" s="20"/>
      <c r="R63" s="20"/>
      <c r="S63" s="20"/>
      <c r="T63" s="20"/>
    </row>
    <row r="64">
      <c r="A64" s="5" t="s">
        <v>400</v>
      </c>
      <c r="B64" s="20"/>
      <c r="C64" s="20"/>
      <c r="D64" s="20"/>
      <c r="E64" s="20"/>
      <c r="F64" s="20"/>
      <c r="G64" s="20"/>
      <c r="H64" s="20"/>
      <c r="I64" s="20"/>
      <c r="J64" s="20"/>
      <c r="K64" s="20"/>
      <c r="L64" s="20"/>
      <c r="M64" s="20"/>
      <c r="N64" s="20"/>
      <c r="O64" s="20"/>
      <c r="P64" s="20"/>
      <c r="Q64" s="20"/>
      <c r="R64" s="20"/>
      <c r="S64" s="20"/>
      <c r="T64" s="20"/>
    </row>
    <row r="65">
      <c r="A65" s="5" t="s">
        <v>401</v>
      </c>
      <c r="B65" s="20"/>
      <c r="C65" s="20"/>
      <c r="D65" s="20"/>
      <c r="E65" s="20"/>
      <c r="F65" s="20"/>
      <c r="G65" s="20"/>
      <c r="H65" s="20"/>
      <c r="I65" s="20"/>
      <c r="J65" s="20"/>
      <c r="K65" s="20"/>
      <c r="L65" s="20"/>
      <c r="M65" s="20"/>
      <c r="N65" s="20"/>
      <c r="O65" s="20"/>
      <c r="P65" s="20"/>
      <c r="Q65" s="20"/>
      <c r="R65" s="20"/>
      <c r="S65" s="20"/>
      <c r="T65" s="20"/>
    </row>
    <row r="66">
      <c r="A66" s="5" t="str">
        <f t="shared" ref="A66:A71" si="2">SUBSTITUTE(A60,"2","3")</f>
        <v>coproduct_3_name</v>
      </c>
      <c r="B66" s="20"/>
      <c r="C66" s="5"/>
      <c r="D66" s="20"/>
      <c r="E66" s="20"/>
      <c r="F66" s="20"/>
      <c r="G66" s="20"/>
      <c r="H66" s="20"/>
      <c r="I66" s="20"/>
      <c r="J66" s="20"/>
      <c r="K66" s="20"/>
      <c r="L66" s="20"/>
      <c r="M66" s="20"/>
      <c r="N66" s="20"/>
      <c r="O66" s="20"/>
      <c r="P66" s="20"/>
      <c r="Q66" s="20"/>
      <c r="R66" s="20"/>
      <c r="S66" s="20"/>
      <c r="T66" s="20"/>
    </row>
    <row r="67">
      <c r="A67" s="5" t="str">
        <f t="shared" si="2"/>
        <v>coproduct_3_sink</v>
      </c>
      <c r="B67" s="20"/>
      <c r="C67" s="5"/>
      <c r="D67" s="20"/>
      <c r="E67" s="20"/>
      <c r="F67" s="20"/>
      <c r="G67" s="20"/>
      <c r="H67" s="20"/>
      <c r="I67" s="5"/>
      <c r="J67" s="20"/>
      <c r="K67" s="20"/>
      <c r="L67" s="20"/>
      <c r="M67" s="20"/>
      <c r="N67" s="20"/>
      <c r="O67" s="20"/>
      <c r="P67" s="20"/>
      <c r="Q67" s="20"/>
      <c r="R67" s="20"/>
      <c r="S67" s="20"/>
      <c r="T67" s="20"/>
    </row>
    <row r="68">
      <c r="A68" s="5" t="str">
        <f t="shared" si="2"/>
        <v>coproduct_3_conversion_factor</v>
      </c>
      <c r="B68" s="20"/>
      <c r="C68" s="5"/>
      <c r="D68" s="20"/>
      <c r="E68" s="20"/>
      <c r="F68" s="20"/>
      <c r="G68" s="20"/>
      <c r="H68" s="20"/>
      <c r="I68" s="20"/>
      <c r="J68" s="20"/>
      <c r="K68" s="20"/>
      <c r="L68" s="20"/>
      <c r="M68" s="20"/>
      <c r="N68" s="20"/>
      <c r="O68" s="20"/>
      <c r="P68" s="20"/>
      <c r="Q68" s="20"/>
      <c r="R68" s="20"/>
      <c r="S68" s="20"/>
      <c r="T68" s="20"/>
    </row>
    <row r="69">
      <c r="A69" s="5" t="str">
        <f t="shared" si="2"/>
        <v>coproduct_3_units</v>
      </c>
      <c r="B69" s="20"/>
      <c r="C69" s="5"/>
      <c r="D69" s="20"/>
      <c r="E69" s="20"/>
      <c r="F69" s="20"/>
      <c r="G69" s="20"/>
      <c r="H69" s="20"/>
      <c r="I69" s="20"/>
      <c r="J69" s="20"/>
      <c r="K69" s="20"/>
      <c r="L69" s="20"/>
      <c r="M69" s="20"/>
      <c r="N69" s="20"/>
      <c r="O69" s="20"/>
      <c r="P69" s="20"/>
      <c r="Q69" s="20"/>
      <c r="R69" s="20"/>
      <c r="S69" s="20"/>
      <c r="T69" s="20"/>
    </row>
    <row r="70">
      <c r="A70" s="5" t="str">
        <f t="shared" si="2"/>
        <v>coproduct_3_constituents</v>
      </c>
      <c r="B70" s="20"/>
      <c r="C70" s="5"/>
      <c r="D70" s="20"/>
      <c r="E70" s="20"/>
      <c r="F70" s="20"/>
      <c r="G70" s="20"/>
      <c r="H70" s="20"/>
      <c r="I70" s="20"/>
      <c r="J70" s="20"/>
      <c r="K70" s="20"/>
      <c r="L70" s="20"/>
      <c r="M70" s="20"/>
      <c r="N70" s="20"/>
      <c r="O70" s="20"/>
      <c r="P70" s="20"/>
      <c r="Q70" s="20"/>
      <c r="R70" s="20"/>
      <c r="S70" s="20"/>
      <c r="T70" s="20"/>
    </row>
    <row r="71">
      <c r="A71" s="5" t="str">
        <f t="shared" si="2"/>
        <v>coproduct_3_constituent_fractions</v>
      </c>
      <c r="B71" s="20"/>
      <c r="C71" s="20"/>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51" t="s">
        <v>276</v>
      </c>
      <c r="B1" s="151" t="s">
        <v>7</v>
      </c>
      <c r="C1" s="151" t="s">
        <v>751</v>
      </c>
      <c r="D1" s="151" t="s">
        <v>752</v>
      </c>
      <c r="E1" s="151" t="s">
        <v>753</v>
      </c>
      <c r="F1" s="151" t="s">
        <v>754</v>
      </c>
      <c r="G1" s="151"/>
      <c r="H1" s="151"/>
      <c r="I1" s="43"/>
      <c r="J1" s="43"/>
      <c r="K1" s="43"/>
      <c r="L1" s="43"/>
      <c r="M1" s="43"/>
      <c r="N1" s="43"/>
      <c r="O1" s="43"/>
      <c r="P1" s="43"/>
      <c r="Q1" s="43"/>
      <c r="R1" s="43"/>
      <c r="S1" s="43"/>
      <c r="T1" s="43"/>
    </row>
    <row r="2">
      <c r="A2" s="5" t="s">
        <v>279</v>
      </c>
      <c r="B2" s="5" t="s">
        <v>280</v>
      </c>
      <c r="C2" s="5" t="s">
        <v>113</v>
      </c>
      <c r="D2" s="5" t="s">
        <v>755</v>
      </c>
      <c r="E2" s="5" t="s">
        <v>756</v>
      </c>
      <c r="F2" s="5" t="s">
        <v>757</v>
      </c>
      <c r="G2" s="5"/>
      <c r="H2" s="5"/>
      <c r="I2" s="20"/>
      <c r="J2" s="20"/>
      <c r="K2" s="20"/>
      <c r="L2" s="20"/>
      <c r="M2" s="20"/>
      <c r="N2" s="20"/>
      <c r="O2" s="20"/>
      <c r="P2" s="20"/>
      <c r="Q2" s="20"/>
      <c r="R2" s="20"/>
      <c r="S2" s="20"/>
      <c r="T2" s="20"/>
    </row>
    <row r="3">
      <c r="A3" s="5" t="s">
        <v>281</v>
      </c>
      <c r="B3" s="5" t="s">
        <v>406</v>
      </c>
      <c r="C3" s="5" t="s">
        <v>808</v>
      </c>
      <c r="D3" s="5" t="s">
        <v>759</v>
      </c>
      <c r="E3" s="5" t="s">
        <v>753</v>
      </c>
      <c r="F3" s="5" t="s">
        <v>760</v>
      </c>
      <c r="G3" s="5"/>
      <c r="H3" s="5"/>
      <c r="I3" s="20"/>
      <c r="J3" s="134"/>
      <c r="K3" s="134"/>
      <c r="L3" s="134"/>
      <c r="M3" s="134"/>
      <c r="N3" s="20"/>
      <c r="O3" s="20"/>
      <c r="P3" s="20"/>
      <c r="Q3" s="20"/>
      <c r="R3" s="20"/>
      <c r="S3" s="20"/>
      <c r="T3" s="20"/>
    </row>
    <row r="4">
      <c r="A4" s="5" t="s">
        <v>285</v>
      </c>
      <c r="B4" s="5" t="s">
        <v>286</v>
      </c>
      <c r="C4" s="5" t="s">
        <v>761</v>
      </c>
      <c r="D4" s="5" t="s">
        <v>762</v>
      </c>
      <c r="E4" s="5" t="s">
        <v>763</v>
      </c>
      <c r="F4" s="5" t="s">
        <v>764</v>
      </c>
      <c r="G4" s="5"/>
      <c r="H4" s="5"/>
      <c r="I4" s="20"/>
      <c r="J4" s="134"/>
      <c r="K4" s="134"/>
      <c r="L4" s="134"/>
      <c r="M4" s="134"/>
      <c r="N4" s="20"/>
      <c r="O4" s="20"/>
      <c r="P4" s="20"/>
      <c r="Q4" s="20"/>
      <c r="R4" s="20"/>
      <c r="S4" s="20"/>
      <c r="T4" s="20"/>
    </row>
    <row r="5">
      <c r="A5" s="5" t="s">
        <v>289</v>
      </c>
      <c r="B5" s="5" t="s">
        <v>290</v>
      </c>
      <c r="C5" s="5" t="s">
        <v>765</v>
      </c>
      <c r="D5" s="5" t="s">
        <v>766</v>
      </c>
      <c r="E5" s="5" t="s">
        <v>767</v>
      </c>
      <c r="F5" s="5" t="s">
        <v>809</v>
      </c>
      <c r="G5" s="5"/>
      <c r="H5" s="5"/>
      <c r="I5" s="20"/>
      <c r="J5" s="134"/>
      <c r="K5" s="134"/>
      <c r="L5" s="134"/>
      <c r="M5" s="134"/>
      <c r="N5" s="20"/>
      <c r="O5" s="20"/>
      <c r="P5" s="20"/>
      <c r="Q5" s="20"/>
      <c r="R5" s="20"/>
      <c r="S5" s="20"/>
      <c r="T5" s="20"/>
    </row>
    <row r="6">
      <c r="A6" s="114" t="s">
        <v>292</v>
      </c>
      <c r="B6" s="152"/>
      <c r="C6" s="109" t="s">
        <v>769</v>
      </c>
      <c r="D6" s="114" t="s">
        <v>517</v>
      </c>
      <c r="E6" s="109" t="s">
        <v>770</v>
      </c>
      <c r="F6" s="109" t="s">
        <v>810</v>
      </c>
      <c r="G6" s="109"/>
      <c r="H6" s="109"/>
      <c r="I6" s="111"/>
      <c r="J6" s="111"/>
      <c r="K6" s="111"/>
      <c r="L6" s="111"/>
      <c r="M6" s="111"/>
      <c r="N6" s="111"/>
      <c r="O6" s="111"/>
      <c r="P6" s="111"/>
      <c r="Q6" s="111"/>
      <c r="R6" s="111"/>
      <c r="S6" s="111"/>
      <c r="T6" s="111"/>
      <c r="U6" s="153"/>
      <c r="V6" s="153"/>
      <c r="W6" s="153"/>
      <c r="X6" s="153"/>
      <c r="Y6" s="153"/>
    </row>
    <row r="7">
      <c r="A7" s="11" t="s">
        <v>295</v>
      </c>
      <c r="B7" s="154"/>
      <c r="C7" s="5" t="s">
        <v>772</v>
      </c>
      <c r="D7" s="11" t="s">
        <v>519</v>
      </c>
      <c r="E7" s="5" t="s">
        <v>773</v>
      </c>
      <c r="F7" s="5" t="s">
        <v>811</v>
      </c>
      <c r="G7" s="5"/>
      <c r="H7" s="5"/>
      <c r="I7" s="20"/>
      <c r="J7" s="20"/>
      <c r="K7" s="20"/>
      <c r="L7" s="20"/>
      <c r="M7" s="20"/>
      <c r="N7" s="20"/>
      <c r="O7" s="20"/>
      <c r="P7" s="20"/>
      <c r="Q7" s="20"/>
      <c r="R7" s="20"/>
      <c r="S7" s="20"/>
      <c r="T7" s="20"/>
    </row>
    <row r="8">
      <c r="A8" s="11" t="s">
        <v>298</v>
      </c>
      <c r="B8" s="11" t="s">
        <v>775</v>
      </c>
      <c r="C8" s="5" t="s">
        <v>776</v>
      </c>
      <c r="D8" s="154" t="s">
        <v>521</v>
      </c>
      <c r="E8" s="5" t="s">
        <v>777</v>
      </c>
      <c r="F8" s="5" t="s">
        <v>778</v>
      </c>
      <c r="G8" s="5"/>
      <c r="H8" s="5"/>
      <c r="I8" s="20"/>
      <c r="J8" s="20"/>
      <c r="K8" s="20"/>
      <c r="L8" s="20"/>
      <c r="M8" s="20"/>
      <c r="N8" s="20"/>
      <c r="O8" s="20"/>
      <c r="P8" s="20"/>
      <c r="Q8" s="20"/>
      <c r="R8" s="20"/>
      <c r="S8" s="20"/>
      <c r="T8" s="20"/>
    </row>
    <row r="9">
      <c r="A9" s="11" t="s">
        <v>302</v>
      </c>
      <c r="B9" s="154"/>
      <c r="C9" s="5" t="s">
        <v>779</v>
      </c>
      <c r="D9" s="5" t="s">
        <v>780</v>
      </c>
      <c r="E9" s="5" t="s">
        <v>781</v>
      </c>
      <c r="F9" s="5" t="s">
        <v>782</v>
      </c>
      <c r="G9" s="5"/>
      <c r="H9" s="5"/>
      <c r="I9" s="20"/>
      <c r="J9" s="20"/>
      <c r="K9" s="20"/>
      <c r="L9" s="20"/>
      <c r="M9" s="20"/>
      <c r="N9" s="20"/>
      <c r="O9" s="20"/>
      <c r="P9" s="20"/>
      <c r="Q9" s="20"/>
      <c r="R9" s="20"/>
      <c r="S9" s="20"/>
      <c r="T9" s="20"/>
    </row>
    <row r="10">
      <c r="A10" s="154" t="s">
        <v>305</v>
      </c>
      <c r="B10" s="154" t="s">
        <v>306</v>
      </c>
      <c r="C10" s="211">
        <f>0.2/(0.2/2.7+0.8/1)/10^6</f>
        <v>0.0000002288135593</v>
      </c>
      <c r="D10" s="210">
        <f>0.2*(1/(0.2/2.11+0.8/1))/1000</f>
        <v>0.0002235169492</v>
      </c>
      <c r="E10" s="210">
        <f>0.7*(1/(0.7/2.11+0.3/1))/1000</f>
        <v>0.001108027007</v>
      </c>
      <c r="F10" s="212">
        <f>0.7/1000</f>
        <v>0.0007</v>
      </c>
      <c r="G10" s="162"/>
      <c r="H10" s="162"/>
      <c r="I10" s="163"/>
      <c r="J10" s="163"/>
      <c r="K10" s="163"/>
      <c r="L10" s="163"/>
      <c r="M10" s="163"/>
      <c r="N10" s="163"/>
      <c r="O10" s="163"/>
      <c r="P10" s="163"/>
      <c r="Q10" s="163"/>
      <c r="R10" s="163"/>
      <c r="S10" s="163"/>
      <c r="T10" s="163"/>
      <c r="U10" s="163"/>
      <c r="V10" s="163"/>
      <c r="W10" s="163"/>
      <c r="X10" s="163"/>
      <c r="Y10" s="163"/>
      <c r="Z10" s="20"/>
    </row>
    <row r="11">
      <c r="A11" s="156" t="s">
        <v>307</v>
      </c>
      <c r="B11" s="156" t="s">
        <v>308</v>
      </c>
      <c r="C11" s="154" t="s">
        <v>706</v>
      </c>
      <c r="D11" s="11" t="s">
        <v>784</v>
      </c>
      <c r="E11" s="107" t="s">
        <v>812</v>
      </c>
      <c r="F11" s="107" t="s">
        <v>812</v>
      </c>
      <c r="G11" s="166"/>
      <c r="H11" s="166"/>
      <c r="I11" s="167"/>
      <c r="J11" s="167"/>
      <c r="K11" s="167"/>
      <c r="L11" s="167"/>
      <c r="M11" s="167"/>
      <c r="N11" s="167"/>
      <c r="O11" s="167"/>
      <c r="P11" s="167"/>
      <c r="Q11" s="167"/>
      <c r="R11" s="167"/>
      <c r="S11" s="167"/>
      <c r="T11" s="167"/>
      <c r="U11" s="167"/>
      <c r="V11" s="167"/>
      <c r="W11" s="167"/>
      <c r="X11" s="167"/>
      <c r="Y11" s="167"/>
      <c r="Z11" s="20"/>
    </row>
    <row r="12">
      <c r="A12" s="152" t="s">
        <v>311</v>
      </c>
      <c r="B12" s="152" t="s">
        <v>312</v>
      </c>
      <c r="C12" s="109" t="s">
        <v>313</v>
      </c>
      <c r="D12" s="109" t="s">
        <v>521</v>
      </c>
      <c r="E12" s="109" t="s">
        <v>777</v>
      </c>
      <c r="F12" s="5" t="s">
        <v>778</v>
      </c>
      <c r="G12" s="109"/>
      <c r="H12" s="109"/>
      <c r="I12" s="111"/>
      <c r="J12" s="111"/>
      <c r="K12" s="111"/>
      <c r="L12" s="111"/>
      <c r="M12" s="111"/>
      <c r="N12" s="111"/>
      <c r="O12" s="111"/>
      <c r="P12" s="111"/>
      <c r="Q12" s="111"/>
      <c r="R12" s="111"/>
      <c r="S12" s="111"/>
      <c r="T12" s="111"/>
    </row>
    <row r="13">
      <c r="A13" s="154" t="s">
        <v>314</v>
      </c>
      <c r="B13" s="154" t="s">
        <v>315</v>
      </c>
      <c r="C13" s="5" t="s">
        <v>813</v>
      </c>
      <c r="D13" s="5" t="s">
        <v>780</v>
      </c>
      <c r="E13" s="5" t="s">
        <v>781</v>
      </c>
      <c r="F13" s="154" t="s">
        <v>786</v>
      </c>
      <c r="G13" s="5"/>
      <c r="H13" s="5"/>
      <c r="I13" s="20"/>
      <c r="J13" s="20"/>
      <c r="K13" s="20"/>
      <c r="L13" s="20"/>
      <c r="M13" s="20"/>
      <c r="N13" s="20"/>
      <c r="O13" s="20"/>
      <c r="P13" s="20"/>
      <c r="Q13" s="20"/>
      <c r="R13" s="20"/>
      <c r="S13" s="20"/>
      <c r="T13" s="20"/>
    </row>
    <row r="14">
      <c r="A14" s="154" t="s">
        <v>317</v>
      </c>
      <c r="B14" s="154" t="s">
        <v>318</v>
      </c>
      <c r="C14" s="5" t="s">
        <v>313</v>
      </c>
      <c r="D14" s="5" t="s">
        <v>787</v>
      </c>
      <c r="E14" s="5" t="s">
        <v>788</v>
      </c>
      <c r="F14" s="154" t="s">
        <v>789</v>
      </c>
      <c r="G14" s="5"/>
      <c r="H14" s="5"/>
      <c r="I14" s="20"/>
      <c r="J14" s="20"/>
      <c r="K14" s="20"/>
      <c r="L14" s="20"/>
      <c r="M14" s="20"/>
      <c r="N14" s="20"/>
      <c r="O14" s="20"/>
      <c r="P14" s="20"/>
      <c r="Q14" s="20"/>
      <c r="R14" s="20"/>
      <c r="S14" s="20"/>
      <c r="T14" s="20"/>
    </row>
    <row r="15">
      <c r="A15" s="156" t="s">
        <v>320</v>
      </c>
      <c r="B15" s="156" t="s">
        <v>321</v>
      </c>
      <c r="C15" s="5" t="s">
        <v>813</v>
      </c>
      <c r="D15" s="5" t="s">
        <v>790</v>
      </c>
      <c r="E15" s="5" t="s">
        <v>791</v>
      </c>
      <c r="F15" s="156" t="s">
        <v>792</v>
      </c>
      <c r="G15" s="5"/>
      <c r="H15" s="102"/>
      <c r="I15" s="104"/>
      <c r="J15" s="104"/>
      <c r="K15" s="104"/>
      <c r="L15" s="104"/>
      <c r="M15" s="104"/>
      <c r="N15" s="104"/>
      <c r="O15" s="104"/>
      <c r="P15" s="104"/>
      <c r="Q15" s="104"/>
      <c r="R15" s="104"/>
      <c r="S15" s="104"/>
      <c r="T15" s="104"/>
    </row>
    <row r="16">
      <c r="A16" s="109" t="s">
        <v>323</v>
      </c>
      <c r="B16" s="109"/>
      <c r="C16" s="109" t="s">
        <v>528</v>
      </c>
      <c r="D16" s="109" t="s">
        <v>793</v>
      </c>
      <c r="E16" s="109" t="s">
        <v>787</v>
      </c>
      <c r="F16" s="109" t="s">
        <v>788</v>
      </c>
      <c r="G16" s="109"/>
      <c r="H16" s="109"/>
      <c r="I16" s="111"/>
      <c r="J16" s="111"/>
      <c r="K16" s="111"/>
      <c r="L16" s="111"/>
      <c r="M16" s="111"/>
      <c r="N16" s="111"/>
      <c r="O16" s="111"/>
      <c r="P16" s="111"/>
      <c r="Q16" s="111"/>
      <c r="R16" s="111"/>
      <c r="S16" s="111"/>
      <c r="T16" s="111"/>
    </row>
    <row r="17">
      <c r="A17" s="11" t="s">
        <v>325</v>
      </c>
      <c r="B17" s="11" t="s">
        <v>326</v>
      </c>
      <c r="C17" s="206" t="s">
        <v>779</v>
      </c>
      <c r="D17" s="5" t="s">
        <v>794</v>
      </c>
      <c r="E17" s="5" t="s">
        <v>790</v>
      </c>
      <c r="F17" s="5" t="s">
        <v>791</v>
      </c>
      <c r="G17" s="5"/>
      <c r="H17" s="5"/>
      <c r="I17" s="20"/>
      <c r="J17" s="20"/>
      <c r="K17" s="20"/>
      <c r="L17" s="20"/>
      <c r="M17" s="20"/>
      <c r="N17" s="20"/>
      <c r="O17" s="20"/>
      <c r="P17" s="20"/>
      <c r="Q17" s="20"/>
      <c r="R17" s="20"/>
      <c r="S17" s="20"/>
      <c r="T17" s="20"/>
    </row>
    <row r="18">
      <c r="A18" s="5" t="s">
        <v>328</v>
      </c>
      <c r="B18" s="5" t="s">
        <v>329</v>
      </c>
      <c r="C18" s="185">
        <v>1.0</v>
      </c>
      <c r="D18" s="71">
        <v>1.0</v>
      </c>
      <c r="E18" s="71">
        <v>1.0</v>
      </c>
      <c r="F18" s="169">
        <f>1/(0.7/2.11+0.3/1)</f>
        <v>1.582895724</v>
      </c>
      <c r="G18" s="5"/>
      <c r="H18" s="5"/>
      <c r="I18" s="20"/>
      <c r="J18" s="20"/>
      <c r="K18" s="20"/>
      <c r="L18" s="20"/>
      <c r="M18" s="20"/>
      <c r="N18" s="20"/>
      <c r="O18" s="20"/>
      <c r="P18" s="20"/>
      <c r="Q18" s="20"/>
      <c r="R18" s="20"/>
      <c r="S18" s="20"/>
      <c r="T18" s="20"/>
    </row>
    <row r="19">
      <c r="A19" s="5" t="s">
        <v>330</v>
      </c>
      <c r="B19" s="5" t="s">
        <v>331</v>
      </c>
      <c r="C19" s="134" t="s">
        <v>795</v>
      </c>
      <c r="D19" s="5" t="s">
        <v>313</v>
      </c>
      <c r="E19" s="5" t="s">
        <v>313</v>
      </c>
      <c r="F19" s="5" t="s">
        <v>313</v>
      </c>
      <c r="I19" s="20"/>
      <c r="J19" s="20"/>
      <c r="K19" s="20"/>
      <c r="L19" s="20"/>
      <c r="M19" s="20"/>
      <c r="N19" s="20"/>
      <c r="O19" s="20"/>
      <c r="P19" s="20"/>
      <c r="Q19" s="20"/>
      <c r="R19" s="20"/>
      <c r="S19" s="20"/>
      <c r="T19" s="20"/>
    </row>
    <row r="20">
      <c r="A20" s="5" t="s">
        <v>334</v>
      </c>
      <c r="B20" s="5" t="s">
        <v>335</v>
      </c>
      <c r="C20" s="5"/>
      <c r="D20" s="5">
        <v>187871.0</v>
      </c>
      <c r="E20" s="5">
        <v>187871.0</v>
      </c>
      <c r="F20" s="5">
        <v>187871.0</v>
      </c>
      <c r="G20" s="5"/>
      <c r="H20" s="158"/>
      <c r="I20" s="20"/>
      <c r="J20" s="134"/>
      <c r="K20" s="134"/>
      <c r="L20" s="20"/>
      <c r="M20" s="20"/>
      <c r="N20" s="20"/>
      <c r="O20" s="20"/>
      <c r="P20" s="20"/>
      <c r="Q20" s="20"/>
      <c r="R20" s="20"/>
      <c r="S20" s="20"/>
      <c r="T20" s="20"/>
    </row>
    <row r="21">
      <c r="A21" s="5" t="s">
        <v>336</v>
      </c>
      <c r="B21" s="5" t="s">
        <v>337</v>
      </c>
      <c r="C21" s="5" t="s">
        <v>796</v>
      </c>
      <c r="D21" s="11" t="s">
        <v>797</v>
      </c>
      <c r="E21" s="11" t="s">
        <v>797</v>
      </c>
      <c r="F21" s="11" t="s">
        <v>797</v>
      </c>
    </row>
    <row r="22">
      <c r="A22" s="5" t="s">
        <v>339</v>
      </c>
      <c r="B22" s="5" t="s">
        <v>340</v>
      </c>
      <c r="C22" s="211">
        <f>0.2/(0.2/2.7+0.8/1)/10^6</f>
        <v>0.0000002288135593</v>
      </c>
      <c r="D22" s="210">
        <f>0.2*(1/(0.2/2.11+0.8/1))/1000</f>
        <v>0.0002235169492</v>
      </c>
      <c r="E22" s="210">
        <f t="shared" ref="E22:F22" si="1">0.7*(1/(0.7/2.11+0.3/1))/1000</f>
        <v>0.001108027007</v>
      </c>
      <c r="F22" s="210">
        <f t="shared" si="1"/>
        <v>0.001108027007</v>
      </c>
      <c r="G22" s="5"/>
      <c r="H22" s="5"/>
      <c r="I22" s="20"/>
      <c r="J22" s="20"/>
      <c r="K22" s="20"/>
      <c r="L22" s="20"/>
      <c r="M22" s="20"/>
      <c r="N22" s="20"/>
      <c r="O22" s="20"/>
      <c r="P22" s="20"/>
      <c r="Q22" s="20"/>
      <c r="R22" s="20"/>
      <c r="S22" s="20"/>
      <c r="T22" s="20"/>
      <c r="U22" s="20"/>
      <c r="V22" s="20"/>
      <c r="W22" s="20"/>
      <c r="X22" s="20"/>
      <c r="Y22" s="20"/>
    </row>
    <row r="23">
      <c r="A23" s="5" t="s">
        <v>341</v>
      </c>
      <c r="B23" s="5" t="s">
        <v>342</v>
      </c>
      <c r="C23" s="5" t="s">
        <v>706</v>
      </c>
      <c r="D23" s="11" t="s">
        <v>784</v>
      </c>
      <c r="E23" s="11" t="s">
        <v>812</v>
      </c>
      <c r="F23" s="11" t="s">
        <v>812</v>
      </c>
      <c r="G23" s="5"/>
      <c r="H23" s="5"/>
      <c r="I23" s="20"/>
      <c r="J23" s="20"/>
      <c r="K23" s="20"/>
      <c r="L23" s="20"/>
      <c r="M23" s="20"/>
      <c r="N23" s="20"/>
      <c r="O23" s="20"/>
      <c r="P23" s="20"/>
      <c r="Q23" s="20"/>
      <c r="R23" s="20"/>
      <c r="S23" s="20"/>
      <c r="T23" s="20"/>
      <c r="U23" s="20"/>
      <c r="V23" s="20"/>
      <c r="W23" s="20"/>
      <c r="X23" s="20"/>
      <c r="Y23" s="20"/>
    </row>
    <row r="24">
      <c r="A24" s="102" t="s">
        <v>343</v>
      </c>
      <c r="B24" s="102" t="s">
        <v>344</v>
      </c>
      <c r="C24" s="102" t="b">
        <v>1</v>
      </c>
      <c r="D24" s="102" t="b">
        <v>1</v>
      </c>
      <c r="E24" s="102" t="b">
        <v>1</v>
      </c>
      <c r="F24" s="102" t="b">
        <v>1</v>
      </c>
      <c r="G24" s="102"/>
      <c r="H24" s="102"/>
      <c r="I24" s="104"/>
      <c r="J24" s="104"/>
      <c r="K24" s="104"/>
      <c r="L24" s="104"/>
      <c r="M24" s="104"/>
      <c r="N24" s="104"/>
      <c r="O24" s="104"/>
      <c r="P24" s="104"/>
      <c r="Q24" s="104"/>
      <c r="R24" s="104"/>
      <c r="S24" s="104"/>
      <c r="T24" s="104"/>
    </row>
    <row r="25">
      <c r="A25" s="109" t="s">
        <v>345</v>
      </c>
      <c r="B25" s="109" t="s">
        <v>346</v>
      </c>
      <c r="C25" s="109" t="s">
        <v>536</v>
      </c>
      <c r="D25" s="109" t="s">
        <v>630</v>
      </c>
      <c r="E25" s="109" t="s">
        <v>644</v>
      </c>
      <c r="F25" s="109"/>
      <c r="G25" s="109"/>
      <c r="H25" s="109"/>
      <c r="I25" s="111"/>
      <c r="J25" s="111"/>
      <c r="K25" s="111"/>
      <c r="L25" s="111"/>
      <c r="M25" s="111"/>
      <c r="N25" s="111"/>
      <c r="O25" s="111"/>
      <c r="P25" s="111"/>
      <c r="Q25" s="111"/>
      <c r="R25" s="111"/>
      <c r="S25" s="111"/>
      <c r="T25" s="111"/>
    </row>
    <row r="26">
      <c r="A26" s="5" t="s">
        <v>347</v>
      </c>
      <c r="B26" s="5" t="s">
        <v>348</v>
      </c>
      <c r="C26" s="5" t="s">
        <v>798</v>
      </c>
      <c r="D26" s="5" t="s">
        <v>637</v>
      </c>
      <c r="E26" s="5" t="s">
        <v>799</v>
      </c>
      <c r="F26" s="20"/>
      <c r="G26" s="5"/>
      <c r="H26" s="20"/>
      <c r="I26" s="20"/>
      <c r="J26" s="20"/>
      <c r="K26" s="20"/>
      <c r="L26" s="20"/>
      <c r="M26" s="20"/>
      <c r="N26" s="20"/>
      <c r="O26" s="20"/>
      <c r="P26" s="20"/>
      <c r="Q26" s="20"/>
      <c r="R26" s="20"/>
      <c r="S26" s="20"/>
      <c r="T26" s="20"/>
    </row>
    <row r="27">
      <c r="A27" s="5" t="s">
        <v>349</v>
      </c>
      <c r="B27" s="20"/>
      <c r="C27" s="5" t="s">
        <v>313</v>
      </c>
      <c r="D27" s="154" t="s">
        <v>521</v>
      </c>
      <c r="E27" s="5" t="s">
        <v>777</v>
      </c>
      <c r="F27" s="20"/>
      <c r="G27" s="5"/>
      <c r="H27" s="20"/>
      <c r="I27" s="20"/>
      <c r="J27" s="20"/>
      <c r="K27" s="20"/>
      <c r="L27" s="20"/>
      <c r="M27" s="20"/>
      <c r="N27" s="20"/>
      <c r="O27" s="20"/>
      <c r="P27" s="20"/>
      <c r="Q27" s="20"/>
      <c r="R27" s="20"/>
      <c r="S27" s="20"/>
      <c r="T27" s="20"/>
    </row>
    <row r="28">
      <c r="A28" s="5" t="s">
        <v>350</v>
      </c>
      <c r="B28" s="5" t="s">
        <v>351</v>
      </c>
      <c r="C28" s="71">
        <v>16.55</v>
      </c>
      <c r="D28" s="199">
        <v>0.005</v>
      </c>
      <c r="E28" s="71">
        <v>0.1</v>
      </c>
      <c r="F28" s="20"/>
      <c r="G28" s="5"/>
      <c r="H28" s="20"/>
      <c r="I28" s="20"/>
      <c r="J28" s="20"/>
      <c r="K28" s="20"/>
      <c r="L28" s="20"/>
      <c r="M28" s="20"/>
      <c r="N28" s="20"/>
      <c r="O28" s="20"/>
      <c r="P28" s="20"/>
      <c r="Q28" s="20"/>
      <c r="R28" s="20"/>
      <c r="S28" s="20"/>
      <c r="T28" s="20"/>
    </row>
    <row r="29">
      <c r="A29" s="5" t="s">
        <v>352</v>
      </c>
      <c r="B29" s="5" t="s">
        <v>353</v>
      </c>
      <c r="C29" s="5">
        <v>0.0</v>
      </c>
      <c r="D29" s="5">
        <v>0.0</v>
      </c>
      <c r="E29" s="5">
        <v>0.0</v>
      </c>
      <c r="F29" s="20"/>
      <c r="G29" s="5"/>
      <c r="H29" s="20"/>
      <c r="I29" s="20"/>
      <c r="J29" s="20"/>
      <c r="K29" s="20"/>
      <c r="L29" s="20"/>
      <c r="M29" s="20"/>
      <c r="N29" s="20"/>
      <c r="O29" s="20"/>
      <c r="P29" s="20"/>
      <c r="Q29" s="20"/>
      <c r="R29" s="20"/>
      <c r="S29" s="20"/>
      <c r="T29" s="20"/>
    </row>
    <row r="30">
      <c r="A30" s="5" t="s">
        <v>354</v>
      </c>
      <c r="B30" s="20"/>
      <c r="C30" s="5" t="s">
        <v>800</v>
      </c>
      <c r="D30" s="134" t="s">
        <v>639</v>
      </c>
      <c r="E30" s="5" t="s">
        <v>801</v>
      </c>
      <c r="F30" s="20"/>
      <c r="G30" s="5"/>
      <c r="H30" s="20"/>
      <c r="I30" s="20"/>
      <c r="J30" s="20"/>
      <c r="K30" s="20"/>
      <c r="L30" s="20"/>
      <c r="M30" s="20"/>
      <c r="N30" s="20"/>
      <c r="O30" s="20"/>
      <c r="P30" s="20"/>
      <c r="Q30" s="20"/>
      <c r="R30" s="20"/>
      <c r="S30" s="20"/>
      <c r="T30" s="20"/>
    </row>
    <row r="31">
      <c r="A31" s="5" t="s">
        <v>355</v>
      </c>
      <c r="B31" s="5" t="s">
        <v>346</v>
      </c>
      <c r="C31" s="20"/>
      <c r="D31" s="20"/>
      <c r="E31" s="20"/>
      <c r="F31" s="20"/>
      <c r="H31" s="20"/>
      <c r="I31" s="20"/>
      <c r="J31" s="20"/>
      <c r="K31" s="20"/>
      <c r="L31" s="20"/>
      <c r="M31" s="20"/>
      <c r="N31" s="20"/>
      <c r="O31" s="20"/>
      <c r="P31" s="20"/>
      <c r="Q31" s="20"/>
      <c r="R31" s="20"/>
      <c r="S31" s="20"/>
      <c r="T31" s="20"/>
    </row>
    <row r="32">
      <c r="A32" s="5" t="s">
        <v>356</v>
      </c>
      <c r="B32" s="5" t="s">
        <v>348</v>
      </c>
      <c r="C32" s="20"/>
      <c r="D32" s="20"/>
      <c r="E32" s="20"/>
      <c r="F32" s="20"/>
      <c r="H32" s="20"/>
      <c r="I32" s="20"/>
      <c r="J32" s="20"/>
      <c r="K32" s="20"/>
      <c r="L32" s="20"/>
      <c r="M32" s="20"/>
      <c r="N32" s="20"/>
      <c r="O32" s="20"/>
      <c r="P32" s="20"/>
      <c r="Q32" s="20"/>
      <c r="R32" s="20"/>
      <c r="S32" s="20"/>
      <c r="T32" s="20"/>
    </row>
    <row r="33">
      <c r="A33" s="5" t="s">
        <v>357</v>
      </c>
      <c r="B33" s="20"/>
      <c r="C33" s="20"/>
      <c r="D33" s="20"/>
      <c r="E33" s="20"/>
      <c r="F33" s="20"/>
      <c r="H33" s="20"/>
      <c r="I33" s="20"/>
      <c r="J33" s="20"/>
      <c r="K33" s="20"/>
      <c r="L33" s="20"/>
      <c r="M33" s="20"/>
      <c r="N33" s="20"/>
      <c r="O33" s="20"/>
      <c r="P33" s="20"/>
      <c r="Q33" s="20"/>
      <c r="R33" s="20"/>
      <c r="S33" s="20"/>
      <c r="T33" s="20"/>
    </row>
    <row r="34">
      <c r="A34" s="5" t="s">
        <v>358</v>
      </c>
      <c r="B34" s="5" t="s">
        <v>351</v>
      </c>
      <c r="C34" s="20"/>
      <c r="D34" s="20"/>
      <c r="E34" s="20"/>
      <c r="F34" s="20"/>
      <c r="H34" s="20"/>
      <c r="I34" s="20"/>
      <c r="J34" s="20"/>
      <c r="K34" s="20"/>
      <c r="L34" s="20"/>
      <c r="M34" s="20"/>
      <c r="N34" s="20"/>
      <c r="O34" s="20"/>
      <c r="P34" s="20"/>
      <c r="Q34" s="20"/>
      <c r="R34" s="20"/>
      <c r="S34" s="20"/>
      <c r="T34" s="20"/>
    </row>
    <row r="35">
      <c r="A35" s="5" t="s">
        <v>359</v>
      </c>
      <c r="B35" s="5" t="s">
        <v>353</v>
      </c>
      <c r="C35" s="20"/>
      <c r="D35" s="20"/>
      <c r="E35" s="20"/>
      <c r="F35" s="20"/>
      <c r="G35" s="20"/>
      <c r="H35" s="20"/>
      <c r="I35" s="20"/>
      <c r="J35" s="20"/>
      <c r="K35" s="20"/>
      <c r="L35" s="20"/>
      <c r="M35" s="20"/>
      <c r="N35" s="20"/>
      <c r="O35" s="20"/>
      <c r="P35" s="20"/>
      <c r="Q35" s="20"/>
      <c r="R35" s="20"/>
      <c r="S35" s="20"/>
      <c r="T35" s="20"/>
    </row>
    <row r="36">
      <c r="A36" s="5" t="s">
        <v>360</v>
      </c>
      <c r="B36" s="20"/>
      <c r="C36" s="20"/>
      <c r="D36" s="20"/>
      <c r="E36" s="20"/>
      <c r="F36" s="20"/>
      <c r="G36" s="20"/>
      <c r="H36" s="20"/>
      <c r="I36" s="20"/>
      <c r="J36" s="20"/>
      <c r="K36" s="20"/>
      <c r="L36" s="20"/>
      <c r="M36" s="20"/>
      <c r="N36" s="20"/>
      <c r="O36" s="20"/>
      <c r="P36" s="20"/>
      <c r="Q36" s="20"/>
      <c r="R36" s="20"/>
      <c r="S36" s="20"/>
      <c r="T36" s="20"/>
    </row>
    <row r="37">
      <c r="A37" s="5" t="s">
        <v>361</v>
      </c>
      <c r="B37" s="5" t="s">
        <v>346</v>
      </c>
      <c r="C37" s="20"/>
      <c r="D37" s="20"/>
      <c r="E37" s="20"/>
      <c r="F37" s="20"/>
      <c r="I37" s="20"/>
      <c r="J37" s="20"/>
      <c r="K37" s="20"/>
      <c r="L37" s="20"/>
      <c r="M37" s="20"/>
      <c r="N37" s="20"/>
      <c r="O37" s="20"/>
      <c r="P37" s="20"/>
      <c r="Q37" s="20"/>
      <c r="R37" s="20"/>
      <c r="S37" s="20"/>
      <c r="T37" s="20"/>
    </row>
    <row r="38">
      <c r="A38" s="5" t="s">
        <v>362</v>
      </c>
      <c r="B38" s="5" t="s">
        <v>348</v>
      </c>
      <c r="C38" s="20"/>
      <c r="D38" s="20"/>
      <c r="E38" s="20"/>
      <c r="F38" s="20"/>
      <c r="I38" s="20"/>
      <c r="J38" s="20"/>
      <c r="K38" s="20"/>
      <c r="L38" s="20"/>
      <c r="M38" s="20"/>
      <c r="N38" s="20"/>
      <c r="O38" s="20"/>
      <c r="P38" s="20"/>
      <c r="Q38" s="20"/>
      <c r="R38" s="20"/>
      <c r="S38" s="20"/>
      <c r="T38" s="20"/>
    </row>
    <row r="39">
      <c r="A39" s="5" t="s">
        <v>363</v>
      </c>
      <c r="B39" s="20"/>
      <c r="C39" s="20"/>
      <c r="D39" s="20"/>
      <c r="E39" s="20"/>
      <c r="F39" s="20"/>
      <c r="I39" s="20"/>
      <c r="J39" s="20"/>
      <c r="K39" s="20"/>
      <c r="L39" s="20"/>
      <c r="M39" s="20"/>
      <c r="N39" s="20"/>
      <c r="O39" s="20"/>
      <c r="P39" s="20"/>
      <c r="Q39" s="20"/>
      <c r="R39" s="20"/>
      <c r="S39" s="20"/>
      <c r="T39" s="20"/>
    </row>
    <row r="40">
      <c r="A40" s="5" t="s">
        <v>364</v>
      </c>
      <c r="B40" s="5" t="s">
        <v>351</v>
      </c>
      <c r="C40" s="20"/>
      <c r="D40" s="20"/>
      <c r="E40" s="20"/>
      <c r="F40" s="20"/>
      <c r="I40" s="20"/>
      <c r="J40" s="20"/>
      <c r="K40" s="20"/>
      <c r="L40" s="20"/>
      <c r="M40" s="20"/>
      <c r="N40" s="20"/>
      <c r="O40" s="20"/>
      <c r="P40" s="20"/>
      <c r="Q40" s="20"/>
      <c r="R40" s="20"/>
      <c r="S40" s="20"/>
      <c r="T40" s="20"/>
    </row>
    <row r="41">
      <c r="A41" s="5" t="s">
        <v>365</v>
      </c>
      <c r="B41" s="5" t="s">
        <v>353</v>
      </c>
      <c r="C41" s="20"/>
      <c r="D41" s="20"/>
      <c r="E41" s="20"/>
      <c r="F41" s="20"/>
      <c r="I41" s="20"/>
      <c r="J41" s="20"/>
      <c r="K41" s="20"/>
      <c r="L41" s="20"/>
      <c r="M41" s="20"/>
      <c r="N41" s="20"/>
      <c r="O41" s="20"/>
      <c r="P41" s="20"/>
      <c r="Q41" s="20"/>
      <c r="R41" s="20"/>
      <c r="S41" s="20"/>
      <c r="T41" s="20"/>
    </row>
    <row r="42">
      <c r="A42" s="102" t="s">
        <v>366</v>
      </c>
      <c r="B42" s="102"/>
      <c r="C42" s="102"/>
      <c r="D42" s="102"/>
      <c r="E42" s="102"/>
      <c r="F42" s="102"/>
      <c r="G42" s="102"/>
      <c r="H42" s="102"/>
      <c r="I42" s="104"/>
      <c r="J42" s="104"/>
      <c r="K42" s="104"/>
      <c r="L42" s="104"/>
      <c r="M42" s="104"/>
      <c r="N42" s="104"/>
      <c r="O42" s="104"/>
      <c r="P42" s="104"/>
      <c r="Q42" s="104"/>
      <c r="R42" s="104"/>
      <c r="S42" s="104"/>
      <c r="T42" s="104"/>
    </row>
    <row r="43">
      <c r="A43" s="109" t="s">
        <v>367</v>
      </c>
      <c r="B43" s="109" t="s">
        <v>368</v>
      </c>
      <c r="C43" s="109" t="s">
        <v>793</v>
      </c>
      <c r="D43" s="109" t="s">
        <v>787</v>
      </c>
      <c r="E43" s="109" t="s">
        <v>788</v>
      </c>
      <c r="F43" s="109" t="s">
        <v>789</v>
      </c>
      <c r="G43" s="109"/>
      <c r="H43" s="109"/>
      <c r="I43" s="111"/>
      <c r="J43" s="111"/>
      <c r="K43" s="111"/>
      <c r="L43" s="111"/>
      <c r="M43" s="111"/>
      <c r="N43" s="111"/>
      <c r="O43" s="111"/>
      <c r="P43" s="111"/>
      <c r="Q43" s="111"/>
      <c r="R43" s="111"/>
      <c r="S43" s="111"/>
      <c r="T43" s="111"/>
    </row>
    <row r="44">
      <c r="A44" s="5" t="s">
        <v>370</v>
      </c>
      <c r="B44" s="5" t="s">
        <v>371</v>
      </c>
      <c r="C44" s="5" t="s">
        <v>755</v>
      </c>
      <c r="D44" s="5" t="s">
        <v>756</v>
      </c>
      <c r="E44" s="5" t="s">
        <v>757</v>
      </c>
      <c r="F44" s="5" t="s">
        <v>372</v>
      </c>
      <c r="G44" s="5"/>
      <c r="H44" s="5"/>
      <c r="I44" s="20"/>
      <c r="J44" s="20"/>
      <c r="K44" s="20"/>
      <c r="L44" s="20"/>
      <c r="M44" s="20"/>
      <c r="N44" s="20"/>
      <c r="O44" s="20"/>
      <c r="P44" s="20"/>
      <c r="Q44" s="20"/>
      <c r="R44" s="20"/>
      <c r="S44" s="20"/>
      <c r="T44" s="20"/>
    </row>
    <row r="45">
      <c r="A45" s="5" t="s">
        <v>373</v>
      </c>
      <c r="B45" s="11" t="s">
        <v>374</v>
      </c>
      <c r="C45" s="191">
        <v>0.8</v>
      </c>
      <c r="D45" s="189">
        <v>0.99</v>
      </c>
      <c r="E45" s="189">
        <v>0.99</v>
      </c>
      <c r="F45" s="189">
        <v>1.0</v>
      </c>
      <c r="G45" s="5"/>
      <c r="H45" s="5"/>
      <c r="I45" s="5"/>
      <c r="J45" s="20"/>
      <c r="K45" s="20"/>
      <c r="L45" s="20"/>
      <c r="M45" s="20"/>
      <c r="N45" s="20"/>
      <c r="O45" s="20"/>
      <c r="P45" s="20"/>
      <c r="Q45" s="20"/>
      <c r="R45" s="20"/>
      <c r="S45" s="20"/>
      <c r="T45" s="20"/>
    </row>
    <row r="46">
      <c r="A46" s="154" t="s">
        <v>375</v>
      </c>
      <c r="B46" s="11" t="s">
        <v>376</v>
      </c>
      <c r="C46" s="208">
        <f>1/1000</f>
        <v>0.001</v>
      </c>
      <c r="D46" s="209">
        <f>0.2 * (1/(0.2/2.11 + 0.8/1)) / (0.7 * 1/(0.7/2.11+0.3/1))</f>
        <v>0.2017251816</v>
      </c>
      <c r="E46" s="71">
        <v>1.0</v>
      </c>
      <c r="F46" s="71">
        <v>0.7028</v>
      </c>
      <c r="G46" s="162"/>
      <c r="H46" s="162"/>
      <c r="I46" s="162"/>
      <c r="J46" s="163"/>
      <c r="K46" s="163"/>
      <c r="L46" s="163"/>
      <c r="M46" s="163"/>
      <c r="N46" s="163"/>
      <c r="O46" s="163"/>
      <c r="P46" s="163"/>
      <c r="Q46" s="163"/>
      <c r="R46" s="163"/>
      <c r="S46" s="163"/>
      <c r="T46" s="163"/>
    </row>
    <row r="47">
      <c r="A47" s="5" t="s">
        <v>377</v>
      </c>
      <c r="B47" s="5" t="s">
        <v>378</v>
      </c>
      <c r="C47" s="5" t="s">
        <v>794</v>
      </c>
      <c r="D47" s="5" t="s">
        <v>790</v>
      </c>
      <c r="E47" s="5" t="s">
        <v>791</v>
      </c>
      <c r="F47" s="5" t="s">
        <v>792</v>
      </c>
      <c r="L47" s="20"/>
      <c r="M47" s="20"/>
      <c r="N47" s="20"/>
      <c r="O47" s="20"/>
      <c r="P47" s="20"/>
      <c r="Q47" s="20"/>
      <c r="R47" s="20"/>
      <c r="S47" s="20"/>
      <c r="T47" s="20"/>
    </row>
    <row r="48">
      <c r="A48" s="5" t="s">
        <v>380</v>
      </c>
      <c r="B48" s="20"/>
      <c r="C48" s="5" t="s">
        <v>313</v>
      </c>
      <c r="D48" s="5" t="s">
        <v>313</v>
      </c>
      <c r="E48" s="5" t="s">
        <v>313</v>
      </c>
      <c r="F48" s="5" t="s">
        <v>313</v>
      </c>
      <c r="G48" s="5"/>
      <c r="H48" s="5"/>
      <c r="I48" s="5"/>
      <c r="J48" s="20"/>
      <c r="K48" s="20"/>
      <c r="L48" s="20"/>
      <c r="M48" s="20"/>
      <c r="N48" s="20"/>
      <c r="O48" s="20"/>
      <c r="P48" s="20"/>
      <c r="Q48" s="20"/>
      <c r="R48" s="20"/>
      <c r="S48" s="20"/>
      <c r="T48" s="20"/>
      <c r="U48" s="163"/>
      <c r="V48" s="163"/>
      <c r="W48" s="163"/>
      <c r="X48" s="163"/>
      <c r="Y48" s="163"/>
      <c r="Z48" s="163"/>
    </row>
    <row r="49">
      <c r="A49" s="5" t="s">
        <v>382</v>
      </c>
      <c r="B49" s="20"/>
      <c r="C49" s="5">
        <v>187871.0</v>
      </c>
      <c r="D49" s="5">
        <v>187871.0</v>
      </c>
      <c r="E49" s="5">
        <v>187871.0</v>
      </c>
      <c r="F49" s="5">
        <v>187871.0</v>
      </c>
      <c r="G49" s="5"/>
      <c r="H49" s="5"/>
      <c r="I49" s="5"/>
      <c r="J49" s="20"/>
      <c r="K49" s="20"/>
      <c r="L49" s="20"/>
      <c r="M49" s="20"/>
      <c r="N49" s="20"/>
      <c r="O49" s="20"/>
      <c r="P49" s="20"/>
      <c r="Q49" s="20"/>
      <c r="R49" s="20"/>
      <c r="S49" s="20"/>
      <c r="T49" s="20"/>
    </row>
    <row r="50">
      <c r="A50" s="154" t="s">
        <v>383</v>
      </c>
      <c r="B50" s="10"/>
      <c r="C50" s="11" t="s">
        <v>797</v>
      </c>
      <c r="D50" s="11" t="s">
        <v>797</v>
      </c>
      <c r="E50" s="11" t="s">
        <v>797</v>
      </c>
      <c r="F50" s="11" t="s">
        <v>797</v>
      </c>
      <c r="G50" s="162"/>
      <c r="H50" s="162"/>
      <c r="I50" s="162"/>
      <c r="J50" s="163"/>
      <c r="K50" s="163"/>
      <c r="L50" s="163"/>
      <c r="M50" s="163"/>
      <c r="N50" s="163"/>
      <c r="O50" s="163"/>
      <c r="P50" s="163"/>
      <c r="Q50" s="163"/>
      <c r="R50" s="163"/>
      <c r="S50" s="163"/>
      <c r="T50" s="163"/>
    </row>
    <row r="51">
      <c r="A51" s="5" t="s">
        <v>385</v>
      </c>
      <c r="B51" s="5" t="s">
        <v>340</v>
      </c>
      <c r="C51" s="204">
        <f>0.2*(1/(0.2/2.11+0.8/1))/1000</f>
        <v>0.0002235169492</v>
      </c>
      <c r="D51" s="204">
        <f t="shared" ref="D51:E51" si="2">0.7*(1/(0.7/2.11+0.3/1))/1000</f>
        <v>0.001108027007</v>
      </c>
      <c r="E51" s="204">
        <f t="shared" si="2"/>
        <v>0.001108027007</v>
      </c>
      <c r="F51" s="213">
        <v>0.001</v>
      </c>
      <c r="G51" s="5"/>
      <c r="H51" s="5"/>
      <c r="I51" s="20"/>
      <c r="J51" s="20"/>
      <c r="K51" s="20"/>
      <c r="L51" s="20"/>
      <c r="M51" s="20"/>
      <c r="N51" s="20"/>
      <c r="O51" s="20"/>
      <c r="P51" s="20"/>
      <c r="Q51" s="20"/>
      <c r="R51" s="20"/>
      <c r="S51" s="20"/>
      <c r="T51" s="20"/>
      <c r="U51" s="20"/>
      <c r="V51" s="20"/>
      <c r="W51" s="20"/>
      <c r="X51" s="20"/>
      <c r="Y51" s="20"/>
    </row>
    <row r="52">
      <c r="A52" s="5" t="s">
        <v>386</v>
      </c>
      <c r="B52" s="5" t="s">
        <v>342</v>
      </c>
      <c r="C52" s="11" t="s">
        <v>784</v>
      </c>
      <c r="D52" s="11" t="s">
        <v>784</v>
      </c>
      <c r="E52" s="11" t="s">
        <v>784</v>
      </c>
      <c r="F52" s="11" t="s">
        <v>814</v>
      </c>
      <c r="G52" s="5"/>
      <c r="H52" s="5"/>
      <c r="I52" s="20"/>
      <c r="J52" s="20"/>
      <c r="K52" s="20"/>
      <c r="L52" s="20"/>
      <c r="M52" s="20"/>
      <c r="N52" s="20"/>
      <c r="O52" s="20"/>
      <c r="P52" s="20"/>
      <c r="Q52" s="20"/>
      <c r="R52" s="20"/>
      <c r="S52" s="20"/>
      <c r="T52" s="20"/>
      <c r="U52" s="20"/>
      <c r="V52" s="20"/>
      <c r="W52" s="20"/>
      <c r="X52" s="20"/>
      <c r="Y52" s="20"/>
    </row>
    <row r="53">
      <c r="A53" s="102" t="s">
        <v>387</v>
      </c>
      <c r="B53" s="102" t="s">
        <v>388</v>
      </c>
      <c r="C53" s="102" t="b">
        <v>0</v>
      </c>
      <c r="D53" s="102" t="b">
        <v>1</v>
      </c>
      <c r="E53" s="102" t="b">
        <v>1</v>
      </c>
      <c r="F53" s="102" t="b">
        <v>0</v>
      </c>
      <c r="G53" s="102"/>
      <c r="H53" s="102"/>
      <c r="I53" s="104"/>
      <c r="J53" s="104"/>
      <c r="K53" s="104"/>
      <c r="L53" s="104"/>
      <c r="M53" s="104"/>
      <c r="N53" s="104"/>
      <c r="O53" s="104"/>
      <c r="P53" s="104"/>
      <c r="Q53" s="104"/>
      <c r="R53" s="104"/>
      <c r="S53" s="104"/>
      <c r="T53" s="104"/>
    </row>
    <row r="54">
      <c r="A54" s="109" t="s">
        <v>389</v>
      </c>
      <c r="B54" s="109"/>
      <c r="C54" s="109"/>
      <c r="D54" s="109" t="s">
        <v>802</v>
      </c>
      <c r="E54" s="109" t="s">
        <v>479</v>
      </c>
      <c r="F54" s="109" t="s">
        <v>803</v>
      </c>
      <c r="G54" s="109"/>
      <c r="H54" s="109"/>
      <c r="I54" s="111"/>
      <c r="J54" s="111"/>
      <c r="K54" s="111"/>
      <c r="L54" s="111"/>
      <c r="M54" s="111"/>
      <c r="N54" s="111"/>
      <c r="O54" s="111"/>
      <c r="P54" s="111"/>
      <c r="Q54" s="111"/>
      <c r="R54" s="111"/>
      <c r="S54" s="111"/>
      <c r="T54" s="111"/>
    </row>
    <row r="55">
      <c r="A55" s="5" t="s">
        <v>390</v>
      </c>
      <c r="B55" s="20"/>
      <c r="C55" s="5"/>
      <c r="D55" s="5" t="s">
        <v>496</v>
      </c>
      <c r="E55" s="5" t="s">
        <v>496</v>
      </c>
      <c r="F55" s="5" t="s">
        <v>804</v>
      </c>
      <c r="G55" s="5"/>
      <c r="H55" s="5"/>
      <c r="I55" s="5"/>
      <c r="J55" s="20"/>
      <c r="K55" s="20"/>
      <c r="L55" s="20"/>
      <c r="M55" s="20"/>
      <c r="N55" s="20"/>
      <c r="O55" s="20"/>
      <c r="P55" s="20"/>
      <c r="Q55" s="20"/>
      <c r="R55" s="20"/>
      <c r="S55" s="20"/>
      <c r="T55" s="20"/>
    </row>
    <row r="56">
      <c r="A56" s="5" t="s">
        <v>392</v>
      </c>
      <c r="B56" s="20"/>
      <c r="C56" s="5"/>
      <c r="D56" s="71">
        <v>0.8</v>
      </c>
      <c r="E56" s="71">
        <v>0.1</v>
      </c>
      <c r="F56" s="71">
        <v>0.2972</v>
      </c>
      <c r="G56" s="5"/>
      <c r="H56" s="5"/>
      <c r="I56" s="5"/>
      <c r="J56" s="20"/>
      <c r="K56" s="20"/>
      <c r="L56" s="20"/>
      <c r="M56" s="20"/>
      <c r="N56" s="20"/>
      <c r="O56" s="20"/>
      <c r="P56" s="20"/>
      <c r="Q56" s="20"/>
      <c r="R56" s="20"/>
      <c r="S56" s="20"/>
      <c r="T56" s="20"/>
    </row>
    <row r="57">
      <c r="A57" s="5" t="s">
        <v>393</v>
      </c>
      <c r="B57" s="20"/>
      <c r="C57" s="5"/>
      <c r="D57" s="5"/>
      <c r="E57" s="5"/>
      <c r="F57" s="5"/>
      <c r="G57" s="5"/>
      <c r="H57" s="5"/>
      <c r="I57" s="5"/>
      <c r="J57" s="20"/>
      <c r="K57" s="20"/>
      <c r="L57" s="20"/>
      <c r="M57" s="20"/>
      <c r="N57" s="20"/>
      <c r="O57" s="20"/>
      <c r="P57" s="20"/>
      <c r="Q57" s="20"/>
      <c r="R57" s="20"/>
      <c r="S57" s="20"/>
      <c r="T57" s="20"/>
    </row>
    <row r="58">
      <c r="A58" s="5" t="s">
        <v>394</v>
      </c>
      <c r="B58" s="20"/>
      <c r="C58" s="5"/>
      <c r="D58" s="5" t="s">
        <v>805</v>
      </c>
      <c r="E58" s="5" t="s">
        <v>806</v>
      </c>
      <c r="F58" s="5" t="s">
        <v>807</v>
      </c>
      <c r="G58" s="5"/>
      <c r="H58" s="5"/>
      <c r="I58" s="20"/>
      <c r="J58" s="20"/>
      <c r="K58" s="20"/>
      <c r="L58" s="20"/>
      <c r="M58" s="20"/>
      <c r="N58" s="20"/>
      <c r="O58" s="20"/>
      <c r="P58" s="20"/>
      <c r="Q58" s="20"/>
      <c r="R58" s="20"/>
      <c r="S58" s="20"/>
      <c r="T58" s="20"/>
    </row>
    <row r="59">
      <c r="A59" s="5" t="s">
        <v>395</v>
      </c>
      <c r="B59" s="20"/>
      <c r="C59" s="5"/>
      <c r="D59" s="5">
        <v>1.0</v>
      </c>
      <c r="E59" s="5">
        <v>1.0</v>
      </c>
      <c r="F59" s="5">
        <v>1.0</v>
      </c>
      <c r="G59" s="20"/>
      <c r="H59" s="20"/>
      <c r="I59" s="20"/>
      <c r="J59" s="20"/>
      <c r="K59" s="20"/>
      <c r="L59" s="20"/>
      <c r="M59" s="20"/>
      <c r="N59" s="20"/>
      <c r="O59" s="20"/>
      <c r="P59" s="20"/>
      <c r="Q59" s="20"/>
      <c r="R59" s="20"/>
      <c r="S59" s="20"/>
      <c r="T59" s="20"/>
    </row>
    <row r="60">
      <c r="A60" s="5" t="s">
        <v>396</v>
      </c>
      <c r="B60" s="20"/>
      <c r="C60" s="20"/>
      <c r="D60" s="20"/>
      <c r="E60" s="20"/>
      <c r="F60" s="20"/>
      <c r="G60" s="20"/>
      <c r="H60" s="20"/>
      <c r="I60" s="20"/>
      <c r="J60" s="20"/>
      <c r="K60" s="20"/>
      <c r="L60" s="20"/>
      <c r="M60" s="20"/>
      <c r="N60" s="20"/>
      <c r="O60" s="20"/>
      <c r="P60" s="20"/>
      <c r="Q60" s="20"/>
      <c r="R60" s="20"/>
      <c r="S60" s="20"/>
      <c r="T60" s="20"/>
    </row>
    <row r="61">
      <c r="A61" s="5" t="s">
        <v>397</v>
      </c>
      <c r="B61" s="20"/>
      <c r="C61" s="20"/>
      <c r="D61" s="20"/>
      <c r="E61" s="20"/>
      <c r="F61" s="20"/>
      <c r="G61" s="20"/>
      <c r="H61" s="20"/>
      <c r="I61" s="20"/>
      <c r="J61" s="20"/>
      <c r="K61" s="20"/>
      <c r="L61" s="20"/>
      <c r="M61" s="20"/>
      <c r="N61" s="20"/>
      <c r="O61" s="20"/>
      <c r="P61" s="20"/>
      <c r="Q61" s="20"/>
      <c r="R61" s="20"/>
      <c r="S61" s="20"/>
      <c r="T61" s="20"/>
    </row>
    <row r="62">
      <c r="A62" s="5" t="s">
        <v>398</v>
      </c>
      <c r="B62" s="20"/>
      <c r="C62" s="20"/>
      <c r="D62" s="20"/>
      <c r="E62" s="20"/>
      <c r="F62" s="20"/>
      <c r="G62" s="20"/>
      <c r="H62" s="20"/>
      <c r="I62" s="20"/>
      <c r="J62" s="20"/>
      <c r="K62" s="20"/>
      <c r="L62" s="20"/>
      <c r="M62" s="20"/>
      <c r="N62" s="20"/>
      <c r="O62" s="20"/>
      <c r="P62" s="20"/>
      <c r="Q62" s="20"/>
      <c r="R62" s="20"/>
      <c r="S62" s="20"/>
      <c r="T62" s="20"/>
    </row>
    <row r="63">
      <c r="A63" s="5" t="s">
        <v>399</v>
      </c>
      <c r="B63" s="20"/>
      <c r="C63" s="20"/>
      <c r="D63" s="20"/>
      <c r="E63" s="20"/>
      <c r="F63" s="20"/>
      <c r="G63" s="20"/>
      <c r="H63" s="20"/>
      <c r="I63" s="20"/>
      <c r="J63" s="20"/>
      <c r="K63" s="20"/>
      <c r="L63" s="20"/>
      <c r="M63" s="20"/>
      <c r="N63" s="20"/>
      <c r="O63" s="20"/>
      <c r="P63" s="20"/>
      <c r="Q63" s="20"/>
      <c r="R63" s="20"/>
      <c r="S63" s="20"/>
      <c r="T63" s="20"/>
    </row>
    <row r="64">
      <c r="A64" s="5" t="s">
        <v>400</v>
      </c>
      <c r="B64" s="20"/>
      <c r="C64" s="20"/>
      <c r="D64" s="20"/>
      <c r="E64" s="20"/>
      <c r="F64" s="20"/>
      <c r="G64" s="20"/>
      <c r="H64" s="20"/>
      <c r="I64" s="20"/>
      <c r="J64" s="20"/>
      <c r="K64" s="20"/>
      <c r="L64" s="20"/>
      <c r="M64" s="20"/>
      <c r="N64" s="20"/>
      <c r="O64" s="20"/>
      <c r="P64" s="20"/>
      <c r="Q64" s="20"/>
      <c r="R64" s="20"/>
      <c r="S64" s="20"/>
      <c r="T64" s="20"/>
    </row>
    <row r="65">
      <c r="A65" s="5" t="s">
        <v>401</v>
      </c>
      <c r="B65" s="20"/>
      <c r="C65" s="20"/>
      <c r="D65" s="20"/>
      <c r="E65" s="20"/>
      <c r="F65" s="20"/>
      <c r="G65" s="20"/>
      <c r="H65" s="20"/>
      <c r="I65" s="20"/>
      <c r="J65" s="20"/>
      <c r="K65" s="20"/>
      <c r="L65" s="20"/>
      <c r="M65" s="20"/>
      <c r="N65" s="20"/>
      <c r="O65" s="20"/>
      <c r="P65" s="20"/>
      <c r="Q65" s="20"/>
      <c r="R65" s="20"/>
      <c r="S65" s="20"/>
      <c r="T65" s="20"/>
    </row>
    <row r="66">
      <c r="A66" s="5" t="str">
        <f t="shared" ref="A66:A71" si="3">SUBSTITUTE(A60,"2","3")</f>
        <v>coproduct_3_name</v>
      </c>
      <c r="B66" s="20"/>
      <c r="C66" s="5"/>
      <c r="D66" s="20"/>
      <c r="E66" s="20"/>
      <c r="F66" s="20"/>
      <c r="G66" s="20"/>
      <c r="H66" s="20"/>
      <c r="I66" s="20"/>
      <c r="J66" s="20"/>
      <c r="K66" s="20"/>
      <c r="L66" s="20"/>
      <c r="M66" s="20"/>
      <c r="N66" s="20"/>
      <c r="O66" s="20"/>
      <c r="P66" s="20"/>
      <c r="Q66" s="20"/>
      <c r="R66" s="20"/>
      <c r="S66" s="20"/>
      <c r="T66" s="20"/>
    </row>
    <row r="67">
      <c r="A67" s="5" t="str">
        <f t="shared" si="3"/>
        <v>coproduct_3_sink</v>
      </c>
      <c r="B67" s="20"/>
      <c r="C67" s="5"/>
      <c r="D67" s="20"/>
      <c r="E67" s="20"/>
      <c r="F67" s="20"/>
      <c r="G67" s="20"/>
      <c r="H67" s="20"/>
      <c r="I67" s="5"/>
      <c r="J67" s="20"/>
      <c r="K67" s="20"/>
      <c r="L67" s="20"/>
      <c r="M67" s="20"/>
      <c r="N67" s="20"/>
      <c r="O67" s="20"/>
      <c r="P67" s="20"/>
      <c r="Q67" s="20"/>
      <c r="R67" s="20"/>
      <c r="S67" s="20"/>
      <c r="T67" s="20"/>
    </row>
    <row r="68">
      <c r="A68" s="5" t="str">
        <f t="shared" si="3"/>
        <v>coproduct_3_conversion_factor</v>
      </c>
      <c r="B68" s="20"/>
      <c r="C68" s="5"/>
      <c r="D68" s="20"/>
      <c r="E68" s="20"/>
      <c r="F68" s="20"/>
      <c r="G68" s="20"/>
      <c r="H68" s="20"/>
      <c r="I68" s="20"/>
      <c r="J68" s="20"/>
      <c r="K68" s="20"/>
      <c r="L68" s="20"/>
      <c r="M68" s="20"/>
      <c r="N68" s="20"/>
      <c r="O68" s="20"/>
      <c r="P68" s="20"/>
      <c r="Q68" s="20"/>
      <c r="R68" s="20"/>
      <c r="S68" s="20"/>
      <c r="T68" s="20"/>
    </row>
    <row r="69">
      <c r="A69" s="5" t="str">
        <f t="shared" si="3"/>
        <v>coproduct_3_units</v>
      </c>
      <c r="B69" s="20"/>
      <c r="C69" s="5"/>
      <c r="D69" s="20"/>
      <c r="E69" s="20"/>
      <c r="F69" s="20"/>
      <c r="G69" s="20"/>
      <c r="H69" s="20"/>
      <c r="I69" s="20"/>
      <c r="J69" s="20"/>
      <c r="K69" s="20"/>
      <c r="L69" s="20"/>
      <c r="M69" s="20"/>
      <c r="N69" s="20"/>
      <c r="O69" s="20"/>
      <c r="P69" s="20"/>
      <c r="Q69" s="20"/>
      <c r="R69" s="20"/>
      <c r="S69" s="20"/>
      <c r="T69" s="20"/>
    </row>
    <row r="70">
      <c r="A70" s="5" t="str">
        <f t="shared" si="3"/>
        <v>coproduct_3_constituents</v>
      </c>
      <c r="B70" s="20"/>
      <c r="C70" s="5"/>
      <c r="D70" s="20"/>
      <c r="E70" s="20"/>
      <c r="F70" s="20"/>
      <c r="G70" s="20"/>
      <c r="H70" s="20"/>
      <c r="I70" s="20"/>
      <c r="J70" s="20"/>
      <c r="K70" s="20"/>
      <c r="L70" s="20"/>
      <c r="M70" s="20"/>
      <c r="N70" s="20"/>
      <c r="O70" s="20"/>
      <c r="P70" s="20"/>
      <c r="Q70" s="20"/>
      <c r="R70" s="20"/>
      <c r="S70" s="20"/>
      <c r="T70" s="20"/>
    </row>
    <row r="71">
      <c r="A71" s="5" t="str">
        <f t="shared" si="3"/>
        <v>coproduct_3_constituent_fractions</v>
      </c>
      <c r="B71" s="20"/>
      <c r="C71" s="20"/>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hidden="1" min="4" max="4" width="12.88"/>
    <col customWidth="1" hidden="1" min="7" max="8" width="12.88"/>
    <col hidden="1" min="9" max="14" width="12.63"/>
  </cols>
  <sheetData>
    <row r="1">
      <c r="A1" s="151" t="s">
        <v>276</v>
      </c>
      <c r="B1" s="151" t="s">
        <v>7</v>
      </c>
      <c r="C1" s="151" t="s">
        <v>815</v>
      </c>
      <c r="D1" s="151" t="s">
        <v>816</v>
      </c>
      <c r="E1" s="151" t="s">
        <v>817</v>
      </c>
      <c r="F1" s="151" t="s">
        <v>818</v>
      </c>
      <c r="G1" s="214" t="s">
        <v>819</v>
      </c>
      <c r="H1" s="214" t="s">
        <v>820</v>
      </c>
      <c r="I1" s="214" t="s">
        <v>821</v>
      </c>
      <c r="J1" s="214" t="s">
        <v>822</v>
      </c>
      <c r="K1" s="214" t="s">
        <v>823</v>
      </c>
      <c r="L1" s="214" t="s">
        <v>824</v>
      </c>
      <c r="M1" s="214" t="s">
        <v>825</v>
      </c>
      <c r="N1" s="214" t="s">
        <v>826</v>
      </c>
      <c r="O1" s="215"/>
      <c r="P1" s="215"/>
      <c r="Q1" s="215"/>
      <c r="R1" s="215"/>
      <c r="S1" s="215"/>
      <c r="T1" s="215"/>
      <c r="U1" s="215"/>
      <c r="V1" s="215"/>
      <c r="W1" s="215"/>
      <c r="X1" s="215"/>
      <c r="Y1" s="215"/>
      <c r="Z1" s="215"/>
    </row>
    <row r="2">
      <c r="A2" s="2" t="s">
        <v>827</v>
      </c>
      <c r="C2" s="2"/>
      <c r="E2" s="2" t="s">
        <v>828</v>
      </c>
      <c r="F2" s="2" t="s">
        <v>828</v>
      </c>
      <c r="J2" s="2" t="s">
        <v>828</v>
      </c>
      <c r="K2" s="2" t="s">
        <v>828</v>
      </c>
      <c r="L2" s="2" t="s">
        <v>828</v>
      </c>
      <c r="M2" s="216" t="s">
        <v>829</v>
      </c>
      <c r="N2" s="2" t="s">
        <v>830</v>
      </c>
    </row>
    <row r="3">
      <c r="A3" s="2" t="s">
        <v>289</v>
      </c>
      <c r="C3" s="2"/>
      <c r="D3" s="2"/>
      <c r="E3" s="2"/>
      <c r="F3" s="2"/>
      <c r="G3" s="2"/>
      <c r="H3" s="2"/>
      <c r="I3" s="217"/>
      <c r="J3" s="2"/>
      <c r="K3" s="2"/>
      <c r="L3" s="2"/>
      <c r="M3" s="2" t="s">
        <v>831</v>
      </c>
    </row>
    <row r="4">
      <c r="A4" s="2" t="s">
        <v>832</v>
      </c>
      <c r="C4" s="2" t="s">
        <v>833</v>
      </c>
      <c r="D4" s="2">
        <v>30000.0</v>
      </c>
      <c r="E4" s="2">
        <v>35.0</v>
      </c>
      <c r="F4" s="2">
        <v>35000.0</v>
      </c>
      <c r="G4" s="2">
        <v>100000.0</v>
      </c>
      <c r="H4" s="2">
        <v>110000.0</v>
      </c>
      <c r="I4" s="217">
        <v>1500000.0</v>
      </c>
      <c r="J4" s="2">
        <v>1.0</v>
      </c>
      <c r="K4" s="2">
        <v>1.0</v>
      </c>
      <c r="L4" s="2">
        <v>1.0</v>
      </c>
      <c r="N4" s="2">
        <v>19.0</v>
      </c>
    </row>
    <row r="5">
      <c r="A5" s="2" t="s">
        <v>834</v>
      </c>
      <c r="B5" s="2"/>
      <c r="D5" s="2" t="s">
        <v>835</v>
      </c>
      <c r="E5" s="2" t="s">
        <v>836</v>
      </c>
      <c r="F5" s="2" t="s">
        <v>835</v>
      </c>
      <c r="G5" s="2" t="s">
        <v>835</v>
      </c>
      <c r="H5" s="2" t="s">
        <v>835</v>
      </c>
      <c r="I5" s="2" t="s">
        <v>835</v>
      </c>
      <c r="J5" s="2" t="s">
        <v>837</v>
      </c>
      <c r="K5" s="2" t="s">
        <v>837</v>
      </c>
      <c r="L5" s="2" t="s">
        <v>837</v>
      </c>
      <c r="N5" s="2" t="s">
        <v>838</v>
      </c>
    </row>
    <row r="6">
      <c r="A6" s="2" t="s">
        <v>839</v>
      </c>
      <c r="B6" s="2" t="s">
        <v>840</v>
      </c>
      <c r="D6" s="218">
        <v>0.0</v>
      </c>
      <c r="E6" s="218">
        <v>0.0</v>
      </c>
      <c r="F6" s="218">
        <v>0.0</v>
      </c>
      <c r="G6" s="218">
        <v>0.0</v>
      </c>
      <c r="H6" s="218">
        <v>0.0</v>
      </c>
      <c r="I6" s="218">
        <v>0.0</v>
      </c>
    </row>
    <row r="7">
      <c r="A7" s="2" t="s">
        <v>841</v>
      </c>
      <c r="C7" s="2" t="s">
        <v>842</v>
      </c>
      <c r="D7" s="219">
        <f>10^-3*0.084</f>
        <v>0.000084</v>
      </c>
      <c r="E7" s="219">
        <f>0.126</f>
        <v>0.126</v>
      </c>
      <c r="F7" s="219">
        <f>10^-3*0.38</f>
        <v>0.00038</v>
      </c>
      <c r="G7" s="219">
        <f>10^-3*0.024</f>
        <v>0.000024</v>
      </c>
      <c r="H7" s="219">
        <f>10^-3*0.036</f>
        <v>0.000036</v>
      </c>
      <c r="I7" s="219">
        <f>10^-3*0.0108</f>
        <v>0.0000108</v>
      </c>
    </row>
    <row r="8">
      <c r="A8" s="2" t="s">
        <v>843</v>
      </c>
      <c r="B8" s="2" t="s">
        <v>844</v>
      </c>
      <c r="C8" s="2" t="s">
        <v>842</v>
      </c>
      <c r="D8" s="220">
        <f t="shared" ref="D8:I8" si="1">(D7+D9)/2</f>
        <v>0.000162</v>
      </c>
      <c r="E8" s="220">
        <f t="shared" si="1"/>
        <v>0.243</v>
      </c>
      <c r="F8" s="220">
        <f t="shared" si="1"/>
        <v>0.001615</v>
      </c>
      <c r="G8" s="220">
        <f t="shared" si="1"/>
        <v>0.000048</v>
      </c>
      <c r="H8" s="220">
        <f t="shared" si="1"/>
        <v>0.000072</v>
      </c>
      <c r="I8" s="220">
        <f t="shared" si="1"/>
        <v>0.0000162</v>
      </c>
    </row>
    <row r="9">
      <c r="A9" s="2" t="s">
        <v>845</v>
      </c>
      <c r="C9" s="2" t="s">
        <v>842</v>
      </c>
      <c r="D9" s="219">
        <f>10^-3*0.24</f>
        <v>0.00024</v>
      </c>
      <c r="E9" s="219">
        <f>0.36</f>
        <v>0.36</v>
      </c>
      <c r="F9" s="219">
        <f>10^-3*2.85</f>
        <v>0.00285</v>
      </c>
      <c r="G9" s="219">
        <f>10^-3*0.072</f>
        <v>0.000072</v>
      </c>
      <c r="H9" s="219">
        <f>10^-3*0.108</f>
        <v>0.000108</v>
      </c>
      <c r="I9" s="219">
        <f>10^-3*0.0216</f>
        <v>0.0000216</v>
      </c>
      <c r="J9" s="217"/>
    </row>
    <row r="10">
      <c r="A10" s="2" t="s">
        <v>846</v>
      </c>
      <c r="D10" s="218">
        <v>0.0</v>
      </c>
      <c r="E10" s="218">
        <v>0.0</v>
      </c>
      <c r="F10" s="218">
        <v>0.0</v>
      </c>
      <c r="G10" s="218">
        <v>0.0</v>
      </c>
      <c r="H10" s="218">
        <v>0.0</v>
      </c>
      <c r="I10" s="218">
        <v>0.0</v>
      </c>
    </row>
    <row r="11">
      <c r="A11" s="2" t="s">
        <v>847</v>
      </c>
      <c r="B11" s="2"/>
      <c r="C11" s="2"/>
      <c r="D11" s="218">
        <v>0.0</v>
      </c>
      <c r="E11" s="218">
        <v>0.0</v>
      </c>
      <c r="F11" s="218">
        <v>0.0</v>
      </c>
      <c r="G11" s="218">
        <v>0.0</v>
      </c>
      <c r="H11" s="218">
        <v>0.0</v>
      </c>
      <c r="I11" s="218">
        <v>0.0</v>
      </c>
    </row>
    <row r="12">
      <c r="A12" s="2" t="s">
        <v>848</v>
      </c>
      <c r="B12" s="134"/>
      <c r="C12" s="134"/>
      <c r="D12" s="218">
        <v>0.0</v>
      </c>
      <c r="E12" s="218">
        <v>0.0</v>
      </c>
      <c r="F12" s="218">
        <v>0.0</v>
      </c>
      <c r="G12" s="218">
        <v>0.0</v>
      </c>
      <c r="H12" s="218">
        <v>0.0</v>
      </c>
      <c r="I12" s="218">
        <v>0.0</v>
      </c>
    </row>
    <row r="13">
      <c r="A13" s="2" t="s">
        <v>849</v>
      </c>
      <c r="C13" s="2" t="s">
        <v>850</v>
      </c>
      <c r="D13" s="221">
        <f>10^-3*0.096</f>
        <v>0.000096</v>
      </c>
      <c r="E13" s="221">
        <f>0.144</f>
        <v>0.144</v>
      </c>
      <c r="F13" s="221">
        <f>10^-3*0.152</f>
        <v>0.000152</v>
      </c>
      <c r="G13" s="221">
        <f>10^-3*0.0144</f>
        <v>0.0000144</v>
      </c>
      <c r="H13" s="221">
        <f>10^-3*0.0216</f>
        <v>0.0000216</v>
      </c>
      <c r="I13" s="221">
        <f>10^-3*0.018</f>
        <v>0.000018</v>
      </c>
    </row>
    <row r="14">
      <c r="A14" s="2" t="s">
        <v>851</v>
      </c>
      <c r="B14" s="2" t="s">
        <v>852</v>
      </c>
      <c r="C14" s="2" t="s">
        <v>850</v>
      </c>
      <c r="D14" s="221">
        <f t="shared" ref="D14:I14" si="2">(D13+D15)/2</f>
        <v>0.000156</v>
      </c>
      <c r="E14" s="221">
        <f t="shared" si="2"/>
        <v>0.234</v>
      </c>
      <c r="F14" s="221">
        <f t="shared" si="2"/>
        <v>0.000361</v>
      </c>
      <c r="G14" s="221">
        <f t="shared" si="2"/>
        <v>0.0000252</v>
      </c>
      <c r="H14" s="221">
        <f t="shared" si="2"/>
        <v>0.0000378</v>
      </c>
      <c r="I14" s="221">
        <f t="shared" si="2"/>
        <v>0.000036</v>
      </c>
      <c r="N14" s="142">
        <f>1/(8.31*N4)*77.931</f>
        <v>0.4935778073</v>
      </c>
    </row>
    <row r="15">
      <c r="A15" s="2" t="s">
        <v>853</v>
      </c>
      <c r="B15" s="134"/>
      <c r="C15" s="2" t="s">
        <v>850</v>
      </c>
      <c r="D15" s="221">
        <f>10^-3*0.216</f>
        <v>0.000216</v>
      </c>
      <c r="E15" s="221">
        <f>0.324</f>
        <v>0.324</v>
      </c>
      <c r="F15" s="221">
        <f>10^-3*0.57</f>
        <v>0.00057</v>
      </c>
      <c r="G15" s="221">
        <f>10^-3*0.036</f>
        <v>0.000036</v>
      </c>
      <c r="H15" s="221">
        <f t="shared" ref="H15:I15" si="3">10^-3*0.054</f>
        <v>0.000054</v>
      </c>
      <c r="I15" s="221">
        <f t="shared" si="3"/>
        <v>0.000054</v>
      </c>
    </row>
    <row r="16">
      <c r="A16" s="2" t="s">
        <v>854</v>
      </c>
      <c r="B16" s="134"/>
      <c r="C16" s="2" t="s">
        <v>855</v>
      </c>
      <c r="D16" s="134"/>
      <c r="E16" s="134"/>
      <c r="F16" s="134"/>
      <c r="G16" s="134"/>
      <c r="H16" s="134"/>
      <c r="I16" s="134"/>
      <c r="J16" s="142">
        <f>8.4/1000</f>
        <v>0.0084</v>
      </c>
      <c r="K16" s="142">
        <f>22/1000</f>
        <v>0.022</v>
      </c>
      <c r="L16" s="142">
        <f>62/1000</f>
        <v>0.062</v>
      </c>
    </row>
    <row r="17">
      <c r="A17" s="2" t="s">
        <v>856</v>
      </c>
      <c r="C17" s="2" t="s">
        <v>857</v>
      </c>
      <c r="D17" s="221">
        <f>10^-3*0.00012</f>
        <v>0.00000012</v>
      </c>
      <c r="E17" s="221">
        <f>0.00018</f>
        <v>0.00018</v>
      </c>
      <c r="F17" s="221">
        <f>10^-3*0.00019</f>
        <v>0.00000019</v>
      </c>
      <c r="G17" s="221">
        <f>10^-3*0.00012</f>
        <v>0.00000012</v>
      </c>
      <c r="H17" s="221">
        <f>10^-3*0.00018</f>
        <v>0.00000018</v>
      </c>
      <c r="I17" s="221">
        <f>10^-3*0.00036</f>
        <v>0.00000036</v>
      </c>
    </row>
    <row r="18">
      <c r="A18" s="2" t="s">
        <v>858</v>
      </c>
      <c r="B18" s="2" t="s">
        <v>859</v>
      </c>
      <c r="C18" s="2" t="s">
        <v>857</v>
      </c>
      <c r="D18" s="221">
        <f t="shared" ref="D18:I18" si="4">D19/2</f>
        <v>0.0000012</v>
      </c>
      <c r="E18" s="221">
        <f t="shared" si="4"/>
        <v>0.0018</v>
      </c>
      <c r="F18" s="221">
        <f t="shared" si="4"/>
        <v>0.0000019</v>
      </c>
      <c r="G18" s="221">
        <f t="shared" si="4"/>
        <v>0.0000012</v>
      </c>
      <c r="H18" s="221">
        <f t="shared" si="4"/>
        <v>0.0000018</v>
      </c>
      <c r="I18" s="221">
        <f t="shared" si="4"/>
        <v>0.0000027</v>
      </c>
    </row>
    <row r="19">
      <c r="A19" s="2" t="s">
        <v>860</v>
      </c>
      <c r="B19" s="134"/>
      <c r="C19" s="2" t="s">
        <v>857</v>
      </c>
      <c r="D19" s="221">
        <f>10^-3*0.0024</f>
        <v>0.0000024</v>
      </c>
      <c r="E19" s="221">
        <f>0.0036</f>
        <v>0.0036</v>
      </c>
      <c r="F19" s="221">
        <f>10^-3*0.0038</f>
        <v>0.0000038</v>
      </c>
      <c r="G19" s="221">
        <f>10^-3*0.0024</f>
        <v>0.0000024</v>
      </c>
      <c r="H19" s="221">
        <f>10^-3*0.0036</f>
        <v>0.0000036</v>
      </c>
      <c r="I19" s="221">
        <f>10^-3*0.0054</f>
        <v>0.0000054</v>
      </c>
    </row>
    <row r="20">
      <c r="A20" s="2" t="s">
        <v>861</v>
      </c>
      <c r="C20" s="2" t="s">
        <v>862</v>
      </c>
      <c r="D20" s="221">
        <f>10^-3*0.024</f>
        <v>0.000024</v>
      </c>
      <c r="E20" s="221">
        <f>0.036</f>
        <v>0.036</v>
      </c>
      <c r="F20" s="221">
        <f>10^-3*0.57</f>
        <v>0.00057</v>
      </c>
      <c r="G20" s="221">
        <f>10^-3*0.12</f>
        <v>0.00012</v>
      </c>
      <c r="H20" s="221">
        <f>10^-3*0.18</f>
        <v>0.00018</v>
      </c>
      <c r="I20" s="221">
        <f>10^-3*0.27</f>
        <v>0.00027</v>
      </c>
    </row>
    <row r="21">
      <c r="A21" s="2" t="s">
        <v>863</v>
      </c>
      <c r="B21" s="2" t="s">
        <v>864</v>
      </c>
      <c r="C21" s="2" t="s">
        <v>862</v>
      </c>
      <c r="D21" s="221">
        <f t="shared" ref="D21:I21" si="5">D22/2</f>
        <v>0.00024</v>
      </c>
      <c r="E21" s="221">
        <f t="shared" si="5"/>
        <v>0.36</v>
      </c>
      <c r="F21" s="221">
        <f t="shared" si="5"/>
        <v>0.0019</v>
      </c>
      <c r="G21" s="221">
        <f t="shared" si="5"/>
        <v>0.00036</v>
      </c>
      <c r="H21" s="221">
        <f t="shared" si="5"/>
        <v>0.00054</v>
      </c>
      <c r="I21" s="221">
        <f t="shared" si="5"/>
        <v>0.00027</v>
      </c>
    </row>
    <row r="22">
      <c r="A22" s="2" t="s">
        <v>865</v>
      </c>
      <c r="B22" s="134"/>
      <c r="C22" s="2" t="s">
        <v>862</v>
      </c>
      <c r="D22" s="221">
        <f>10^-3*0.48</f>
        <v>0.00048</v>
      </c>
      <c r="E22" s="221">
        <f>0.72</f>
        <v>0.72</v>
      </c>
      <c r="F22" s="221">
        <f>10^-3*3.8</f>
        <v>0.0038</v>
      </c>
      <c r="G22" s="221">
        <f>10^-3*0.72</f>
        <v>0.00072</v>
      </c>
      <c r="H22" s="221">
        <f>10^-3*1.08</f>
        <v>0.00108</v>
      </c>
      <c r="I22" s="221">
        <f>10^-3*0.54</f>
        <v>0.00054</v>
      </c>
    </row>
    <row r="23">
      <c r="A23" s="2" t="s">
        <v>866</v>
      </c>
      <c r="C23" s="2" t="s">
        <v>867</v>
      </c>
      <c r="D23" s="221">
        <f>10^-3*0.00024</f>
        <v>0.00000024</v>
      </c>
      <c r="E23" s="221">
        <f>0.00036</f>
        <v>0.00036</v>
      </c>
      <c r="F23" s="221">
        <f>10^-3*0.019</f>
        <v>0.000019</v>
      </c>
      <c r="G23" s="221">
        <f>10^-3*0.006</f>
        <v>0.000006</v>
      </c>
      <c r="H23" s="221">
        <f>10^-3*0.009</f>
        <v>0.000009</v>
      </c>
      <c r="I23" s="221">
        <f>10^-3*0.0054</f>
        <v>0.0000054</v>
      </c>
    </row>
    <row r="24">
      <c r="A24" s="2" t="s">
        <v>868</v>
      </c>
      <c r="B24" s="2" t="s">
        <v>869</v>
      </c>
      <c r="C24" s="2" t="s">
        <v>867</v>
      </c>
      <c r="D24" s="221">
        <f t="shared" ref="D24:I24" si="6">D25/2</f>
        <v>0.000009</v>
      </c>
      <c r="E24" s="221">
        <f t="shared" si="6"/>
        <v>0.0135</v>
      </c>
      <c r="F24" s="221">
        <f t="shared" si="6"/>
        <v>0.000095</v>
      </c>
      <c r="G24" s="221">
        <f t="shared" si="6"/>
        <v>0.000018</v>
      </c>
      <c r="H24" s="221">
        <f t="shared" si="6"/>
        <v>0.000027</v>
      </c>
      <c r="I24" s="221">
        <f t="shared" si="6"/>
        <v>0.000009</v>
      </c>
    </row>
    <row r="25">
      <c r="A25" s="2" t="s">
        <v>870</v>
      </c>
      <c r="B25" s="134"/>
      <c r="C25" s="2" t="s">
        <v>867</v>
      </c>
      <c r="D25" s="221">
        <f>10^-3*0.018</f>
        <v>0.000018</v>
      </c>
      <c r="E25" s="221">
        <f>0.027</f>
        <v>0.027</v>
      </c>
      <c r="F25" s="221">
        <f>10^-3*0.19</f>
        <v>0.00019</v>
      </c>
      <c r="G25" s="221">
        <f>10^-3*0.036</f>
        <v>0.000036</v>
      </c>
      <c r="H25" s="221">
        <f>10^-3*0.054</f>
        <v>0.000054</v>
      </c>
      <c r="I25" s="221">
        <f>10^-3*0.018</f>
        <v>0.000018</v>
      </c>
    </row>
    <row r="26">
      <c r="A26" s="2" t="s">
        <v>871</v>
      </c>
      <c r="C26" s="2" t="s">
        <v>872</v>
      </c>
      <c r="D26" s="2">
        <v>0.0</v>
      </c>
      <c r="E26" s="2">
        <v>0.0</v>
      </c>
      <c r="F26" s="2">
        <v>0.0</v>
      </c>
      <c r="G26" s="2">
        <v>0.0</v>
      </c>
      <c r="H26" s="2">
        <v>0.0</v>
      </c>
      <c r="I26" s="2">
        <v>0.0</v>
      </c>
    </row>
    <row r="27">
      <c r="D27" s="222"/>
      <c r="E27" s="222"/>
    </row>
    <row r="28">
      <c r="D28" s="222"/>
      <c r="E28" s="222"/>
    </row>
    <row r="29">
      <c r="D29" s="222"/>
      <c r="E29" s="222"/>
    </row>
    <row r="30">
      <c r="D30" s="222"/>
      <c r="E30" s="222"/>
    </row>
    <row r="31">
      <c r="D31" s="222"/>
      <c r="E31" s="222"/>
    </row>
    <row r="32">
      <c r="D32" s="222"/>
      <c r="E32" s="222"/>
    </row>
    <row r="33">
      <c r="D33" s="222"/>
      <c r="E33" s="222"/>
    </row>
    <row r="34">
      <c r="D34" s="222"/>
      <c r="E34" s="222"/>
    </row>
    <row r="35">
      <c r="D35" s="222"/>
      <c r="E35" s="222"/>
    </row>
    <row r="36">
      <c r="D36" s="222"/>
      <c r="E36" s="222"/>
    </row>
    <row r="37">
      <c r="D37" s="222"/>
      <c r="E37" s="222"/>
    </row>
    <row r="38">
      <c r="D38" s="222"/>
      <c r="E38" s="222"/>
    </row>
    <row r="39">
      <c r="D39" s="222"/>
      <c r="E39" s="222"/>
    </row>
    <row r="40">
      <c r="D40" s="222"/>
      <c r="E40" s="222"/>
    </row>
    <row r="41">
      <c r="D41" s="222"/>
      <c r="E41" s="222"/>
    </row>
    <row r="42">
      <c r="D42" s="222"/>
      <c r="E42" s="222"/>
    </row>
    <row r="43">
      <c r="D43" s="222"/>
      <c r="E43" s="222"/>
    </row>
    <row r="44">
      <c r="D44" s="222"/>
      <c r="E44" s="222"/>
    </row>
    <row r="45">
      <c r="D45" s="222"/>
      <c r="E45" s="222"/>
    </row>
    <row r="46">
      <c r="D46" s="222"/>
      <c r="E46" s="222"/>
    </row>
  </sheetData>
  <hyperlinks>
    <hyperlink r:id="rId2" ref="M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13"/>
    <col customWidth="1" min="2" max="3" width="25.13"/>
    <col hidden="1" min="4" max="6" width="12.63"/>
    <col hidden="1" min="9" max="12" width="12.63"/>
  </cols>
  <sheetData>
    <row r="1">
      <c r="A1" s="151" t="s">
        <v>276</v>
      </c>
      <c r="B1" s="151" t="s">
        <v>7</v>
      </c>
      <c r="C1" s="151" t="s">
        <v>815</v>
      </c>
      <c r="D1" s="223" t="s">
        <v>156</v>
      </c>
      <c r="E1" s="223" t="s">
        <v>181</v>
      </c>
      <c r="F1" s="223" t="s">
        <v>155</v>
      </c>
      <c r="G1" s="151" t="s">
        <v>157</v>
      </c>
      <c r="H1" s="151" t="s">
        <v>163</v>
      </c>
      <c r="I1" s="223" t="s">
        <v>190</v>
      </c>
      <c r="J1" s="223" t="s">
        <v>160</v>
      </c>
      <c r="K1" s="223" t="s">
        <v>159</v>
      </c>
      <c r="L1" s="223" t="s">
        <v>873</v>
      </c>
      <c r="M1" s="43"/>
      <c r="N1" s="43"/>
      <c r="O1" s="43"/>
      <c r="P1" s="43"/>
      <c r="Q1" s="43"/>
      <c r="R1" s="43"/>
      <c r="S1" s="43"/>
      <c r="T1" s="43"/>
      <c r="U1" s="43"/>
      <c r="V1" s="43"/>
      <c r="W1" s="43"/>
      <c r="X1" s="43"/>
    </row>
    <row r="2">
      <c r="A2" s="2" t="s">
        <v>874</v>
      </c>
      <c r="B2" s="2" t="s">
        <v>875</v>
      </c>
      <c r="C2" s="2" t="s">
        <v>876</v>
      </c>
      <c r="D2" s="224">
        <v>365.0</v>
      </c>
      <c r="E2" s="224">
        <v>365.0</v>
      </c>
      <c r="F2" s="224">
        <v>333.0</v>
      </c>
      <c r="G2" s="225">
        <v>350.0</v>
      </c>
      <c r="H2" s="225">
        <v>350.0</v>
      </c>
      <c r="I2" s="138">
        <v>350.0</v>
      </c>
      <c r="J2" s="138"/>
      <c r="K2" s="138"/>
      <c r="L2" s="138"/>
      <c r="M2" s="20"/>
      <c r="N2" s="20"/>
      <c r="O2" s="20"/>
      <c r="P2" s="20"/>
      <c r="Q2" s="20"/>
      <c r="R2" s="20"/>
      <c r="S2" s="20"/>
      <c r="T2" s="20"/>
      <c r="U2" s="20"/>
      <c r="V2" s="20"/>
      <c r="W2" s="20"/>
      <c r="X2" s="20"/>
    </row>
    <row r="3">
      <c r="A3" s="2" t="s">
        <v>877</v>
      </c>
      <c r="B3" s="2" t="s">
        <v>878</v>
      </c>
      <c r="C3" s="2" t="s">
        <v>879</v>
      </c>
      <c r="D3" s="226">
        <v>0.0</v>
      </c>
      <c r="E3" s="226">
        <v>0.0</v>
      </c>
      <c r="F3" s="227"/>
      <c r="G3" s="228">
        <v>0.05</v>
      </c>
      <c r="H3" s="228">
        <v>0.05</v>
      </c>
      <c r="I3" s="227">
        <v>0.05</v>
      </c>
      <c r="J3" s="227"/>
      <c r="K3" s="227"/>
      <c r="L3" s="227"/>
      <c r="M3" s="20"/>
      <c r="N3" s="134"/>
      <c r="O3" s="134"/>
      <c r="P3" s="134"/>
      <c r="Q3" s="134"/>
      <c r="R3" s="20"/>
      <c r="S3" s="20"/>
      <c r="T3" s="20"/>
      <c r="U3" s="20"/>
      <c r="V3" s="20"/>
      <c r="W3" s="20"/>
      <c r="X3" s="20"/>
    </row>
    <row r="4">
      <c r="A4" s="2" t="s">
        <v>880</v>
      </c>
      <c r="B4" s="2" t="s">
        <v>881</v>
      </c>
      <c r="C4" s="2" t="s">
        <v>879</v>
      </c>
      <c r="D4" s="226">
        <v>0.0</v>
      </c>
      <c r="E4" s="226">
        <v>0.0</v>
      </c>
      <c r="F4" s="227"/>
      <c r="G4" s="228">
        <v>0.08</v>
      </c>
      <c r="H4" s="228">
        <v>0.08</v>
      </c>
      <c r="I4" s="227">
        <v>0.08</v>
      </c>
      <c r="J4" s="227"/>
      <c r="K4" s="227"/>
      <c r="L4" s="227"/>
      <c r="M4" s="20"/>
      <c r="N4" s="134"/>
      <c r="O4" s="134"/>
      <c r="P4" s="134"/>
      <c r="Q4" s="134"/>
      <c r="R4" s="20"/>
      <c r="S4" s="20"/>
      <c r="T4" s="20"/>
      <c r="U4" s="20"/>
      <c r="V4" s="20"/>
      <c r="W4" s="20"/>
      <c r="X4" s="20"/>
    </row>
    <row r="5">
      <c r="A5" s="2" t="s">
        <v>882</v>
      </c>
      <c r="B5" s="2" t="s">
        <v>883</v>
      </c>
      <c r="C5" s="2" t="s">
        <v>884</v>
      </c>
      <c r="D5" s="224">
        <v>3.0</v>
      </c>
      <c r="E5" s="224">
        <v>3.0</v>
      </c>
      <c r="F5" s="224">
        <v>2.0</v>
      </c>
      <c r="G5" s="62">
        <v>3.0</v>
      </c>
      <c r="H5" s="62">
        <v>3.0</v>
      </c>
      <c r="I5" s="138">
        <v>3.0</v>
      </c>
      <c r="J5" s="138"/>
      <c r="K5" s="138"/>
      <c r="L5" s="138"/>
      <c r="M5" s="20"/>
      <c r="N5" s="134"/>
      <c r="O5" s="134"/>
      <c r="P5" s="134"/>
      <c r="Q5" s="134"/>
      <c r="R5" s="20"/>
      <c r="S5" s="20"/>
      <c r="T5" s="20"/>
      <c r="U5" s="20"/>
      <c r="V5" s="20"/>
      <c r="W5" s="20"/>
      <c r="X5" s="20"/>
    </row>
    <row r="6">
      <c r="A6" s="2" t="s">
        <v>885</v>
      </c>
      <c r="B6" s="2" t="s">
        <v>886</v>
      </c>
      <c r="C6" s="2" t="s">
        <v>887</v>
      </c>
      <c r="D6" s="224">
        <v>8.0</v>
      </c>
      <c r="E6" s="224">
        <v>8.0</v>
      </c>
      <c r="F6" s="224">
        <v>12.0</v>
      </c>
      <c r="G6" s="62">
        <v>8.0</v>
      </c>
      <c r="H6" s="62">
        <v>8.0</v>
      </c>
      <c r="I6" s="139">
        <v>8.0</v>
      </c>
      <c r="J6" s="139"/>
      <c r="K6" s="139"/>
      <c r="L6" s="138"/>
      <c r="M6" s="20"/>
      <c r="N6" s="134"/>
      <c r="O6" s="134"/>
      <c r="P6" s="134"/>
      <c r="Q6" s="134"/>
      <c r="R6" s="20"/>
      <c r="S6" s="20"/>
      <c r="T6" s="20"/>
      <c r="U6" s="20"/>
      <c r="V6" s="20"/>
      <c r="W6" s="20"/>
      <c r="X6" s="20"/>
    </row>
    <row r="7">
      <c r="A7" s="2" t="s">
        <v>888</v>
      </c>
      <c r="B7" s="2" t="s">
        <v>889</v>
      </c>
      <c r="C7" s="2" t="s">
        <v>887</v>
      </c>
      <c r="D7" s="224">
        <v>0.5</v>
      </c>
      <c r="E7" s="224">
        <v>0.5</v>
      </c>
      <c r="F7" s="138"/>
      <c r="G7" s="62">
        <v>0.5</v>
      </c>
      <c r="H7" s="62">
        <v>0.5</v>
      </c>
      <c r="I7" s="138">
        <v>0.5</v>
      </c>
      <c r="J7" s="138"/>
      <c r="K7" s="138"/>
      <c r="L7" s="138"/>
      <c r="M7" s="20"/>
      <c r="N7" s="20"/>
      <c r="O7" s="20"/>
      <c r="P7" s="20"/>
      <c r="Q7" s="20"/>
      <c r="R7" s="20"/>
      <c r="S7" s="20"/>
      <c r="T7" s="20"/>
      <c r="U7" s="20"/>
      <c r="V7" s="20"/>
      <c r="W7" s="20"/>
      <c r="X7" s="20"/>
    </row>
    <row r="8">
      <c r="A8" s="2" t="s">
        <v>890</v>
      </c>
      <c r="B8" s="2" t="s">
        <v>891</v>
      </c>
      <c r="C8" s="2" t="s">
        <v>887</v>
      </c>
      <c r="D8" s="224">
        <v>0.5</v>
      </c>
      <c r="E8" s="224">
        <v>0.5</v>
      </c>
      <c r="F8" s="138"/>
      <c r="G8" s="62">
        <v>0.5</v>
      </c>
      <c r="H8" s="62">
        <v>0.5</v>
      </c>
      <c r="I8" s="138">
        <v>0.5</v>
      </c>
      <c r="J8" s="138"/>
      <c r="K8" s="138"/>
      <c r="L8" s="138"/>
      <c r="M8" s="20"/>
      <c r="N8" s="20"/>
      <c r="O8" s="20"/>
      <c r="P8" s="20"/>
      <c r="Q8" s="20"/>
      <c r="R8" s="20"/>
      <c r="S8" s="20"/>
      <c r="T8" s="20"/>
      <c r="U8" s="20"/>
      <c r="V8" s="20"/>
      <c r="W8" s="20"/>
      <c r="X8" s="20"/>
    </row>
    <row r="9">
      <c r="A9" s="2" t="s">
        <v>892</v>
      </c>
      <c r="B9" s="2" t="s">
        <v>893</v>
      </c>
      <c r="C9" s="2" t="s">
        <v>894</v>
      </c>
      <c r="D9" s="226">
        <v>0.1</v>
      </c>
      <c r="E9" s="226">
        <v>0.1</v>
      </c>
      <c r="F9" s="226">
        <v>0.1</v>
      </c>
      <c r="G9" s="228">
        <v>0.1</v>
      </c>
      <c r="H9" s="228">
        <v>0.1</v>
      </c>
      <c r="I9" s="226">
        <v>0.1</v>
      </c>
      <c r="J9" s="226">
        <v>0.1</v>
      </c>
      <c r="K9" s="229">
        <v>0.1</v>
      </c>
      <c r="L9" s="229">
        <v>0.1</v>
      </c>
      <c r="M9" s="20"/>
      <c r="N9" s="20"/>
      <c r="O9" s="20"/>
      <c r="P9" s="20"/>
      <c r="Q9" s="20"/>
      <c r="R9" s="20"/>
      <c r="S9" s="20"/>
      <c r="T9" s="20"/>
      <c r="U9" s="20"/>
      <c r="V9" s="20"/>
      <c r="W9" s="20"/>
      <c r="X9" s="20"/>
    </row>
    <row r="10">
      <c r="A10" s="2" t="s">
        <v>895</v>
      </c>
      <c r="B10" s="2" t="s">
        <v>896</v>
      </c>
      <c r="C10" s="2" t="s">
        <v>897</v>
      </c>
      <c r="D10" s="230">
        <v>7.0</v>
      </c>
      <c r="E10" s="230">
        <v>7.0</v>
      </c>
      <c r="F10" s="138"/>
      <c r="G10" s="231">
        <v>50.0</v>
      </c>
      <c r="H10" s="231">
        <v>10.0</v>
      </c>
      <c r="I10" s="138">
        <v>12.0</v>
      </c>
      <c r="J10" s="138"/>
      <c r="K10" s="138"/>
      <c r="L10" s="138"/>
      <c r="M10" s="20"/>
      <c r="N10" s="20"/>
      <c r="O10" s="20"/>
      <c r="P10" s="20"/>
      <c r="Q10" s="20"/>
      <c r="R10" s="20"/>
      <c r="S10" s="20"/>
      <c r="T10" s="20"/>
      <c r="U10" s="20"/>
      <c r="V10" s="20"/>
      <c r="W10" s="20"/>
      <c r="X10" s="20"/>
    </row>
    <row r="11">
      <c r="A11" s="2" t="s">
        <v>898</v>
      </c>
      <c r="B11" s="2" t="s">
        <v>899</v>
      </c>
      <c r="C11" s="2" t="s">
        <v>900</v>
      </c>
      <c r="D11" s="230">
        <v>0.17</v>
      </c>
      <c r="E11" s="230">
        <v>0.17</v>
      </c>
      <c r="F11" s="139"/>
      <c r="G11" s="231">
        <v>0.09</v>
      </c>
      <c r="H11" s="232">
        <v>0.075</v>
      </c>
      <c r="I11" s="138">
        <v>0.075</v>
      </c>
      <c r="J11" s="138"/>
      <c r="K11" s="138"/>
      <c r="L11" s="138"/>
      <c r="M11" s="20"/>
      <c r="N11" s="20"/>
      <c r="O11" s="20"/>
      <c r="P11" s="20"/>
      <c r="Q11" s="20"/>
      <c r="R11" s="20"/>
      <c r="S11" s="20"/>
      <c r="T11" s="20"/>
      <c r="U11" s="20"/>
      <c r="V11" s="20"/>
      <c r="W11" s="20"/>
      <c r="X11" s="20"/>
    </row>
    <row r="12">
      <c r="A12" s="2" t="s">
        <v>901</v>
      </c>
      <c r="B12" s="2" t="s">
        <v>902</v>
      </c>
      <c r="C12" s="2" t="s">
        <v>903</v>
      </c>
      <c r="D12" s="230">
        <v>12.4</v>
      </c>
      <c r="E12" s="230">
        <v>12.4</v>
      </c>
      <c r="F12" s="139"/>
      <c r="G12" s="231">
        <v>5.04</v>
      </c>
      <c r="H12" s="233">
        <v>8.5</v>
      </c>
      <c r="I12" s="138">
        <v>8.5</v>
      </c>
      <c r="J12" s="138"/>
      <c r="K12" s="138"/>
      <c r="L12" s="138"/>
      <c r="M12" s="20"/>
      <c r="N12" s="20"/>
      <c r="O12" s="20"/>
      <c r="P12" s="20"/>
      <c r="Q12" s="20"/>
      <c r="R12" s="20"/>
      <c r="S12" s="20"/>
      <c r="T12" s="20"/>
      <c r="U12" s="20"/>
      <c r="V12" s="20"/>
      <c r="W12" s="20"/>
      <c r="X12" s="20"/>
    </row>
    <row r="13">
      <c r="A13" s="2" t="s">
        <v>904</v>
      </c>
      <c r="B13" s="2" t="s">
        <v>905</v>
      </c>
      <c r="C13" s="2" t="s">
        <v>906</v>
      </c>
      <c r="D13" s="230">
        <v>1.02</v>
      </c>
      <c r="E13" s="230">
        <v>1.02</v>
      </c>
      <c r="F13" s="139"/>
      <c r="G13" s="231">
        <v>4.2</v>
      </c>
      <c r="H13" s="233">
        <v>1.05</v>
      </c>
      <c r="I13" s="138">
        <v>1.05</v>
      </c>
      <c r="J13" s="138"/>
      <c r="K13" s="138"/>
      <c r="L13" s="138"/>
      <c r="M13" s="20"/>
      <c r="N13" s="20"/>
      <c r="O13" s="20"/>
      <c r="P13" s="20"/>
      <c r="Q13" s="20"/>
      <c r="R13" s="20"/>
      <c r="S13" s="20"/>
      <c r="T13" s="20"/>
      <c r="U13" s="20"/>
      <c r="V13" s="20"/>
      <c r="W13" s="20"/>
      <c r="X13" s="20"/>
    </row>
    <row r="14">
      <c r="A14" s="2" t="s">
        <v>907</v>
      </c>
      <c r="B14" s="2" t="s">
        <v>908</v>
      </c>
      <c r="C14" s="2" t="s">
        <v>906</v>
      </c>
      <c r="D14" s="230"/>
      <c r="E14" s="230"/>
      <c r="F14" s="139"/>
      <c r="G14" s="234">
        <v>0.26</v>
      </c>
      <c r="H14" s="233">
        <v>0.26</v>
      </c>
      <c r="I14" s="138">
        <v>0.26</v>
      </c>
      <c r="J14" s="138"/>
      <c r="K14" s="138"/>
      <c r="L14" s="138"/>
      <c r="M14" s="20"/>
      <c r="N14" s="20"/>
      <c r="O14" s="20"/>
      <c r="P14" s="20"/>
      <c r="Q14" s="20"/>
      <c r="R14" s="20"/>
      <c r="S14" s="20"/>
      <c r="T14" s="20"/>
      <c r="U14" s="20"/>
      <c r="V14" s="20"/>
      <c r="W14" s="20"/>
      <c r="X14" s="20"/>
    </row>
    <row r="15">
      <c r="A15" s="2" t="s">
        <v>909</v>
      </c>
      <c r="B15" s="2" t="s">
        <v>910</v>
      </c>
      <c r="C15" s="2" t="s">
        <v>911</v>
      </c>
      <c r="D15" s="230">
        <v>1.2</v>
      </c>
      <c r="E15" s="230">
        <v>1.2</v>
      </c>
      <c r="F15" s="138"/>
      <c r="G15" s="233">
        <v>1.2</v>
      </c>
      <c r="H15" s="233">
        <v>0.8</v>
      </c>
      <c r="I15" s="138">
        <v>0.8</v>
      </c>
      <c r="J15" s="138"/>
      <c r="K15" s="138"/>
      <c r="L15" s="138"/>
      <c r="M15" s="20"/>
      <c r="N15" s="20"/>
      <c r="O15" s="20"/>
      <c r="P15" s="20"/>
      <c r="Q15" s="20"/>
      <c r="R15" s="20"/>
      <c r="S15" s="20"/>
      <c r="T15" s="20"/>
      <c r="U15" s="20"/>
      <c r="V15" s="20"/>
      <c r="W15" s="20"/>
      <c r="X15" s="20"/>
    </row>
    <row r="16">
      <c r="A16" s="2" t="s">
        <v>912</v>
      </c>
      <c r="B16" s="2" t="s">
        <v>913</v>
      </c>
      <c r="C16" s="2" t="s">
        <v>195</v>
      </c>
      <c r="D16" s="230">
        <v>0.0265</v>
      </c>
      <c r="E16" s="230">
        <v>0.03</v>
      </c>
      <c r="F16" s="138"/>
      <c r="G16" s="233">
        <v>0.0265</v>
      </c>
      <c r="H16" s="233">
        <v>0.03</v>
      </c>
      <c r="I16" s="138">
        <v>0.03</v>
      </c>
      <c r="J16" s="138"/>
      <c r="K16" s="138"/>
      <c r="L16" s="138"/>
      <c r="M16" s="20"/>
      <c r="N16" s="20"/>
      <c r="O16" s="20"/>
      <c r="P16" s="20"/>
      <c r="Q16" s="20"/>
      <c r="R16" s="20"/>
      <c r="S16" s="20"/>
      <c r="T16" s="20"/>
      <c r="U16" s="20"/>
      <c r="V16" s="20"/>
      <c r="W16" s="20"/>
      <c r="X16" s="20"/>
    </row>
    <row r="17">
      <c r="A17" s="2" t="s">
        <v>914</v>
      </c>
      <c r="B17" s="2" t="s">
        <v>915</v>
      </c>
      <c r="C17" s="2" t="s">
        <v>916</v>
      </c>
      <c r="D17" s="230">
        <v>0.04</v>
      </c>
      <c r="E17" s="230">
        <v>0.04</v>
      </c>
      <c r="F17" s="138"/>
      <c r="G17" s="232">
        <v>0.04</v>
      </c>
      <c r="H17" s="232">
        <v>0.025</v>
      </c>
      <c r="I17" s="138">
        <v>0.025</v>
      </c>
      <c r="J17" s="138"/>
      <c r="K17" s="138"/>
      <c r="L17" s="138"/>
      <c r="M17" s="20"/>
      <c r="N17" s="20"/>
      <c r="O17" s="20"/>
      <c r="P17" s="20"/>
      <c r="Q17" s="20"/>
      <c r="R17" s="20"/>
      <c r="S17" s="20"/>
      <c r="T17" s="20"/>
      <c r="U17" s="20"/>
      <c r="V17" s="20"/>
      <c r="W17" s="20"/>
      <c r="X17" s="20"/>
    </row>
    <row r="18">
      <c r="A18" s="2" t="s">
        <v>917</v>
      </c>
      <c r="B18" s="2" t="s">
        <v>918</v>
      </c>
      <c r="C18" s="2" t="s">
        <v>919</v>
      </c>
      <c r="D18" s="230">
        <v>20.0</v>
      </c>
      <c r="E18" s="230">
        <v>20.0</v>
      </c>
      <c r="F18" s="230">
        <v>60.0</v>
      </c>
      <c r="G18" s="231">
        <v>60.0</v>
      </c>
      <c r="H18" s="233">
        <v>60.0</v>
      </c>
      <c r="I18" s="230">
        <v>60.0</v>
      </c>
      <c r="J18" s="230">
        <v>60.0</v>
      </c>
      <c r="K18" s="235"/>
      <c r="L18" s="235"/>
      <c r="M18" s="20"/>
      <c r="N18" s="20"/>
      <c r="O18" s="20"/>
      <c r="P18" s="20"/>
      <c r="Q18" s="20"/>
      <c r="R18" s="20"/>
      <c r="S18" s="20"/>
      <c r="T18" s="20"/>
      <c r="U18" s="20"/>
      <c r="V18" s="20"/>
      <c r="W18" s="20"/>
      <c r="X18" s="20"/>
    </row>
    <row r="19">
      <c r="A19" s="2" t="s">
        <v>920</v>
      </c>
      <c r="B19" s="2" t="s">
        <v>921</v>
      </c>
      <c r="C19" s="2" t="s">
        <v>922</v>
      </c>
      <c r="D19" s="224">
        <v>20.0</v>
      </c>
      <c r="E19" s="224">
        <v>20.0</v>
      </c>
      <c r="F19" s="224">
        <v>20.0</v>
      </c>
      <c r="G19" s="236">
        <v>20.0</v>
      </c>
      <c r="H19" s="237">
        <v>20.0</v>
      </c>
      <c r="I19" s="138">
        <v>20.0</v>
      </c>
      <c r="J19" s="138"/>
      <c r="K19" s="138"/>
      <c r="L19" s="139"/>
      <c r="M19" s="20"/>
      <c r="N19" s="20"/>
      <c r="O19" s="20"/>
      <c r="P19" s="20"/>
      <c r="Q19" s="20"/>
      <c r="R19" s="20"/>
      <c r="S19" s="20"/>
      <c r="T19" s="20"/>
      <c r="U19" s="20"/>
      <c r="V19" s="20"/>
      <c r="W19" s="20"/>
      <c r="X19" s="20"/>
    </row>
    <row r="20">
      <c r="A20" s="2" t="s">
        <v>923</v>
      </c>
      <c r="B20" s="2" t="s">
        <v>924</v>
      </c>
      <c r="C20" s="2" t="s">
        <v>922</v>
      </c>
      <c r="D20" s="224">
        <v>25.0</v>
      </c>
      <c r="E20" s="224">
        <v>25.0</v>
      </c>
      <c r="F20" s="224">
        <v>25.0</v>
      </c>
      <c r="G20" s="238">
        <v>25.0</v>
      </c>
      <c r="H20" s="225">
        <v>25.0</v>
      </c>
      <c r="I20" s="138">
        <v>25.0</v>
      </c>
      <c r="J20" s="138"/>
      <c r="K20" s="138"/>
      <c r="L20" s="138"/>
      <c r="M20" s="20"/>
      <c r="N20" s="20"/>
      <c r="O20" s="20"/>
      <c r="P20" s="20"/>
      <c r="Q20" s="20"/>
      <c r="R20" s="20"/>
      <c r="S20" s="20"/>
      <c r="T20" s="20"/>
      <c r="U20" s="20"/>
      <c r="V20" s="20"/>
      <c r="W20" s="20"/>
      <c r="X20" s="20"/>
    </row>
    <row r="21" hidden="1">
      <c r="A21" s="2" t="s">
        <v>925</v>
      </c>
      <c r="B21" s="2" t="s">
        <v>926</v>
      </c>
      <c r="C21" s="2" t="s">
        <v>927</v>
      </c>
      <c r="D21" s="226">
        <v>0.9</v>
      </c>
      <c r="E21" s="226">
        <v>0.9</v>
      </c>
      <c r="F21" s="226">
        <v>0.9</v>
      </c>
      <c r="G21" s="239">
        <v>1.0</v>
      </c>
      <c r="H21" s="228">
        <v>0.75</v>
      </c>
      <c r="I21" s="224">
        <v>0.75</v>
      </c>
      <c r="J21" s="224"/>
      <c r="K21" s="139"/>
      <c r="L21" s="139"/>
      <c r="M21" s="20"/>
      <c r="N21" s="20"/>
      <c r="O21" s="20"/>
      <c r="P21" s="20"/>
      <c r="Q21" s="20"/>
      <c r="R21" s="20"/>
      <c r="S21" s="20"/>
      <c r="T21" s="20"/>
      <c r="U21" s="20"/>
      <c r="V21" s="20"/>
      <c r="W21" s="20"/>
      <c r="X21" s="20"/>
    </row>
    <row r="22" hidden="1">
      <c r="A22" s="2" t="s">
        <v>928</v>
      </c>
      <c r="B22" s="2" t="s">
        <v>929</v>
      </c>
      <c r="C22" s="2" t="s">
        <v>927</v>
      </c>
      <c r="D22" s="226">
        <v>0.0</v>
      </c>
      <c r="E22" s="226">
        <v>0.0</v>
      </c>
      <c r="F22" s="226">
        <v>0.0</v>
      </c>
      <c r="G22" s="239">
        <v>0.0</v>
      </c>
      <c r="H22" s="228">
        <v>0.0</v>
      </c>
      <c r="I22" s="224">
        <v>0.0</v>
      </c>
      <c r="J22" s="224"/>
      <c r="K22" s="139"/>
      <c r="L22" s="139"/>
      <c r="M22" s="20"/>
      <c r="N22" s="20"/>
      <c r="O22" s="20"/>
      <c r="P22" s="20"/>
      <c r="Q22" s="20"/>
      <c r="R22" s="20"/>
      <c r="S22" s="20"/>
      <c r="T22" s="20"/>
      <c r="U22" s="20"/>
      <c r="V22" s="20"/>
      <c r="W22" s="20"/>
      <c r="X22" s="20"/>
    </row>
    <row r="23">
      <c r="A23" s="2" t="s">
        <v>930</v>
      </c>
      <c r="B23" s="2" t="s">
        <v>931</v>
      </c>
      <c r="C23" s="2" t="s">
        <v>927</v>
      </c>
      <c r="D23" s="226">
        <v>0.05</v>
      </c>
      <c r="E23" s="226">
        <v>0.05</v>
      </c>
      <c r="F23" s="226">
        <v>0.05</v>
      </c>
      <c r="G23" s="240">
        <v>0.05</v>
      </c>
      <c r="H23" s="241">
        <v>0.05</v>
      </c>
      <c r="I23" s="138">
        <v>0.05</v>
      </c>
      <c r="J23" s="138"/>
      <c r="K23" s="138"/>
      <c r="L23" s="138"/>
      <c r="M23" s="20"/>
      <c r="N23" s="20"/>
      <c r="O23" s="20"/>
      <c r="P23" s="20"/>
      <c r="Q23" s="20"/>
      <c r="R23" s="20"/>
      <c r="S23" s="20"/>
      <c r="T23" s="20"/>
      <c r="U23" s="20"/>
      <c r="V23" s="20"/>
      <c r="W23" s="20"/>
      <c r="X23" s="20"/>
    </row>
    <row r="24">
      <c r="A24" s="2" t="s">
        <v>932</v>
      </c>
      <c r="B24" s="2" t="s">
        <v>933</v>
      </c>
      <c r="C24" s="2" t="s">
        <v>934</v>
      </c>
      <c r="D24" s="226">
        <v>0.1</v>
      </c>
      <c r="E24" s="226">
        <v>0.1</v>
      </c>
      <c r="F24" s="226">
        <v>0.1</v>
      </c>
      <c r="G24" s="239">
        <v>0.1</v>
      </c>
      <c r="H24" s="228">
        <v>0.1</v>
      </c>
      <c r="I24" s="224">
        <v>0.1</v>
      </c>
      <c r="J24" s="138"/>
      <c r="K24" s="138"/>
      <c r="L24" s="138"/>
      <c r="M24" s="20"/>
      <c r="N24" s="20"/>
      <c r="O24" s="20"/>
      <c r="P24" s="20"/>
      <c r="Q24" s="20"/>
      <c r="R24" s="20"/>
      <c r="S24" s="20"/>
      <c r="T24" s="20"/>
      <c r="U24" s="20"/>
      <c r="V24" s="20"/>
      <c r="W24" s="20"/>
      <c r="X24" s="20"/>
    </row>
    <row r="25">
      <c r="A25" s="2" t="s">
        <v>935</v>
      </c>
      <c r="B25" s="2"/>
      <c r="C25" s="2" t="s">
        <v>936</v>
      </c>
      <c r="D25" s="224" t="s">
        <v>64</v>
      </c>
      <c r="E25" s="224" t="s">
        <v>64</v>
      </c>
      <c r="F25" s="224" t="s">
        <v>64</v>
      </c>
      <c r="G25" s="242">
        <v>67.0</v>
      </c>
      <c r="H25" s="242">
        <v>10.0</v>
      </c>
      <c r="I25" s="224"/>
      <c r="J25" s="224" t="s">
        <v>64</v>
      </c>
      <c r="K25" s="224" t="s">
        <v>64</v>
      </c>
      <c r="L25" s="224" t="s">
        <v>64</v>
      </c>
      <c r="M25" s="20"/>
      <c r="N25" s="20"/>
      <c r="O25" s="20"/>
      <c r="P25" s="20"/>
      <c r="Q25" s="20"/>
      <c r="R25" s="20"/>
      <c r="S25" s="20"/>
      <c r="T25" s="20"/>
      <c r="U25" s="20"/>
      <c r="V25" s="20"/>
      <c r="W25" s="20"/>
      <c r="X25" s="20"/>
    </row>
    <row r="26">
      <c r="A26" s="2" t="s">
        <v>937</v>
      </c>
      <c r="B26" s="2"/>
      <c r="C26" s="2" t="s">
        <v>938</v>
      </c>
      <c r="D26" s="224" t="s">
        <v>64</v>
      </c>
      <c r="E26" s="224" t="s">
        <v>64</v>
      </c>
      <c r="F26" s="224" t="s">
        <v>64</v>
      </c>
      <c r="G26" s="242">
        <f>324*2</f>
        <v>648</v>
      </c>
      <c r="H26" s="242">
        <v>280.0</v>
      </c>
      <c r="I26" s="224"/>
      <c r="J26" s="224" t="s">
        <v>64</v>
      </c>
      <c r="K26" s="224" t="s">
        <v>64</v>
      </c>
      <c r="L26" s="224" t="s">
        <v>64</v>
      </c>
      <c r="M26" s="20"/>
      <c r="N26" s="20"/>
      <c r="O26" s="20"/>
      <c r="P26" s="20"/>
      <c r="Q26" s="20"/>
      <c r="R26" s="20"/>
      <c r="S26" s="20"/>
      <c r="T26" s="20"/>
      <c r="U26" s="20"/>
      <c r="V26" s="20"/>
      <c r="W26" s="20"/>
      <c r="X26" s="20"/>
    </row>
    <row r="27">
      <c r="A27" s="2" t="s">
        <v>939</v>
      </c>
      <c r="B27" s="243" t="s">
        <v>940</v>
      </c>
      <c r="C27" s="2" t="s">
        <v>941</v>
      </c>
      <c r="D27" s="224">
        <v>0.27343</v>
      </c>
      <c r="E27" s="224">
        <v>0.27343</v>
      </c>
      <c r="F27" s="224">
        <v>0.32716</v>
      </c>
      <c r="G27" s="244">
        <f>703.703/1000*0.453592</f>
        <v>0.3191940512</v>
      </c>
      <c r="H27" s="62">
        <v>0.5836</v>
      </c>
      <c r="I27" s="224">
        <v>0.5306</v>
      </c>
      <c r="J27" s="224">
        <v>0.58023</v>
      </c>
      <c r="K27" s="224">
        <v>0.11541</v>
      </c>
      <c r="L27" s="224">
        <v>0.06398</v>
      </c>
      <c r="M27" s="20"/>
      <c r="N27" s="20"/>
      <c r="O27" s="20"/>
      <c r="P27" s="20"/>
      <c r="Q27" s="20"/>
      <c r="R27" s="20"/>
      <c r="S27" s="20"/>
      <c r="T27" s="20"/>
      <c r="U27" s="20"/>
      <c r="V27" s="20"/>
      <c r="W27" s="20"/>
      <c r="X27" s="20"/>
    </row>
    <row r="28">
      <c r="A28" s="2" t="s">
        <v>942</v>
      </c>
      <c r="B28" s="2" t="s">
        <v>943</v>
      </c>
      <c r="C28" s="2" t="s">
        <v>944</v>
      </c>
      <c r="D28" s="224">
        <v>0.1</v>
      </c>
      <c r="E28" s="224">
        <v>0.1</v>
      </c>
      <c r="F28" s="224">
        <v>0.1</v>
      </c>
      <c r="G28" s="2">
        <v>0.1</v>
      </c>
      <c r="H28" s="2">
        <v>0.1</v>
      </c>
      <c r="I28" s="224">
        <v>0.1</v>
      </c>
      <c r="J28" s="224">
        <v>0.1</v>
      </c>
      <c r="K28" s="224">
        <v>0.1</v>
      </c>
      <c r="L28" s="224">
        <v>0.1</v>
      </c>
      <c r="M28" s="20"/>
      <c r="N28" s="20"/>
      <c r="O28" s="20"/>
      <c r="P28" s="20"/>
      <c r="Q28" s="20"/>
      <c r="R28" s="20"/>
      <c r="S28" s="20"/>
      <c r="T28" s="20"/>
      <c r="U28" s="20"/>
      <c r="V28" s="20"/>
      <c r="W28" s="20"/>
      <c r="X28" s="20"/>
    </row>
    <row r="29">
      <c r="A29" s="2" t="s">
        <v>945</v>
      </c>
      <c r="B29" s="2" t="s">
        <v>946</v>
      </c>
      <c r="C29" s="2" t="s">
        <v>947</v>
      </c>
      <c r="D29" s="224">
        <v>53.06</v>
      </c>
      <c r="E29" s="224">
        <v>53.06</v>
      </c>
      <c r="F29" s="224">
        <v>53.06</v>
      </c>
      <c r="G29" s="2">
        <v>53.06</v>
      </c>
      <c r="H29" s="2">
        <v>53.06</v>
      </c>
      <c r="I29" s="224">
        <v>53.06</v>
      </c>
      <c r="J29" s="224">
        <v>53.06</v>
      </c>
      <c r="K29" s="224">
        <v>53.06</v>
      </c>
      <c r="L29" s="224">
        <v>53.06</v>
      </c>
      <c r="M29" s="20"/>
      <c r="N29" s="20"/>
      <c r="O29" s="20"/>
      <c r="P29" s="20"/>
      <c r="Q29" s="20"/>
      <c r="R29" s="20"/>
      <c r="S29" s="20"/>
      <c r="T29" s="20"/>
      <c r="U29" s="20"/>
      <c r="V29" s="20"/>
      <c r="W29" s="20"/>
      <c r="X29" s="20"/>
    </row>
    <row r="30">
      <c r="A30" s="2" t="s">
        <v>948</v>
      </c>
      <c r="B30" s="2" t="s">
        <v>949</v>
      </c>
      <c r="C30" s="2" t="s">
        <v>950</v>
      </c>
      <c r="D30" s="224">
        <v>0.08</v>
      </c>
      <c r="E30" s="224">
        <v>0.08</v>
      </c>
      <c r="F30" s="224">
        <v>0.08</v>
      </c>
      <c r="G30" s="218">
        <v>0.08</v>
      </c>
      <c r="H30" s="218">
        <v>0.08</v>
      </c>
      <c r="I30" s="224">
        <v>0.08</v>
      </c>
      <c r="J30" s="224">
        <v>0.08</v>
      </c>
      <c r="K30" s="224">
        <v>0.08</v>
      </c>
      <c r="L30" s="224">
        <v>0.08</v>
      </c>
      <c r="M30" s="20"/>
      <c r="N30" s="20"/>
      <c r="O30" s="20"/>
      <c r="P30" s="20"/>
      <c r="Q30" s="20"/>
      <c r="R30" s="20"/>
      <c r="S30" s="20"/>
      <c r="T30" s="20"/>
      <c r="U30" s="20"/>
      <c r="V30" s="20"/>
      <c r="W30" s="20"/>
      <c r="X30" s="20"/>
    </row>
    <row r="31">
      <c r="A31" s="2" t="s">
        <v>951</v>
      </c>
      <c r="B31" s="2" t="s">
        <v>952</v>
      </c>
      <c r="C31" s="2" t="s">
        <v>953</v>
      </c>
      <c r="D31" s="224">
        <v>0.15</v>
      </c>
      <c r="E31" s="224">
        <v>0.15</v>
      </c>
      <c r="F31" s="224">
        <v>0.15</v>
      </c>
      <c r="G31" s="218">
        <v>0.15</v>
      </c>
      <c r="H31" s="218">
        <v>0.15</v>
      </c>
      <c r="I31" s="224">
        <v>0.15</v>
      </c>
      <c r="J31" s="224">
        <v>0.15</v>
      </c>
      <c r="K31" s="224">
        <v>0.15</v>
      </c>
      <c r="L31" s="224">
        <v>0.15</v>
      </c>
      <c r="M31" s="20"/>
      <c r="N31" s="20"/>
      <c r="O31" s="20"/>
      <c r="P31" s="20"/>
      <c r="Q31" s="20"/>
      <c r="R31" s="20"/>
      <c r="S31" s="20"/>
      <c r="T31" s="20"/>
      <c r="U31" s="20"/>
      <c r="V31" s="20"/>
      <c r="W31" s="20"/>
      <c r="X31" s="20"/>
    </row>
    <row r="32" hidden="1">
      <c r="A32" s="2" t="s">
        <v>954</v>
      </c>
      <c r="B32" s="2" t="s">
        <v>955</v>
      </c>
      <c r="C32" s="2" t="s">
        <v>956</v>
      </c>
      <c r="D32" s="138"/>
      <c r="E32" s="138"/>
      <c r="F32" s="138"/>
      <c r="G32" s="134"/>
      <c r="H32" s="134"/>
      <c r="I32" s="138"/>
      <c r="J32" s="138"/>
      <c r="K32" s="138"/>
      <c r="L32" s="138"/>
      <c r="M32" s="20"/>
      <c r="N32" s="20"/>
      <c r="O32" s="20"/>
      <c r="P32" s="20"/>
      <c r="Q32" s="20"/>
      <c r="R32" s="20"/>
      <c r="S32" s="20"/>
      <c r="T32" s="20"/>
      <c r="U32" s="20"/>
      <c r="V32" s="20"/>
      <c r="W32" s="20"/>
      <c r="X32" s="20"/>
    </row>
    <row r="33" hidden="1">
      <c r="A33" s="2" t="s">
        <v>957</v>
      </c>
      <c r="B33" s="2" t="s">
        <v>958</v>
      </c>
      <c r="C33" s="2" t="s">
        <v>956</v>
      </c>
      <c r="D33" s="138"/>
      <c r="E33" s="138"/>
      <c r="F33" s="138"/>
      <c r="G33" s="134"/>
      <c r="H33" s="134"/>
      <c r="I33" s="138"/>
      <c r="J33" s="138"/>
      <c r="K33" s="138"/>
      <c r="L33" s="138"/>
      <c r="M33" s="20"/>
      <c r="N33" s="20"/>
      <c r="O33" s="20"/>
      <c r="P33" s="20"/>
      <c r="Q33" s="20"/>
      <c r="R33" s="20"/>
      <c r="S33" s="20"/>
      <c r="T33" s="20"/>
      <c r="U33" s="20"/>
      <c r="V33" s="20"/>
      <c r="W33" s="20"/>
      <c r="X33" s="20"/>
    </row>
    <row r="34" hidden="1">
      <c r="A34" s="2" t="s">
        <v>959</v>
      </c>
      <c r="B34" s="2" t="s">
        <v>960</v>
      </c>
      <c r="C34" s="2" t="s">
        <v>956</v>
      </c>
      <c r="D34" s="138"/>
      <c r="E34" s="138"/>
      <c r="F34" s="138"/>
      <c r="G34" s="134"/>
      <c r="H34" s="134"/>
      <c r="I34" s="138"/>
      <c r="J34" s="138"/>
      <c r="K34" s="138"/>
      <c r="L34" s="138"/>
      <c r="M34" s="20"/>
      <c r="N34" s="20"/>
      <c r="O34" s="20"/>
      <c r="P34" s="20"/>
      <c r="Q34" s="20"/>
      <c r="R34" s="20"/>
      <c r="S34" s="20"/>
      <c r="T34" s="20"/>
      <c r="U34" s="20"/>
      <c r="V34" s="20"/>
      <c r="W34" s="20"/>
      <c r="X34" s="20"/>
    </row>
    <row r="35" hidden="1">
      <c r="A35" s="2" t="s">
        <v>961</v>
      </c>
      <c r="B35" s="2" t="s">
        <v>962</v>
      </c>
      <c r="C35" s="2" t="s">
        <v>963</v>
      </c>
      <c r="D35" s="138"/>
      <c r="E35" s="138"/>
      <c r="F35" s="138"/>
      <c r="G35" s="134"/>
      <c r="H35" s="134"/>
      <c r="I35" s="138"/>
      <c r="J35" s="138"/>
      <c r="K35" s="138"/>
      <c r="L35" s="138"/>
      <c r="M35" s="20"/>
      <c r="N35" s="20"/>
      <c r="O35" s="20"/>
      <c r="P35" s="20"/>
      <c r="Q35" s="20"/>
      <c r="R35" s="20"/>
      <c r="S35" s="20"/>
      <c r="T35" s="20"/>
      <c r="U35" s="20"/>
      <c r="V35" s="20"/>
      <c r="W35" s="20"/>
      <c r="X35" s="20"/>
    </row>
    <row r="36" hidden="1">
      <c r="A36" s="2" t="s">
        <v>964</v>
      </c>
      <c r="C36" s="2" t="s">
        <v>956</v>
      </c>
      <c r="D36" s="138"/>
      <c r="E36" s="138"/>
      <c r="F36" s="138"/>
      <c r="G36" s="134"/>
      <c r="H36" s="134"/>
      <c r="I36" s="138"/>
      <c r="J36" s="138"/>
      <c r="K36" s="138"/>
      <c r="L36" s="138"/>
      <c r="M36" s="20"/>
      <c r="N36" s="20"/>
      <c r="O36" s="20"/>
      <c r="P36" s="20"/>
      <c r="Q36" s="20"/>
      <c r="R36" s="20"/>
      <c r="S36" s="20"/>
      <c r="T36" s="20"/>
      <c r="U36" s="20"/>
      <c r="V36" s="20"/>
      <c r="W36" s="20"/>
      <c r="X36" s="20"/>
    </row>
    <row r="37" hidden="1">
      <c r="A37" s="2" t="s">
        <v>965</v>
      </c>
      <c r="C37" s="2" t="s">
        <v>956</v>
      </c>
      <c r="D37" s="138"/>
      <c r="E37" s="138"/>
      <c r="F37" s="138"/>
      <c r="G37" s="134"/>
      <c r="H37" s="134"/>
      <c r="I37" s="138"/>
      <c r="J37" s="138"/>
      <c r="K37" s="138"/>
      <c r="L37" s="138"/>
      <c r="M37" s="20"/>
      <c r="N37" s="20"/>
      <c r="O37" s="20"/>
      <c r="P37" s="20"/>
      <c r="Q37" s="20"/>
      <c r="R37" s="20"/>
      <c r="S37" s="20"/>
      <c r="T37" s="20"/>
      <c r="U37" s="20"/>
      <c r="V37" s="20"/>
      <c r="W37" s="20"/>
      <c r="X37" s="20"/>
    </row>
    <row r="38">
      <c r="A38" s="2" t="s">
        <v>966</v>
      </c>
      <c r="B38" s="2" t="s">
        <v>967</v>
      </c>
      <c r="C38" s="2" t="s">
        <v>968</v>
      </c>
      <c r="D38" s="224">
        <v>1.51</v>
      </c>
      <c r="E38" s="224">
        <v>1.51</v>
      </c>
      <c r="F38" s="224">
        <v>1.51</v>
      </c>
      <c r="G38" s="62">
        <v>1.51</v>
      </c>
      <c r="H38" s="62">
        <v>1.51</v>
      </c>
      <c r="I38" s="224">
        <v>1.51</v>
      </c>
      <c r="J38" s="224">
        <v>1.51</v>
      </c>
      <c r="K38" s="224">
        <v>1.51</v>
      </c>
      <c r="L38" s="224">
        <v>1.51</v>
      </c>
      <c r="M38" s="20"/>
      <c r="N38" s="20"/>
      <c r="O38" s="20"/>
      <c r="P38" s="20"/>
      <c r="Q38" s="20"/>
      <c r="R38" s="20"/>
      <c r="S38" s="20"/>
      <c r="T38" s="20"/>
      <c r="U38" s="20"/>
      <c r="V38" s="20"/>
      <c r="W38" s="20"/>
      <c r="X38" s="20"/>
    </row>
    <row r="39">
      <c r="A39" s="2" t="s">
        <v>969</v>
      </c>
      <c r="B39" s="2" t="s">
        <v>970</v>
      </c>
      <c r="C39" s="2" t="s">
        <v>968</v>
      </c>
      <c r="D39" s="224">
        <v>2.68</v>
      </c>
      <c r="E39" s="224">
        <v>2.68</v>
      </c>
      <c r="F39" s="224">
        <v>2.68</v>
      </c>
      <c r="G39" s="62">
        <v>2.68</v>
      </c>
      <c r="H39" s="62">
        <v>2.68</v>
      </c>
      <c r="I39" s="224">
        <v>2.68</v>
      </c>
      <c r="J39" s="224">
        <v>2.68</v>
      </c>
      <c r="K39" s="224">
        <v>2.68</v>
      </c>
      <c r="L39" s="224">
        <v>2.68</v>
      </c>
      <c r="M39" s="20"/>
      <c r="N39" s="20"/>
      <c r="O39" s="20"/>
      <c r="P39" s="20"/>
      <c r="Q39" s="20"/>
      <c r="R39" s="20"/>
      <c r="S39" s="20"/>
      <c r="T39" s="20"/>
      <c r="U39" s="20"/>
      <c r="V39" s="20"/>
      <c r="W39" s="20"/>
      <c r="X39" s="20"/>
    </row>
    <row r="40">
      <c r="A40" s="2"/>
      <c r="D40" s="138"/>
      <c r="E40" s="138"/>
      <c r="F40" s="138"/>
      <c r="G40" s="134"/>
      <c r="H40" s="134"/>
      <c r="I40" s="138"/>
      <c r="J40" s="138"/>
      <c r="K40" s="138"/>
      <c r="L40" s="138"/>
      <c r="M40" s="20"/>
      <c r="N40" s="20"/>
      <c r="O40" s="20"/>
      <c r="P40" s="20"/>
      <c r="Q40" s="20"/>
      <c r="R40" s="20"/>
      <c r="S40" s="20"/>
      <c r="T40" s="20"/>
      <c r="U40" s="20"/>
      <c r="V40" s="20"/>
      <c r="W40" s="20"/>
      <c r="X40" s="20"/>
    </row>
    <row r="41">
      <c r="B41" s="134"/>
      <c r="C41" s="134"/>
      <c r="D41" s="138"/>
      <c r="E41" s="138"/>
      <c r="F41" s="138"/>
      <c r="G41" s="134"/>
      <c r="H41" s="134"/>
      <c r="I41" s="138"/>
      <c r="J41" s="138"/>
      <c r="K41" s="138"/>
      <c r="L41" s="138"/>
      <c r="M41" s="20"/>
      <c r="N41" s="20"/>
      <c r="O41" s="20"/>
      <c r="P41" s="20"/>
      <c r="Q41" s="20"/>
      <c r="R41" s="20"/>
      <c r="S41" s="20"/>
      <c r="T41" s="20"/>
      <c r="U41" s="20"/>
      <c r="V41" s="20"/>
      <c r="W41" s="20"/>
      <c r="X41" s="20"/>
    </row>
    <row r="42">
      <c r="B42" s="134"/>
      <c r="C42" s="134"/>
      <c r="D42" s="138"/>
      <c r="E42" s="138"/>
      <c r="F42" s="138"/>
      <c r="G42" s="134"/>
      <c r="H42" s="134"/>
      <c r="I42" s="138"/>
      <c r="J42" s="138"/>
      <c r="K42" s="138"/>
      <c r="L42" s="138"/>
      <c r="M42" s="20"/>
      <c r="N42" s="20"/>
      <c r="O42" s="20"/>
      <c r="P42" s="20"/>
      <c r="Q42" s="20"/>
      <c r="R42" s="20"/>
      <c r="S42" s="20"/>
      <c r="T42" s="20"/>
      <c r="U42" s="20"/>
      <c r="V42" s="20"/>
      <c r="W42" s="20"/>
      <c r="X42" s="20"/>
    </row>
    <row r="43">
      <c r="B43" s="134"/>
      <c r="C43" s="134"/>
      <c r="D43" s="138"/>
      <c r="E43" s="138"/>
      <c r="F43" s="138"/>
      <c r="G43" s="134"/>
      <c r="H43" s="134"/>
      <c r="I43" s="138"/>
      <c r="J43" s="138"/>
      <c r="K43" s="138"/>
      <c r="L43" s="138"/>
      <c r="M43" s="20"/>
      <c r="N43" s="20"/>
      <c r="O43" s="20"/>
      <c r="P43" s="20"/>
      <c r="Q43" s="20"/>
      <c r="R43" s="20"/>
      <c r="S43" s="20"/>
      <c r="T43" s="20"/>
      <c r="U43" s="20"/>
      <c r="V43" s="20"/>
      <c r="W43" s="20"/>
      <c r="X43" s="20"/>
    </row>
    <row r="44">
      <c r="B44" s="134"/>
      <c r="C44" s="134"/>
      <c r="D44" s="138"/>
      <c r="E44" s="138"/>
      <c r="F44" s="138"/>
      <c r="G44" s="134"/>
      <c r="H44" s="134"/>
      <c r="I44" s="138"/>
      <c r="J44" s="138"/>
      <c r="K44" s="138"/>
      <c r="L44" s="138"/>
      <c r="M44" s="20"/>
      <c r="N44" s="20"/>
      <c r="O44" s="20"/>
      <c r="P44" s="20"/>
      <c r="Q44" s="20"/>
      <c r="R44" s="20"/>
      <c r="S44" s="20"/>
      <c r="T44" s="20"/>
      <c r="U44" s="20"/>
      <c r="V44" s="20"/>
      <c r="W44" s="20"/>
      <c r="X44" s="20"/>
    </row>
    <row r="45">
      <c r="B45" s="134"/>
      <c r="C45" s="134"/>
      <c r="D45" s="138"/>
      <c r="E45" s="138"/>
      <c r="F45" s="138"/>
      <c r="G45" s="134"/>
      <c r="H45" s="134"/>
      <c r="I45" s="138"/>
      <c r="J45" s="138"/>
      <c r="K45" s="138"/>
      <c r="L45" s="138"/>
      <c r="M45" s="20"/>
      <c r="N45" s="20"/>
      <c r="O45" s="20"/>
      <c r="P45" s="20"/>
      <c r="Q45" s="20"/>
      <c r="R45" s="20"/>
      <c r="S45" s="20"/>
      <c r="T45" s="20"/>
      <c r="U45" s="20"/>
      <c r="V45" s="20"/>
      <c r="W45" s="20"/>
      <c r="X45" s="20"/>
    </row>
    <row r="46">
      <c r="A46" s="134"/>
      <c r="B46" s="134"/>
      <c r="C46" s="134"/>
      <c r="D46" s="138"/>
      <c r="E46" s="138"/>
      <c r="F46" s="138"/>
      <c r="G46" s="134"/>
      <c r="H46" s="134"/>
      <c r="I46" s="138"/>
      <c r="J46" s="138"/>
      <c r="K46" s="138"/>
      <c r="L46" s="138"/>
      <c r="M46" s="20"/>
      <c r="N46" s="20"/>
      <c r="O46" s="20"/>
      <c r="P46" s="20"/>
      <c r="Q46" s="20"/>
      <c r="R46" s="20"/>
      <c r="S46" s="20"/>
      <c r="T46" s="20"/>
      <c r="U46" s="20"/>
      <c r="V46" s="20"/>
      <c r="W46" s="20"/>
      <c r="X46" s="20"/>
    </row>
    <row r="47">
      <c r="A47" s="134"/>
      <c r="B47" s="134"/>
      <c r="C47" s="134"/>
      <c r="D47" s="138"/>
      <c r="E47" s="138"/>
      <c r="F47" s="138"/>
      <c r="G47" s="134"/>
      <c r="H47" s="134"/>
      <c r="I47" s="138"/>
      <c r="J47" s="138"/>
      <c r="K47" s="138"/>
      <c r="L47" s="138"/>
      <c r="M47" s="20"/>
      <c r="N47" s="20"/>
      <c r="O47" s="20"/>
      <c r="P47" s="20"/>
      <c r="Q47" s="20"/>
      <c r="R47" s="20"/>
      <c r="S47" s="20"/>
      <c r="T47" s="20"/>
      <c r="U47" s="20"/>
      <c r="V47" s="20"/>
      <c r="W47" s="20"/>
      <c r="X47" s="20"/>
    </row>
    <row r="48">
      <c r="A48" s="134"/>
      <c r="B48" s="134"/>
      <c r="C48" s="134"/>
      <c r="D48" s="138"/>
      <c r="E48" s="138"/>
      <c r="F48" s="138"/>
      <c r="G48" s="134"/>
      <c r="H48" s="134"/>
      <c r="I48" s="138"/>
      <c r="J48" s="138"/>
      <c r="K48" s="138"/>
      <c r="L48" s="138"/>
      <c r="M48" s="20"/>
      <c r="N48" s="20"/>
      <c r="O48" s="20"/>
      <c r="P48" s="20"/>
      <c r="Q48" s="20"/>
      <c r="R48" s="20"/>
      <c r="S48" s="20"/>
      <c r="T48" s="20"/>
      <c r="U48" s="20"/>
      <c r="V48" s="20"/>
      <c r="W48" s="20"/>
      <c r="X48" s="20"/>
    </row>
    <row r="49">
      <c r="A49" s="134"/>
      <c r="B49" s="134"/>
      <c r="C49" s="134"/>
      <c r="D49" s="138"/>
      <c r="E49" s="138"/>
      <c r="F49" s="138"/>
      <c r="G49" s="134"/>
      <c r="H49" s="134"/>
      <c r="I49" s="138"/>
      <c r="J49" s="138"/>
      <c r="K49" s="138"/>
      <c r="L49" s="138"/>
      <c r="M49" s="20"/>
      <c r="N49" s="20"/>
      <c r="O49" s="20"/>
      <c r="P49" s="20"/>
      <c r="Q49" s="20"/>
      <c r="R49" s="20"/>
      <c r="S49" s="20"/>
      <c r="T49" s="20"/>
      <c r="U49" s="20"/>
      <c r="V49" s="20"/>
      <c r="W49" s="20"/>
      <c r="X49" s="20"/>
    </row>
    <row r="50">
      <c r="A50" s="134"/>
      <c r="B50" s="134"/>
      <c r="C50" s="134"/>
      <c r="D50" s="138"/>
      <c r="E50" s="138"/>
      <c r="F50" s="138"/>
      <c r="G50" s="134"/>
      <c r="H50" s="134"/>
      <c r="I50" s="138"/>
      <c r="J50" s="138"/>
      <c r="K50" s="138"/>
      <c r="L50" s="138"/>
      <c r="M50" s="20"/>
      <c r="N50" s="20"/>
      <c r="O50" s="20"/>
      <c r="P50" s="20"/>
      <c r="Q50" s="20"/>
      <c r="R50" s="20"/>
      <c r="S50" s="20"/>
      <c r="T50" s="20"/>
      <c r="U50" s="20"/>
      <c r="V50" s="20"/>
      <c r="W50" s="20"/>
      <c r="X50" s="20"/>
    </row>
    <row r="51">
      <c r="A51" s="134"/>
      <c r="B51" s="134"/>
      <c r="C51" s="134"/>
      <c r="D51" s="138"/>
      <c r="E51" s="138"/>
      <c r="F51" s="138"/>
      <c r="G51" s="134"/>
      <c r="H51" s="134"/>
      <c r="I51" s="138"/>
      <c r="J51" s="138"/>
      <c r="K51" s="138"/>
      <c r="L51" s="138"/>
      <c r="M51" s="20"/>
      <c r="N51" s="20"/>
      <c r="O51" s="20"/>
      <c r="P51" s="20"/>
      <c r="Q51" s="20"/>
      <c r="R51" s="20"/>
      <c r="S51" s="20"/>
      <c r="T51" s="20"/>
      <c r="U51" s="20"/>
      <c r="V51" s="20"/>
      <c r="W51" s="20"/>
      <c r="X51" s="20"/>
    </row>
    <row r="52">
      <c r="A52" s="134"/>
      <c r="B52" s="134"/>
      <c r="C52" s="134"/>
      <c r="D52" s="138"/>
      <c r="E52" s="138"/>
      <c r="F52" s="138"/>
      <c r="G52" s="134"/>
      <c r="H52" s="134"/>
      <c r="I52" s="138"/>
      <c r="J52" s="138"/>
      <c r="K52" s="138"/>
      <c r="L52" s="138"/>
      <c r="M52" s="20"/>
      <c r="N52" s="20"/>
      <c r="O52" s="20"/>
      <c r="P52" s="20"/>
      <c r="Q52" s="20"/>
      <c r="R52" s="20"/>
      <c r="S52" s="20"/>
      <c r="T52" s="20"/>
      <c r="U52" s="20"/>
      <c r="V52" s="20"/>
      <c r="W52" s="20"/>
      <c r="X52" s="20"/>
    </row>
    <row r="53">
      <c r="A53" s="134"/>
      <c r="B53" s="134"/>
      <c r="C53" s="134"/>
      <c r="D53" s="138"/>
      <c r="E53" s="138"/>
      <c r="F53" s="138"/>
      <c r="G53" s="134"/>
      <c r="H53" s="134"/>
      <c r="I53" s="138"/>
      <c r="J53" s="138"/>
      <c r="K53" s="138"/>
      <c r="L53" s="138"/>
      <c r="M53" s="20"/>
      <c r="N53" s="20"/>
      <c r="O53" s="20"/>
      <c r="P53" s="20"/>
      <c r="Q53" s="20"/>
      <c r="R53" s="20"/>
      <c r="S53" s="20"/>
      <c r="T53" s="20"/>
      <c r="U53" s="20"/>
      <c r="V53" s="20"/>
      <c r="W53" s="20"/>
      <c r="X53" s="20"/>
    </row>
    <row r="54">
      <c r="A54" s="134"/>
      <c r="B54" s="134"/>
      <c r="C54" s="134"/>
      <c r="D54" s="138"/>
      <c r="E54" s="138"/>
      <c r="F54" s="138"/>
      <c r="G54" s="134"/>
      <c r="H54" s="134"/>
      <c r="I54" s="139"/>
      <c r="J54" s="139"/>
      <c r="K54" s="139"/>
      <c r="L54" s="139"/>
      <c r="M54" s="20"/>
      <c r="N54" s="20"/>
      <c r="O54" s="20"/>
      <c r="P54" s="20"/>
      <c r="Q54" s="20"/>
      <c r="R54" s="20"/>
      <c r="S54" s="20"/>
      <c r="T54" s="20"/>
      <c r="U54" s="20"/>
      <c r="V54" s="20"/>
      <c r="W54" s="20"/>
      <c r="X54" s="20"/>
    </row>
    <row r="55">
      <c r="A55" s="134"/>
      <c r="B55" s="134"/>
      <c r="C55" s="134"/>
      <c r="D55" s="138"/>
      <c r="E55" s="138"/>
      <c r="F55" s="138"/>
      <c r="G55" s="134"/>
      <c r="H55" s="141"/>
      <c r="I55" s="245"/>
      <c r="J55" s="245"/>
      <c r="K55" s="138"/>
      <c r="L55" s="245"/>
      <c r="M55" s="20"/>
      <c r="N55" s="134"/>
      <c r="O55" s="134"/>
      <c r="P55" s="20"/>
      <c r="Q55" s="20"/>
      <c r="R55" s="20"/>
      <c r="S55" s="20"/>
      <c r="T55" s="20"/>
      <c r="U55" s="20"/>
      <c r="V55" s="20"/>
      <c r="W55" s="20"/>
      <c r="X55" s="20"/>
    </row>
    <row r="56">
      <c r="A56" s="134"/>
      <c r="B56" s="134"/>
      <c r="C56" s="134"/>
      <c r="D56" s="138"/>
      <c r="E56" s="138"/>
      <c r="F56" s="138"/>
      <c r="G56" s="134"/>
      <c r="H56" s="134"/>
      <c r="I56" s="138"/>
      <c r="J56" s="138"/>
      <c r="K56" s="138"/>
      <c r="L56" s="138"/>
      <c r="M56" s="20"/>
      <c r="N56" s="20"/>
      <c r="O56" s="20"/>
      <c r="P56" s="20"/>
      <c r="Q56" s="20"/>
      <c r="R56" s="20"/>
      <c r="S56" s="20"/>
      <c r="T56" s="20"/>
      <c r="U56" s="20"/>
      <c r="V56" s="20"/>
      <c r="W56" s="20"/>
      <c r="X56" s="20"/>
    </row>
    <row r="57">
      <c r="A57" s="134"/>
      <c r="B57" s="134"/>
      <c r="C57" s="134"/>
      <c r="D57" s="138"/>
      <c r="E57" s="138"/>
      <c r="F57" s="138"/>
      <c r="G57" s="134"/>
      <c r="H57" s="134"/>
      <c r="I57" s="138"/>
      <c r="J57" s="138"/>
      <c r="K57" s="138"/>
      <c r="L57" s="138"/>
      <c r="M57" s="20"/>
      <c r="N57" s="20"/>
      <c r="O57" s="20"/>
      <c r="P57" s="20"/>
      <c r="Q57" s="20"/>
      <c r="R57" s="20"/>
      <c r="S57" s="20"/>
      <c r="T57" s="20"/>
      <c r="U57" s="20"/>
      <c r="V57" s="20"/>
      <c r="W57" s="20"/>
      <c r="X57" s="20"/>
    </row>
    <row r="58">
      <c r="A58" s="134"/>
      <c r="D58" s="138"/>
      <c r="E58" s="138"/>
      <c r="F58" s="138"/>
      <c r="G58" s="134"/>
      <c r="H58" s="134"/>
      <c r="I58" s="139"/>
      <c r="J58" s="139"/>
      <c r="K58" s="138"/>
      <c r="L58" s="139"/>
      <c r="M58" s="20"/>
      <c r="N58" s="20"/>
      <c r="O58" s="20"/>
      <c r="P58" s="20"/>
      <c r="Q58" s="20"/>
      <c r="R58" s="20"/>
      <c r="S58" s="20"/>
      <c r="T58" s="20"/>
      <c r="U58" s="20"/>
      <c r="V58" s="20"/>
      <c r="W58" s="20"/>
      <c r="X58" s="20"/>
    </row>
    <row r="59">
      <c r="A59" s="134"/>
      <c r="D59" s="138"/>
      <c r="E59" s="138"/>
      <c r="F59" s="138"/>
      <c r="G59" s="134"/>
      <c r="H59" s="134"/>
      <c r="I59" s="139"/>
      <c r="J59" s="139"/>
      <c r="K59" s="138"/>
      <c r="L59" s="139"/>
      <c r="M59" s="20"/>
      <c r="N59" s="20"/>
      <c r="O59" s="20"/>
      <c r="P59" s="20"/>
      <c r="Q59" s="20"/>
      <c r="R59" s="20"/>
      <c r="S59" s="20"/>
      <c r="T59" s="20"/>
      <c r="U59" s="20"/>
      <c r="V59" s="20"/>
      <c r="W59" s="20"/>
      <c r="X59" s="20"/>
    </row>
    <row r="60">
      <c r="A60" s="134"/>
      <c r="B60" s="134"/>
      <c r="C60" s="134"/>
      <c r="D60" s="245"/>
      <c r="E60" s="245"/>
      <c r="F60" s="138"/>
      <c r="G60" s="134"/>
      <c r="H60" s="134"/>
      <c r="I60" s="139"/>
      <c r="J60" s="139"/>
      <c r="K60" s="138"/>
      <c r="L60" s="139"/>
      <c r="M60" s="20"/>
      <c r="N60" s="20"/>
      <c r="O60" s="20"/>
      <c r="P60" s="20"/>
      <c r="Q60" s="20"/>
      <c r="R60" s="20"/>
      <c r="S60" s="20"/>
      <c r="T60" s="20"/>
      <c r="U60" s="20"/>
      <c r="V60" s="20"/>
      <c r="W60" s="20"/>
      <c r="X60" s="20"/>
    </row>
    <row r="61">
      <c r="A61" s="134"/>
      <c r="B61" s="134"/>
      <c r="C61" s="134"/>
      <c r="D61" s="138"/>
      <c r="E61" s="138"/>
      <c r="F61" s="138"/>
      <c r="G61" s="134"/>
      <c r="H61" s="134"/>
      <c r="I61" s="139"/>
      <c r="J61" s="139"/>
      <c r="K61" s="138"/>
      <c r="L61" s="139"/>
      <c r="M61" s="20"/>
      <c r="N61" s="20"/>
      <c r="O61" s="20"/>
      <c r="P61" s="20"/>
      <c r="Q61" s="20"/>
      <c r="R61" s="20"/>
      <c r="S61" s="20"/>
      <c r="T61" s="20"/>
      <c r="U61" s="20"/>
      <c r="V61" s="20"/>
      <c r="W61" s="20"/>
      <c r="X61" s="20"/>
    </row>
    <row r="62">
      <c r="A62" s="134"/>
      <c r="D62" s="138"/>
      <c r="E62" s="138"/>
      <c r="F62" s="138"/>
      <c r="G62" s="134"/>
      <c r="H62" s="134"/>
      <c r="I62" s="139"/>
      <c r="J62" s="139"/>
      <c r="K62" s="138"/>
      <c r="L62" s="139"/>
      <c r="M62" s="20"/>
      <c r="N62" s="20"/>
      <c r="O62" s="20"/>
      <c r="P62" s="20"/>
      <c r="Q62" s="20"/>
      <c r="R62" s="20"/>
      <c r="S62" s="20"/>
      <c r="T62" s="20"/>
      <c r="U62" s="20"/>
      <c r="V62" s="20"/>
      <c r="W62" s="20"/>
      <c r="X62" s="20"/>
    </row>
    <row r="63">
      <c r="A63" s="134"/>
      <c r="B63" s="134"/>
      <c r="C63" s="134"/>
      <c r="D63" s="138"/>
      <c r="E63" s="138"/>
      <c r="F63" s="138"/>
      <c r="G63" s="134"/>
      <c r="I63" s="139"/>
      <c r="J63" s="139"/>
      <c r="K63" s="139"/>
      <c r="L63" s="139"/>
      <c r="M63" s="20"/>
      <c r="N63" s="20"/>
      <c r="O63" s="20"/>
      <c r="P63" s="20"/>
      <c r="Q63" s="20"/>
      <c r="R63" s="20"/>
      <c r="S63" s="20"/>
      <c r="T63" s="20"/>
      <c r="U63" s="20"/>
      <c r="V63" s="20"/>
      <c r="W63" s="20"/>
      <c r="X63" s="20"/>
    </row>
    <row r="64">
      <c r="A64" s="134"/>
      <c r="D64" s="138"/>
      <c r="E64" s="138"/>
      <c r="F64" s="138"/>
      <c r="G64" s="134"/>
      <c r="I64" s="139"/>
      <c r="J64" s="139"/>
      <c r="K64" s="139"/>
      <c r="L64" s="139"/>
      <c r="M64" s="20"/>
      <c r="N64" s="20"/>
      <c r="O64" s="20"/>
      <c r="P64" s="20"/>
      <c r="Q64" s="20"/>
      <c r="R64" s="20"/>
      <c r="S64" s="20"/>
      <c r="T64" s="20"/>
      <c r="U64" s="20"/>
      <c r="V64" s="20"/>
      <c r="W64" s="20"/>
      <c r="X64" s="20"/>
    </row>
    <row r="65">
      <c r="A65" s="134"/>
      <c r="D65" s="138"/>
      <c r="E65" s="138"/>
      <c r="F65" s="138"/>
      <c r="G65" s="134"/>
      <c r="I65" s="139"/>
      <c r="J65" s="139"/>
      <c r="K65" s="139"/>
      <c r="L65" s="139"/>
      <c r="M65" s="20"/>
      <c r="N65" s="20"/>
      <c r="O65" s="20"/>
      <c r="P65" s="20"/>
      <c r="Q65" s="20"/>
      <c r="R65" s="20"/>
      <c r="S65" s="20"/>
      <c r="T65" s="20"/>
      <c r="U65" s="20"/>
      <c r="V65" s="20"/>
      <c r="W65" s="20"/>
      <c r="X65" s="20"/>
    </row>
    <row r="66">
      <c r="A66" s="134"/>
      <c r="B66" s="134"/>
      <c r="C66" s="134"/>
      <c r="D66" s="139"/>
      <c r="E66" s="139"/>
      <c r="F66" s="138"/>
      <c r="I66" s="139"/>
      <c r="J66" s="139"/>
      <c r="K66" s="139"/>
      <c r="L66" s="139"/>
      <c r="M66" s="20"/>
      <c r="N66" s="20"/>
      <c r="O66" s="20"/>
      <c r="P66" s="20"/>
      <c r="Q66" s="20"/>
      <c r="R66" s="20"/>
      <c r="S66" s="20"/>
      <c r="T66" s="20"/>
      <c r="U66" s="20"/>
      <c r="V66" s="20"/>
      <c r="W66" s="20"/>
      <c r="X66" s="20"/>
    </row>
    <row r="67">
      <c r="A67" s="134"/>
      <c r="B67" s="134"/>
      <c r="C67" s="134"/>
      <c r="D67" s="139"/>
      <c r="E67" s="139"/>
      <c r="F67" s="138"/>
      <c r="G67" s="134"/>
      <c r="I67" s="139"/>
      <c r="J67" s="139"/>
      <c r="K67" s="139"/>
      <c r="L67" s="139"/>
      <c r="M67" s="20"/>
      <c r="N67" s="20"/>
      <c r="O67" s="20"/>
      <c r="P67" s="20"/>
      <c r="Q67" s="20"/>
      <c r="R67" s="20"/>
      <c r="S67" s="20"/>
      <c r="T67" s="20"/>
      <c r="U67" s="20"/>
      <c r="V67" s="20"/>
      <c r="W67" s="20"/>
      <c r="X67" s="20"/>
    </row>
    <row r="68">
      <c r="A68" s="134"/>
      <c r="D68" s="139"/>
      <c r="E68" s="139"/>
      <c r="F68" s="138"/>
      <c r="G68" s="134"/>
      <c r="I68" s="139"/>
      <c r="J68" s="139"/>
      <c r="K68" s="139"/>
      <c r="L68" s="139"/>
      <c r="M68" s="20"/>
      <c r="N68" s="20"/>
      <c r="O68" s="20"/>
      <c r="P68" s="20"/>
      <c r="Q68" s="20"/>
      <c r="R68" s="20"/>
      <c r="S68" s="20"/>
      <c r="T68" s="20"/>
      <c r="U68" s="20"/>
      <c r="V68" s="20"/>
      <c r="W68" s="20"/>
      <c r="X68" s="20"/>
    </row>
    <row r="69">
      <c r="A69" s="134"/>
      <c r="B69" s="134"/>
      <c r="C69" s="134"/>
      <c r="D69" s="139"/>
      <c r="E69" s="139"/>
      <c r="F69" s="139"/>
      <c r="I69" s="139"/>
      <c r="J69" s="139"/>
      <c r="K69" s="139"/>
      <c r="L69" s="139"/>
      <c r="M69" s="20"/>
      <c r="N69" s="20"/>
      <c r="O69" s="20"/>
      <c r="P69" s="20"/>
      <c r="Q69" s="20"/>
      <c r="R69" s="20"/>
      <c r="S69" s="20"/>
      <c r="T69" s="20"/>
      <c r="U69" s="20"/>
      <c r="V69" s="20"/>
      <c r="W69" s="20"/>
      <c r="X69" s="20"/>
    </row>
    <row r="70">
      <c r="A70" s="134"/>
      <c r="D70" s="139"/>
      <c r="E70" s="139"/>
      <c r="F70" s="139"/>
      <c r="I70" s="139"/>
      <c r="J70" s="139"/>
      <c r="K70" s="139"/>
      <c r="L70" s="139"/>
      <c r="M70" s="20"/>
      <c r="N70" s="20"/>
      <c r="O70" s="20"/>
      <c r="P70" s="20"/>
      <c r="Q70" s="20"/>
      <c r="R70" s="20"/>
      <c r="S70" s="20"/>
      <c r="T70" s="20"/>
      <c r="U70" s="20"/>
      <c r="V70" s="20"/>
      <c r="W70" s="20"/>
      <c r="X70" s="20"/>
    </row>
    <row r="71">
      <c r="A71" s="134"/>
      <c r="D71" s="139"/>
      <c r="E71" s="139"/>
      <c r="F71" s="139"/>
      <c r="I71" s="139"/>
      <c r="J71" s="139"/>
      <c r="K71" s="139"/>
      <c r="L71" s="139"/>
      <c r="M71" s="20"/>
      <c r="N71" s="20"/>
      <c r="O71" s="20"/>
      <c r="P71" s="20"/>
      <c r="Q71" s="20"/>
      <c r="R71" s="20"/>
      <c r="S71" s="20"/>
      <c r="T71" s="20"/>
      <c r="U71" s="20"/>
      <c r="V71" s="20"/>
      <c r="W71" s="20"/>
      <c r="X71" s="20"/>
    </row>
    <row r="72">
      <c r="A72" s="134"/>
      <c r="B72" s="134"/>
      <c r="C72" s="134"/>
      <c r="D72" s="139"/>
      <c r="E72" s="139"/>
      <c r="F72" s="139"/>
      <c r="I72" s="139"/>
      <c r="J72" s="139"/>
      <c r="K72" s="139"/>
      <c r="L72" s="139"/>
      <c r="M72" s="20"/>
      <c r="N72" s="20"/>
      <c r="O72" s="20"/>
      <c r="P72" s="20"/>
      <c r="Q72" s="20"/>
      <c r="R72" s="20"/>
      <c r="S72" s="20"/>
      <c r="T72" s="20"/>
      <c r="U72" s="20"/>
      <c r="V72" s="20"/>
      <c r="W72" s="20"/>
      <c r="X72" s="20"/>
    </row>
    <row r="73">
      <c r="A73" s="134"/>
      <c r="B73" s="134"/>
      <c r="C73" s="134"/>
      <c r="D73" s="139"/>
      <c r="E73" s="139"/>
      <c r="F73" s="139"/>
      <c r="I73" s="139"/>
      <c r="J73" s="139"/>
      <c r="K73" s="139"/>
      <c r="L73" s="139"/>
      <c r="M73" s="20"/>
      <c r="N73" s="20"/>
      <c r="O73" s="20"/>
      <c r="P73" s="20"/>
      <c r="Q73" s="20"/>
      <c r="R73" s="20"/>
      <c r="S73" s="20"/>
      <c r="T73" s="20"/>
      <c r="U73" s="20"/>
      <c r="V73" s="20"/>
      <c r="W73" s="20"/>
      <c r="X73" s="20"/>
    </row>
    <row r="74">
      <c r="A74" s="134"/>
      <c r="B74" s="134"/>
      <c r="C74" s="134"/>
      <c r="D74" s="138"/>
      <c r="E74" s="138"/>
      <c r="F74" s="138"/>
      <c r="G74" s="134"/>
      <c r="H74" s="134"/>
      <c r="I74" s="138"/>
      <c r="J74" s="138"/>
      <c r="K74" s="138"/>
      <c r="L74" s="138"/>
      <c r="M74" s="20"/>
      <c r="N74" s="20"/>
      <c r="O74" s="20"/>
      <c r="P74" s="20"/>
      <c r="Q74" s="20"/>
      <c r="R74" s="20"/>
      <c r="S74" s="20"/>
      <c r="T74" s="20"/>
      <c r="U74" s="20"/>
      <c r="V74" s="20"/>
      <c r="W74" s="20"/>
      <c r="X74" s="20"/>
    </row>
    <row r="75">
      <c r="A75" s="134"/>
      <c r="B75" s="134"/>
      <c r="C75" s="134"/>
      <c r="D75" s="138"/>
      <c r="E75" s="138"/>
      <c r="F75" s="138"/>
      <c r="G75" s="134"/>
      <c r="H75" s="134"/>
      <c r="I75" s="138"/>
      <c r="J75" s="138"/>
      <c r="K75" s="138"/>
      <c r="L75" s="138"/>
      <c r="M75" s="20"/>
      <c r="N75" s="20"/>
      <c r="O75" s="20"/>
      <c r="P75" s="20"/>
      <c r="Q75" s="20"/>
      <c r="R75" s="20"/>
      <c r="S75" s="20"/>
      <c r="T75" s="20"/>
      <c r="U75" s="20"/>
      <c r="V75" s="20"/>
      <c r="W75" s="20"/>
      <c r="X75" s="20"/>
    </row>
    <row r="76">
      <c r="A76" s="134"/>
      <c r="B76" s="134"/>
      <c r="C76" s="134"/>
      <c r="D76" s="138"/>
      <c r="E76" s="138"/>
      <c r="F76" s="138"/>
      <c r="G76" s="134"/>
      <c r="H76" s="134"/>
      <c r="I76" s="138"/>
      <c r="J76" s="138"/>
      <c r="K76" s="138"/>
      <c r="L76" s="138"/>
      <c r="M76" s="20"/>
      <c r="N76" s="20"/>
      <c r="O76" s="20"/>
      <c r="P76" s="20"/>
      <c r="Q76" s="20"/>
      <c r="R76" s="20"/>
      <c r="S76" s="20"/>
      <c r="T76" s="20"/>
      <c r="U76" s="20"/>
      <c r="V76" s="20"/>
      <c r="W76" s="20"/>
      <c r="X76" s="20"/>
    </row>
    <row r="77">
      <c r="A77" s="134"/>
      <c r="B77" s="134"/>
      <c r="C77" s="134"/>
      <c r="D77" s="138"/>
      <c r="E77" s="138"/>
      <c r="F77" s="138"/>
      <c r="G77" s="134"/>
      <c r="H77" s="134"/>
      <c r="I77" s="138"/>
      <c r="J77" s="138"/>
      <c r="K77" s="138"/>
      <c r="L77" s="139"/>
      <c r="M77" s="5"/>
      <c r="N77" s="134"/>
      <c r="O77" s="134"/>
      <c r="P77" s="20"/>
      <c r="Q77" s="20"/>
      <c r="R77" s="20"/>
      <c r="S77" s="20"/>
      <c r="T77" s="20"/>
      <c r="U77" s="20"/>
      <c r="V77" s="20"/>
      <c r="W77" s="20"/>
      <c r="X77" s="20"/>
    </row>
    <row r="78">
      <c r="A78" s="134"/>
      <c r="B78" s="134"/>
      <c r="C78" s="134"/>
      <c r="D78" s="138"/>
      <c r="E78" s="138"/>
      <c r="F78" s="138"/>
      <c r="G78" s="134"/>
      <c r="H78" s="134"/>
      <c r="I78" s="138"/>
      <c r="J78" s="138"/>
      <c r="K78" s="138"/>
      <c r="L78" s="138"/>
      <c r="M78" s="5"/>
      <c r="N78" s="20"/>
      <c r="O78" s="20"/>
      <c r="P78" s="20"/>
      <c r="Q78" s="20"/>
      <c r="R78" s="20"/>
      <c r="S78" s="20"/>
      <c r="T78" s="20"/>
      <c r="U78" s="20"/>
      <c r="V78" s="20"/>
      <c r="W78" s="20"/>
      <c r="X78" s="20"/>
    </row>
    <row r="79">
      <c r="A79" s="134"/>
      <c r="D79" s="138"/>
      <c r="E79" s="138"/>
      <c r="F79" s="138"/>
      <c r="G79" s="134"/>
      <c r="H79" s="134"/>
      <c r="I79" s="138"/>
      <c r="J79" s="138"/>
      <c r="K79" s="138"/>
      <c r="L79" s="138"/>
      <c r="M79" s="5"/>
      <c r="N79" s="20"/>
      <c r="O79" s="20"/>
      <c r="P79" s="20"/>
      <c r="Q79" s="20"/>
      <c r="R79" s="20"/>
      <c r="S79" s="20"/>
      <c r="T79" s="20"/>
      <c r="U79" s="20"/>
      <c r="V79" s="20"/>
      <c r="W79" s="20"/>
      <c r="X79" s="20"/>
    </row>
    <row r="80">
      <c r="A80" s="134"/>
      <c r="B80" s="134"/>
      <c r="C80" s="134"/>
      <c r="D80" s="138"/>
      <c r="E80" s="138"/>
      <c r="F80" s="138"/>
      <c r="G80" s="134"/>
      <c r="H80" s="134"/>
      <c r="I80" s="138"/>
      <c r="J80" s="138"/>
      <c r="K80" s="138"/>
      <c r="L80" s="138"/>
      <c r="M80" s="20"/>
      <c r="N80" s="20"/>
      <c r="O80" s="20"/>
      <c r="P80" s="20"/>
      <c r="Q80" s="20"/>
      <c r="R80" s="20"/>
      <c r="S80" s="20"/>
      <c r="T80" s="20"/>
      <c r="U80" s="20"/>
      <c r="V80" s="20"/>
      <c r="W80" s="20"/>
      <c r="X80" s="20"/>
    </row>
    <row r="81">
      <c r="A81" s="134"/>
      <c r="B81" s="134"/>
      <c r="C81" s="134"/>
      <c r="D81" s="138"/>
      <c r="E81" s="138"/>
      <c r="F81" s="138"/>
      <c r="G81" s="134"/>
      <c r="H81" s="134"/>
      <c r="I81" s="138"/>
      <c r="J81" s="138"/>
      <c r="K81" s="138"/>
      <c r="L81" s="138"/>
      <c r="M81" s="20"/>
      <c r="N81" s="20"/>
      <c r="O81" s="20"/>
      <c r="P81" s="20"/>
      <c r="Q81" s="20"/>
      <c r="R81" s="20"/>
      <c r="S81" s="20"/>
      <c r="T81" s="20"/>
      <c r="U81" s="20"/>
      <c r="V81" s="20"/>
      <c r="W81" s="20"/>
      <c r="X81" s="20"/>
    </row>
    <row r="82">
      <c r="A82" s="134"/>
      <c r="D82" s="138"/>
      <c r="E82" s="138"/>
      <c r="F82" s="138"/>
      <c r="G82" s="134"/>
      <c r="H82" s="134"/>
      <c r="I82" s="139"/>
      <c r="J82" s="139"/>
      <c r="K82" s="138"/>
      <c r="L82" s="138"/>
      <c r="M82" s="5"/>
      <c r="N82" s="20"/>
      <c r="O82" s="20"/>
      <c r="P82" s="20"/>
      <c r="Q82" s="20"/>
      <c r="R82" s="20"/>
      <c r="S82" s="20"/>
      <c r="T82" s="20"/>
      <c r="U82" s="20"/>
      <c r="V82" s="20"/>
      <c r="W82" s="20"/>
      <c r="X82" s="20"/>
    </row>
    <row r="83">
      <c r="A83" s="134"/>
      <c r="D83" s="138"/>
      <c r="E83" s="138"/>
      <c r="F83" s="138"/>
      <c r="G83" s="134"/>
      <c r="H83" s="134"/>
      <c r="I83" s="139"/>
      <c r="J83" s="139"/>
      <c r="K83" s="138"/>
      <c r="L83" s="138"/>
      <c r="M83" s="5"/>
      <c r="N83" s="20"/>
      <c r="O83" s="20"/>
      <c r="P83" s="20"/>
      <c r="Q83" s="20"/>
      <c r="R83" s="20"/>
      <c r="S83" s="20"/>
      <c r="T83" s="20"/>
      <c r="U83" s="20"/>
      <c r="V83" s="20"/>
      <c r="W83" s="20"/>
      <c r="X83" s="20"/>
    </row>
    <row r="84">
      <c r="A84" s="134"/>
      <c r="D84" s="138"/>
      <c r="E84" s="138"/>
      <c r="F84" s="138"/>
      <c r="G84" s="134"/>
      <c r="H84" s="134"/>
      <c r="I84" s="139"/>
      <c r="J84" s="139"/>
      <c r="K84" s="138"/>
      <c r="L84" s="138"/>
      <c r="M84" s="5"/>
      <c r="N84" s="20"/>
      <c r="O84" s="20"/>
      <c r="P84" s="20"/>
      <c r="Q84" s="20"/>
      <c r="R84" s="20"/>
      <c r="S84" s="20"/>
      <c r="T84" s="20"/>
      <c r="U84" s="20"/>
      <c r="V84" s="20"/>
      <c r="W84" s="20"/>
      <c r="X84" s="20"/>
    </row>
    <row r="85">
      <c r="A85" s="134"/>
      <c r="D85" s="138"/>
      <c r="E85" s="138"/>
      <c r="F85" s="138"/>
      <c r="G85" s="134"/>
      <c r="H85" s="134"/>
      <c r="I85" s="139"/>
      <c r="J85" s="139"/>
      <c r="K85" s="138"/>
      <c r="L85" s="138"/>
      <c r="M85" s="5"/>
      <c r="N85" s="20"/>
      <c r="O85" s="20"/>
      <c r="P85" s="20"/>
      <c r="Q85" s="20"/>
      <c r="R85" s="20"/>
      <c r="S85" s="20"/>
      <c r="T85" s="20"/>
      <c r="U85" s="20"/>
      <c r="V85" s="20"/>
      <c r="W85" s="20"/>
      <c r="X85" s="20"/>
    </row>
    <row r="86">
      <c r="A86" s="134"/>
      <c r="D86" s="138"/>
      <c r="E86" s="138"/>
      <c r="F86" s="138"/>
      <c r="G86" s="134"/>
      <c r="H86" s="134"/>
      <c r="I86" s="139"/>
      <c r="J86" s="139"/>
      <c r="K86" s="138"/>
      <c r="L86" s="138"/>
      <c r="M86" s="20"/>
      <c r="N86" s="20"/>
      <c r="O86" s="20"/>
      <c r="P86" s="20"/>
      <c r="Q86" s="20"/>
      <c r="R86" s="20"/>
      <c r="S86" s="20"/>
      <c r="T86" s="20"/>
      <c r="U86" s="20"/>
      <c r="V86" s="20"/>
      <c r="W86" s="20"/>
      <c r="X86" s="20"/>
    </row>
    <row r="87">
      <c r="A87" s="134"/>
      <c r="D87" s="138"/>
      <c r="E87" s="138"/>
      <c r="F87" s="139"/>
      <c r="G87" s="134"/>
      <c r="I87" s="139"/>
      <c r="J87" s="139"/>
      <c r="K87" s="139"/>
      <c r="L87" s="139"/>
      <c r="M87" s="20"/>
      <c r="N87" s="20"/>
      <c r="O87" s="20"/>
      <c r="P87" s="20"/>
      <c r="Q87" s="20"/>
      <c r="R87" s="20"/>
      <c r="S87" s="20"/>
      <c r="T87" s="20"/>
      <c r="U87" s="20"/>
      <c r="V87" s="20"/>
      <c r="W87" s="20"/>
      <c r="X87" s="20"/>
    </row>
    <row r="88">
      <c r="A88" s="134"/>
      <c r="D88" s="138"/>
      <c r="E88" s="138"/>
      <c r="F88" s="139"/>
      <c r="G88" s="134"/>
      <c r="I88" s="139"/>
      <c r="J88" s="139"/>
      <c r="K88" s="139"/>
      <c r="L88" s="139"/>
      <c r="M88" s="20"/>
      <c r="N88" s="20"/>
      <c r="O88" s="20"/>
      <c r="P88" s="20"/>
      <c r="Q88" s="20"/>
      <c r="R88" s="20"/>
      <c r="S88" s="20"/>
      <c r="T88" s="20"/>
      <c r="U88" s="20"/>
      <c r="V88" s="20"/>
      <c r="W88" s="20"/>
      <c r="X88" s="20"/>
    </row>
    <row r="89">
      <c r="A89" s="134"/>
      <c r="D89" s="138"/>
      <c r="E89" s="138"/>
      <c r="F89" s="139"/>
      <c r="G89" s="134"/>
      <c r="I89" s="139"/>
      <c r="J89" s="139"/>
      <c r="K89" s="139"/>
      <c r="L89" s="139"/>
      <c r="M89" s="20"/>
      <c r="N89" s="20"/>
      <c r="O89" s="20"/>
      <c r="P89" s="20"/>
      <c r="Q89" s="20"/>
      <c r="R89" s="20"/>
      <c r="S89" s="20"/>
      <c r="T89" s="20"/>
      <c r="U89" s="20"/>
      <c r="V89" s="20"/>
      <c r="W89" s="20"/>
      <c r="X89" s="20"/>
    </row>
    <row r="90">
      <c r="A90" s="134"/>
      <c r="D90" s="138"/>
      <c r="E90" s="138"/>
      <c r="F90" s="139"/>
      <c r="G90" s="134"/>
      <c r="I90" s="139"/>
      <c r="J90" s="139"/>
      <c r="K90" s="139"/>
      <c r="L90" s="139"/>
      <c r="M90" s="20"/>
      <c r="N90" s="20"/>
      <c r="O90" s="20"/>
      <c r="P90" s="20"/>
      <c r="Q90" s="20"/>
      <c r="R90" s="20"/>
      <c r="S90" s="20"/>
      <c r="T90" s="20"/>
      <c r="U90" s="20"/>
      <c r="V90" s="20"/>
      <c r="W90" s="20"/>
      <c r="X90" s="20"/>
    </row>
    <row r="91">
      <c r="A91" s="134"/>
      <c r="D91" s="138"/>
      <c r="E91" s="138"/>
      <c r="F91" s="139"/>
      <c r="G91" s="134"/>
      <c r="I91" s="139"/>
      <c r="J91" s="139"/>
      <c r="K91" s="139"/>
      <c r="L91" s="139"/>
      <c r="M91" s="20"/>
      <c r="N91" s="20"/>
      <c r="O91" s="20"/>
      <c r="P91" s="20"/>
      <c r="Q91" s="20"/>
      <c r="R91" s="20"/>
      <c r="S91" s="20"/>
      <c r="T91" s="20"/>
      <c r="U91" s="20"/>
      <c r="V91" s="20"/>
      <c r="W91" s="20"/>
      <c r="X91" s="20"/>
    </row>
    <row r="92">
      <c r="A92" s="134"/>
      <c r="D92" s="138"/>
      <c r="E92" s="138"/>
      <c r="F92" s="139"/>
      <c r="G92" s="134"/>
      <c r="I92" s="139"/>
      <c r="J92" s="139"/>
      <c r="K92" s="139"/>
      <c r="L92" s="139"/>
      <c r="M92" s="20"/>
      <c r="N92" s="20"/>
      <c r="O92" s="20"/>
      <c r="P92" s="20"/>
      <c r="Q92" s="20"/>
      <c r="R92" s="20"/>
      <c r="S92" s="20"/>
      <c r="T92" s="20"/>
      <c r="U92" s="20"/>
      <c r="V92" s="20"/>
      <c r="W92" s="20"/>
      <c r="X92" s="20"/>
    </row>
    <row r="93">
      <c r="D93" s="139"/>
      <c r="E93" s="139"/>
      <c r="F93" s="70"/>
      <c r="G93" s="20"/>
      <c r="H93" s="20"/>
      <c r="I93" s="70"/>
      <c r="J93" s="70"/>
      <c r="K93" s="70"/>
      <c r="L93" s="70"/>
      <c r="M93" s="20"/>
      <c r="N93" s="20"/>
      <c r="O93" s="20"/>
      <c r="P93" s="20"/>
      <c r="Q93" s="20"/>
      <c r="R93" s="20"/>
      <c r="S93" s="20"/>
      <c r="T93" s="20"/>
      <c r="U93" s="20"/>
      <c r="V93" s="20"/>
      <c r="W93" s="20"/>
      <c r="X93" s="20"/>
    </row>
    <row r="94">
      <c r="A94" s="134"/>
      <c r="B94" s="20"/>
      <c r="C94" s="20"/>
      <c r="D94" s="139"/>
      <c r="E94" s="139"/>
      <c r="F94" s="70"/>
      <c r="G94" s="20"/>
      <c r="H94" s="20"/>
      <c r="I94" s="70"/>
      <c r="J94" s="70"/>
      <c r="K94" s="70"/>
      <c r="L94" s="70"/>
      <c r="M94" s="20"/>
      <c r="N94" s="20"/>
      <c r="O94" s="20"/>
      <c r="P94" s="20"/>
      <c r="Q94" s="20"/>
      <c r="R94" s="20"/>
      <c r="S94" s="20"/>
      <c r="T94" s="20"/>
      <c r="U94" s="20"/>
      <c r="V94" s="20"/>
      <c r="W94" s="20"/>
      <c r="X94" s="20"/>
    </row>
    <row r="95">
      <c r="A95" s="20"/>
      <c r="B95" s="20"/>
      <c r="C95" s="20"/>
      <c r="D95" s="70"/>
      <c r="E95" s="70"/>
      <c r="F95" s="70"/>
      <c r="G95" s="20"/>
      <c r="H95" s="20"/>
      <c r="I95" s="70"/>
      <c r="J95" s="70"/>
      <c r="K95" s="70"/>
      <c r="L95" s="70"/>
      <c r="M95" s="5"/>
      <c r="N95" s="20"/>
      <c r="O95" s="20"/>
      <c r="P95" s="20"/>
      <c r="Q95" s="20"/>
      <c r="R95" s="20"/>
      <c r="S95" s="20"/>
      <c r="T95" s="20"/>
      <c r="U95" s="20"/>
      <c r="V95" s="20"/>
      <c r="W95" s="20"/>
      <c r="X95" s="20"/>
    </row>
    <row r="96">
      <c r="A96" s="20"/>
      <c r="B96" s="20"/>
      <c r="C96" s="20"/>
      <c r="D96" s="70"/>
      <c r="E96" s="70"/>
      <c r="F96" s="70"/>
      <c r="G96" s="20"/>
      <c r="H96" s="20"/>
      <c r="I96" s="70"/>
      <c r="J96" s="70"/>
      <c r="K96" s="70"/>
      <c r="L96" s="70"/>
      <c r="M96" s="20"/>
      <c r="N96" s="20"/>
      <c r="O96" s="20"/>
      <c r="P96" s="20"/>
      <c r="Q96" s="20"/>
      <c r="R96" s="20"/>
      <c r="S96" s="20"/>
      <c r="T96" s="20"/>
      <c r="U96" s="20"/>
      <c r="V96" s="20"/>
      <c r="W96" s="20"/>
      <c r="X96" s="20"/>
    </row>
    <row r="97">
      <c r="A97" s="20"/>
      <c r="B97" s="20"/>
      <c r="C97" s="20"/>
      <c r="D97" s="70"/>
      <c r="E97" s="70"/>
      <c r="F97" s="70"/>
      <c r="G97" s="20"/>
      <c r="H97" s="20"/>
      <c r="I97" s="70"/>
      <c r="J97" s="70"/>
      <c r="K97" s="70"/>
      <c r="L97" s="70"/>
      <c r="M97" s="20"/>
      <c r="N97" s="20"/>
      <c r="O97" s="20"/>
      <c r="P97" s="20"/>
      <c r="Q97" s="20"/>
      <c r="R97" s="20"/>
      <c r="S97" s="20"/>
      <c r="T97" s="20"/>
      <c r="U97" s="20"/>
      <c r="V97" s="20"/>
      <c r="W97" s="20"/>
      <c r="X97" s="20"/>
    </row>
    <row r="98">
      <c r="A98" s="20"/>
      <c r="B98" s="20"/>
      <c r="C98" s="20"/>
      <c r="D98" s="70"/>
      <c r="E98" s="70"/>
      <c r="F98" s="70"/>
      <c r="G98" s="20"/>
      <c r="H98" s="20"/>
      <c r="I98" s="70"/>
      <c r="J98" s="70"/>
      <c r="K98" s="70"/>
      <c r="L98" s="70"/>
      <c r="M98" s="20"/>
      <c r="N98" s="20"/>
      <c r="O98" s="20"/>
      <c r="P98" s="20"/>
      <c r="Q98" s="20"/>
      <c r="R98" s="20"/>
      <c r="S98" s="20"/>
      <c r="T98" s="20"/>
      <c r="U98" s="20"/>
      <c r="V98" s="20"/>
      <c r="W98" s="20"/>
      <c r="X98" s="20"/>
    </row>
    <row r="99">
      <c r="A99" s="20"/>
      <c r="B99" s="20"/>
      <c r="C99" s="20"/>
      <c r="D99" s="70"/>
      <c r="E99" s="70"/>
      <c r="F99" s="70"/>
      <c r="G99" s="20"/>
      <c r="H99" s="20"/>
      <c r="I99" s="70"/>
      <c r="J99" s="70"/>
      <c r="K99" s="70"/>
      <c r="L99" s="70"/>
      <c r="M99" s="20"/>
      <c r="N99" s="20"/>
      <c r="O99" s="20"/>
      <c r="P99" s="20"/>
      <c r="Q99" s="20"/>
      <c r="R99" s="20"/>
      <c r="S99" s="20"/>
      <c r="T99" s="20"/>
      <c r="U99" s="20"/>
      <c r="V99" s="20"/>
      <c r="W99" s="20"/>
      <c r="X99" s="20"/>
    </row>
    <row r="100">
      <c r="A100" s="20"/>
      <c r="B100" s="20"/>
      <c r="C100" s="20"/>
      <c r="D100" s="70"/>
      <c r="E100" s="70"/>
      <c r="F100" s="70"/>
      <c r="G100" s="20"/>
      <c r="H100" s="20"/>
      <c r="I100" s="70"/>
      <c r="J100" s="70"/>
      <c r="K100" s="70"/>
      <c r="L100" s="70"/>
      <c r="M100" s="20"/>
      <c r="N100" s="20"/>
      <c r="O100" s="20"/>
      <c r="P100" s="20"/>
      <c r="Q100" s="20"/>
      <c r="R100" s="20"/>
      <c r="S100" s="20"/>
      <c r="T100" s="20"/>
      <c r="U100" s="20"/>
      <c r="V100" s="20"/>
      <c r="W100" s="20"/>
      <c r="X100" s="20"/>
    </row>
    <row r="101">
      <c r="A101" s="20"/>
      <c r="B101" s="20"/>
      <c r="C101" s="20"/>
      <c r="D101" s="70"/>
      <c r="E101" s="70"/>
      <c r="F101" s="70"/>
      <c r="G101" s="20"/>
      <c r="H101" s="20"/>
      <c r="I101" s="70"/>
      <c r="J101" s="70"/>
      <c r="K101" s="70"/>
      <c r="L101" s="70"/>
      <c r="M101" s="20"/>
      <c r="N101" s="20"/>
      <c r="O101" s="20"/>
      <c r="P101" s="20"/>
      <c r="Q101" s="20"/>
      <c r="R101" s="20"/>
      <c r="S101" s="20"/>
      <c r="T101" s="20"/>
      <c r="U101" s="20"/>
      <c r="V101" s="20"/>
      <c r="W101" s="20"/>
      <c r="X101" s="20"/>
    </row>
    <row r="102">
      <c r="A102" s="20"/>
      <c r="B102" s="20"/>
      <c r="C102" s="20"/>
      <c r="D102" s="70"/>
      <c r="E102" s="70"/>
      <c r="F102" s="70"/>
      <c r="G102" s="20"/>
      <c r="H102" s="20"/>
      <c r="I102" s="70"/>
      <c r="J102" s="70"/>
      <c r="K102" s="70"/>
      <c r="L102" s="70"/>
      <c r="M102" s="20"/>
      <c r="N102" s="20"/>
      <c r="O102" s="20"/>
      <c r="P102" s="20"/>
      <c r="Q102" s="20"/>
      <c r="R102" s="20"/>
      <c r="S102" s="20"/>
      <c r="T102" s="20"/>
      <c r="U102" s="20"/>
      <c r="V102" s="20"/>
      <c r="W102" s="20"/>
      <c r="X102" s="20"/>
    </row>
    <row r="103">
      <c r="A103" s="20"/>
      <c r="B103" s="20"/>
      <c r="C103" s="20"/>
      <c r="D103" s="70"/>
      <c r="E103" s="70"/>
      <c r="F103" s="70"/>
      <c r="G103" s="20"/>
      <c r="H103" s="20"/>
      <c r="I103" s="70"/>
      <c r="J103" s="70"/>
      <c r="K103" s="70"/>
      <c r="L103" s="70"/>
      <c r="M103" s="20"/>
      <c r="N103" s="20"/>
      <c r="O103" s="20"/>
      <c r="P103" s="20"/>
      <c r="Q103" s="20"/>
      <c r="R103" s="20"/>
      <c r="S103" s="20"/>
      <c r="T103" s="20"/>
      <c r="U103" s="20"/>
      <c r="V103" s="20"/>
      <c r="W103" s="20"/>
      <c r="X103" s="20"/>
    </row>
    <row r="104">
      <c r="A104" s="20"/>
      <c r="B104" s="20"/>
      <c r="C104" s="20"/>
      <c r="D104" s="70"/>
      <c r="E104" s="70"/>
      <c r="F104" s="70"/>
      <c r="G104" s="20"/>
      <c r="H104" s="20"/>
      <c r="I104" s="70"/>
      <c r="J104" s="70"/>
      <c r="K104" s="70"/>
      <c r="L104" s="70"/>
      <c r="M104" s="20"/>
      <c r="N104" s="20"/>
      <c r="O104" s="20"/>
      <c r="P104" s="20"/>
      <c r="Q104" s="20"/>
      <c r="R104" s="20"/>
      <c r="S104" s="20"/>
      <c r="T104" s="20"/>
      <c r="U104" s="20"/>
      <c r="V104" s="20"/>
      <c r="W104" s="20"/>
      <c r="X104" s="20"/>
    </row>
    <row r="105">
      <c r="A105" s="20"/>
      <c r="B105" s="20"/>
      <c r="C105" s="20"/>
      <c r="D105" s="70"/>
      <c r="E105" s="70"/>
      <c r="F105" s="70"/>
      <c r="G105" s="20"/>
      <c r="H105" s="20"/>
      <c r="I105" s="70"/>
      <c r="J105" s="70"/>
      <c r="K105" s="70"/>
      <c r="L105" s="70"/>
      <c r="M105" s="20"/>
      <c r="N105" s="20"/>
      <c r="O105" s="20"/>
      <c r="P105" s="20"/>
      <c r="Q105" s="20"/>
      <c r="R105" s="20"/>
      <c r="S105" s="20"/>
      <c r="T105" s="20"/>
      <c r="U105" s="20"/>
      <c r="V105" s="20"/>
      <c r="W105" s="20"/>
      <c r="X105" s="20"/>
    </row>
    <row r="106">
      <c r="A106" s="20"/>
      <c r="B106" s="20"/>
      <c r="C106" s="20"/>
      <c r="D106" s="70"/>
      <c r="E106" s="70"/>
      <c r="F106" s="70"/>
      <c r="G106" s="20"/>
      <c r="H106" s="20"/>
      <c r="I106" s="70"/>
      <c r="J106" s="70"/>
      <c r="K106" s="70"/>
      <c r="L106" s="70"/>
      <c r="M106" s="20"/>
      <c r="N106" s="20"/>
      <c r="O106" s="20"/>
      <c r="P106" s="20"/>
      <c r="Q106" s="20"/>
      <c r="R106" s="20"/>
      <c r="S106" s="20"/>
      <c r="T106" s="20"/>
      <c r="U106" s="20"/>
      <c r="V106" s="20"/>
      <c r="W106" s="20"/>
      <c r="X106" s="20"/>
    </row>
    <row r="107">
      <c r="A107" s="20"/>
      <c r="B107" s="20"/>
      <c r="C107" s="20"/>
      <c r="D107" s="70"/>
      <c r="E107" s="70"/>
      <c r="F107" s="70"/>
      <c r="G107" s="20"/>
      <c r="H107" s="20"/>
      <c r="I107" s="70"/>
      <c r="J107" s="70"/>
      <c r="K107" s="70"/>
      <c r="L107" s="70"/>
      <c r="M107" s="20"/>
      <c r="N107" s="20"/>
      <c r="O107" s="20"/>
      <c r="P107" s="20"/>
      <c r="Q107" s="20"/>
      <c r="R107" s="20"/>
      <c r="S107" s="20"/>
      <c r="T107" s="20"/>
      <c r="U107" s="20"/>
      <c r="V107" s="20"/>
      <c r="W107" s="20"/>
      <c r="X107" s="20"/>
    </row>
    <row r="108">
      <c r="A108" s="20"/>
      <c r="B108" s="20"/>
      <c r="C108" s="20"/>
      <c r="D108" s="70"/>
      <c r="E108" s="70"/>
      <c r="F108" s="70"/>
      <c r="G108" s="20"/>
      <c r="H108" s="20"/>
      <c r="I108" s="70"/>
      <c r="J108" s="70"/>
      <c r="K108" s="70"/>
      <c r="L108" s="70"/>
      <c r="M108" s="20"/>
      <c r="N108" s="20"/>
      <c r="O108" s="20"/>
      <c r="P108" s="20"/>
      <c r="Q108" s="20"/>
      <c r="R108" s="20"/>
      <c r="S108" s="20"/>
      <c r="T108" s="20"/>
      <c r="U108" s="20"/>
      <c r="V108" s="20"/>
      <c r="W108" s="20"/>
      <c r="X108" s="20"/>
    </row>
    <row r="109">
      <c r="A109" s="20"/>
      <c r="B109" s="20"/>
      <c r="C109" s="20"/>
      <c r="D109" s="70"/>
      <c r="E109" s="70"/>
      <c r="F109" s="70"/>
      <c r="G109" s="20"/>
      <c r="H109" s="20"/>
      <c r="I109" s="70"/>
      <c r="J109" s="70"/>
      <c r="K109" s="70"/>
      <c r="L109" s="70"/>
      <c r="M109" s="20"/>
      <c r="N109" s="20"/>
      <c r="O109" s="20"/>
      <c r="P109" s="20"/>
      <c r="Q109" s="20"/>
      <c r="R109" s="20"/>
      <c r="S109" s="20"/>
      <c r="T109" s="20"/>
      <c r="U109" s="20"/>
      <c r="V109" s="20"/>
      <c r="W109" s="20"/>
      <c r="X109" s="20"/>
    </row>
    <row r="110">
      <c r="A110" s="20"/>
      <c r="B110" s="20"/>
      <c r="C110" s="20"/>
      <c r="D110" s="70"/>
      <c r="E110" s="70"/>
      <c r="F110" s="70"/>
      <c r="G110" s="20"/>
      <c r="H110" s="20"/>
      <c r="I110" s="70"/>
      <c r="J110" s="70"/>
      <c r="K110" s="70"/>
      <c r="L110" s="70"/>
      <c r="M110" s="20"/>
      <c r="N110" s="20"/>
      <c r="O110" s="20"/>
      <c r="P110" s="20"/>
      <c r="Q110" s="20"/>
      <c r="R110" s="20"/>
      <c r="S110" s="20"/>
      <c r="T110" s="20"/>
      <c r="U110" s="20"/>
      <c r="V110" s="20"/>
      <c r="W110" s="20"/>
      <c r="X110" s="20"/>
    </row>
    <row r="111">
      <c r="A111" s="20"/>
      <c r="B111" s="20"/>
      <c r="C111" s="20"/>
      <c r="D111" s="70"/>
      <c r="E111" s="70"/>
      <c r="F111" s="70"/>
      <c r="G111" s="20"/>
      <c r="H111" s="20"/>
      <c r="I111" s="70"/>
      <c r="J111" s="70"/>
      <c r="K111" s="70"/>
      <c r="L111" s="70"/>
      <c r="M111" s="20"/>
      <c r="N111" s="20"/>
      <c r="O111" s="20"/>
      <c r="P111" s="20"/>
      <c r="Q111" s="20"/>
      <c r="R111" s="20"/>
      <c r="S111" s="20"/>
      <c r="T111" s="20"/>
      <c r="U111" s="20"/>
      <c r="V111" s="20"/>
      <c r="W111" s="20"/>
      <c r="X111" s="20"/>
    </row>
    <row r="112">
      <c r="A112" s="20"/>
      <c r="B112" s="20"/>
      <c r="C112" s="20"/>
      <c r="D112" s="70"/>
      <c r="E112" s="70"/>
      <c r="F112" s="70"/>
      <c r="G112" s="20"/>
      <c r="H112" s="20"/>
      <c r="I112" s="70"/>
      <c r="J112" s="70"/>
      <c r="K112" s="70"/>
      <c r="L112" s="70"/>
      <c r="M112" s="20"/>
      <c r="N112" s="20"/>
      <c r="O112" s="20"/>
      <c r="P112" s="20"/>
      <c r="Q112" s="20"/>
      <c r="R112" s="20"/>
      <c r="S112" s="20"/>
      <c r="T112" s="20"/>
      <c r="U112" s="20"/>
      <c r="V112" s="20"/>
      <c r="W112" s="20"/>
      <c r="X112" s="20"/>
    </row>
    <row r="113">
      <c r="A113" s="20"/>
      <c r="B113" s="20"/>
      <c r="C113" s="20"/>
      <c r="D113" s="70"/>
      <c r="E113" s="70"/>
      <c r="F113" s="70"/>
      <c r="G113" s="20"/>
      <c r="H113" s="20"/>
      <c r="I113" s="70"/>
      <c r="J113" s="70"/>
      <c r="K113" s="70"/>
      <c r="L113" s="70"/>
      <c r="M113" s="20"/>
      <c r="N113" s="20"/>
      <c r="O113" s="20"/>
      <c r="P113" s="20"/>
      <c r="Q113" s="20"/>
      <c r="R113" s="20"/>
      <c r="S113" s="20"/>
      <c r="T113" s="20"/>
      <c r="U113" s="20"/>
      <c r="V113" s="20"/>
      <c r="W113" s="20"/>
      <c r="X113" s="20"/>
    </row>
    <row r="114">
      <c r="A114" s="20"/>
      <c r="B114" s="20"/>
      <c r="C114" s="20"/>
      <c r="D114" s="70"/>
      <c r="E114" s="70"/>
      <c r="F114" s="70"/>
      <c r="G114" s="20"/>
      <c r="H114" s="20"/>
      <c r="I114" s="70"/>
      <c r="J114" s="70"/>
      <c r="K114" s="70"/>
      <c r="L114" s="70"/>
      <c r="M114" s="20"/>
      <c r="N114" s="20"/>
      <c r="O114" s="20"/>
      <c r="P114" s="20"/>
      <c r="Q114" s="20"/>
      <c r="R114" s="20"/>
      <c r="S114" s="20"/>
      <c r="T114" s="20"/>
      <c r="U114" s="20"/>
      <c r="V114" s="20"/>
      <c r="W114" s="20"/>
      <c r="X114" s="20"/>
    </row>
    <row r="115">
      <c r="A115" s="20"/>
      <c r="B115" s="20"/>
      <c r="C115" s="20"/>
      <c r="D115" s="70"/>
      <c r="E115" s="70"/>
      <c r="F115" s="70"/>
      <c r="G115" s="20"/>
      <c r="H115" s="20"/>
      <c r="I115" s="70"/>
      <c r="J115" s="70"/>
      <c r="K115" s="70"/>
      <c r="L115" s="70"/>
      <c r="M115" s="20"/>
      <c r="N115" s="20"/>
      <c r="O115" s="20"/>
      <c r="P115" s="20"/>
      <c r="Q115" s="20"/>
      <c r="R115" s="20"/>
      <c r="S115" s="20"/>
      <c r="T115" s="20"/>
      <c r="U115" s="20"/>
      <c r="V115" s="20"/>
      <c r="W115" s="20"/>
      <c r="X115" s="20"/>
    </row>
    <row r="116">
      <c r="A116" s="20"/>
      <c r="B116" s="20"/>
      <c r="C116" s="20"/>
      <c r="D116" s="70"/>
      <c r="E116" s="70"/>
      <c r="F116" s="70"/>
      <c r="G116" s="20"/>
      <c r="H116" s="20"/>
      <c r="I116" s="70"/>
      <c r="J116" s="70"/>
      <c r="K116" s="70"/>
      <c r="L116" s="70"/>
      <c r="M116" s="20"/>
      <c r="N116" s="20"/>
      <c r="O116" s="20"/>
      <c r="P116" s="20"/>
      <c r="Q116" s="20"/>
      <c r="R116" s="20"/>
      <c r="S116" s="20"/>
      <c r="T116" s="20"/>
      <c r="U116" s="20"/>
      <c r="V116" s="20"/>
      <c r="W116" s="20"/>
      <c r="X116" s="20"/>
    </row>
    <row r="117">
      <c r="A117" s="20"/>
      <c r="B117" s="20"/>
      <c r="C117" s="20"/>
      <c r="D117" s="70"/>
      <c r="E117" s="70"/>
      <c r="F117" s="70"/>
      <c r="G117" s="20"/>
      <c r="H117" s="20"/>
      <c r="I117" s="70"/>
      <c r="J117" s="70"/>
      <c r="K117" s="70"/>
      <c r="L117" s="70"/>
      <c r="M117" s="20"/>
      <c r="N117" s="20"/>
      <c r="O117" s="20"/>
      <c r="P117" s="20"/>
      <c r="Q117" s="20"/>
      <c r="R117" s="20"/>
      <c r="S117" s="20"/>
      <c r="T117" s="20"/>
      <c r="U117" s="20"/>
      <c r="V117" s="20"/>
      <c r="W117" s="20"/>
      <c r="X117" s="20"/>
    </row>
    <row r="118">
      <c r="A118" s="20"/>
      <c r="B118" s="20"/>
      <c r="C118" s="20"/>
      <c r="D118" s="70"/>
      <c r="E118" s="70"/>
      <c r="F118" s="70"/>
      <c r="G118" s="20"/>
      <c r="H118" s="20"/>
      <c r="I118" s="70"/>
      <c r="J118" s="70"/>
      <c r="K118" s="70"/>
      <c r="L118" s="70"/>
      <c r="M118" s="20"/>
      <c r="N118" s="20"/>
      <c r="O118" s="20"/>
      <c r="P118" s="20"/>
      <c r="Q118" s="20"/>
      <c r="R118" s="20"/>
      <c r="S118" s="20"/>
      <c r="T118" s="20"/>
      <c r="U118" s="20"/>
      <c r="V118" s="20"/>
      <c r="W118" s="20"/>
      <c r="X118" s="20"/>
    </row>
    <row r="119">
      <c r="A119" s="20"/>
      <c r="B119" s="20"/>
      <c r="C119" s="20"/>
      <c r="D119" s="70"/>
      <c r="E119" s="70"/>
      <c r="F119" s="70"/>
      <c r="G119" s="20"/>
      <c r="H119" s="20"/>
      <c r="I119" s="70"/>
      <c r="J119" s="70"/>
      <c r="K119" s="70"/>
      <c r="L119" s="70"/>
      <c r="M119" s="20"/>
      <c r="N119" s="20"/>
      <c r="O119" s="20"/>
      <c r="P119" s="20"/>
      <c r="Q119" s="20"/>
      <c r="R119" s="20"/>
      <c r="S119" s="20"/>
      <c r="T119" s="20"/>
      <c r="U119" s="20"/>
      <c r="V119" s="20"/>
      <c r="W119" s="20"/>
      <c r="X119" s="20"/>
    </row>
    <row r="120">
      <c r="A120" s="20"/>
      <c r="B120" s="20"/>
      <c r="C120" s="20"/>
      <c r="D120" s="70"/>
      <c r="E120" s="70"/>
      <c r="F120" s="70"/>
      <c r="G120" s="20"/>
      <c r="H120" s="20"/>
      <c r="I120" s="70"/>
      <c r="J120" s="70"/>
      <c r="K120" s="70"/>
      <c r="L120" s="70"/>
      <c r="M120" s="20"/>
      <c r="N120" s="20"/>
      <c r="O120" s="20"/>
      <c r="P120" s="20"/>
      <c r="Q120" s="20"/>
      <c r="R120" s="20"/>
      <c r="S120" s="20"/>
      <c r="T120" s="20"/>
      <c r="U120" s="20"/>
      <c r="V120" s="20"/>
      <c r="W120" s="20"/>
      <c r="X120" s="20"/>
    </row>
    <row r="121">
      <c r="A121" s="20"/>
      <c r="B121" s="20"/>
      <c r="C121" s="20"/>
      <c r="D121" s="70"/>
      <c r="E121" s="70"/>
      <c r="F121" s="70"/>
      <c r="G121" s="20"/>
      <c r="H121" s="20"/>
      <c r="I121" s="70"/>
      <c r="J121" s="70"/>
      <c r="K121" s="70"/>
      <c r="L121" s="70"/>
      <c r="M121" s="20"/>
      <c r="N121" s="20"/>
      <c r="O121" s="20"/>
      <c r="P121" s="20"/>
      <c r="Q121" s="20"/>
      <c r="R121" s="20"/>
      <c r="S121" s="20"/>
      <c r="T121" s="20"/>
      <c r="U121" s="20"/>
      <c r="V121" s="20"/>
      <c r="W121" s="20"/>
      <c r="X121" s="20"/>
    </row>
    <row r="122">
      <c r="A122" s="20"/>
      <c r="B122" s="20"/>
      <c r="C122" s="20"/>
      <c r="D122" s="70"/>
      <c r="E122" s="70"/>
      <c r="F122" s="70"/>
      <c r="G122" s="20"/>
      <c r="H122" s="20"/>
      <c r="I122" s="70"/>
      <c r="J122" s="70"/>
      <c r="K122" s="70"/>
      <c r="L122" s="70"/>
      <c r="M122" s="20"/>
      <c r="N122" s="20"/>
      <c r="O122" s="20"/>
      <c r="P122" s="20"/>
      <c r="Q122" s="20"/>
      <c r="R122" s="20"/>
      <c r="S122" s="20"/>
      <c r="T122" s="20"/>
      <c r="U122" s="20"/>
      <c r="V122" s="20"/>
      <c r="W122" s="20"/>
      <c r="X122" s="20"/>
    </row>
    <row r="123">
      <c r="A123" s="20"/>
      <c r="B123" s="20"/>
      <c r="C123" s="20"/>
      <c r="D123" s="70"/>
      <c r="E123" s="70"/>
      <c r="F123" s="70"/>
      <c r="G123" s="20"/>
      <c r="H123" s="20"/>
      <c r="I123" s="70"/>
      <c r="J123" s="70"/>
      <c r="K123" s="70"/>
      <c r="L123" s="70"/>
      <c r="M123" s="20"/>
      <c r="N123" s="20"/>
      <c r="O123" s="20"/>
      <c r="P123" s="20"/>
      <c r="Q123" s="20"/>
      <c r="R123" s="20"/>
      <c r="S123" s="20"/>
      <c r="T123" s="20"/>
      <c r="U123" s="20"/>
      <c r="V123" s="20"/>
      <c r="W123" s="20"/>
      <c r="X123" s="20"/>
    </row>
    <row r="124">
      <c r="A124" s="20"/>
      <c r="B124" s="20"/>
      <c r="C124" s="20"/>
      <c r="D124" s="70"/>
      <c r="E124" s="70"/>
      <c r="F124" s="70"/>
      <c r="G124" s="20"/>
      <c r="H124" s="20"/>
      <c r="I124" s="70"/>
      <c r="J124" s="70"/>
      <c r="K124" s="70"/>
      <c r="L124" s="70"/>
      <c r="M124" s="20"/>
      <c r="N124" s="20"/>
      <c r="O124" s="20"/>
      <c r="P124" s="20"/>
      <c r="Q124" s="20"/>
      <c r="R124" s="20"/>
      <c r="S124" s="20"/>
      <c r="T124" s="20"/>
      <c r="U124" s="20"/>
      <c r="V124" s="20"/>
      <c r="W124" s="20"/>
      <c r="X124" s="20"/>
    </row>
    <row r="125">
      <c r="A125" s="20"/>
      <c r="B125" s="20"/>
      <c r="C125" s="20"/>
      <c r="D125" s="70"/>
      <c r="E125" s="70"/>
      <c r="F125" s="70"/>
      <c r="G125" s="20"/>
      <c r="H125" s="20"/>
      <c r="I125" s="70"/>
      <c r="J125" s="70"/>
      <c r="K125" s="70"/>
      <c r="L125" s="70"/>
      <c r="M125" s="20"/>
      <c r="N125" s="20"/>
      <c r="O125" s="20"/>
      <c r="P125" s="20"/>
      <c r="Q125" s="20"/>
      <c r="R125" s="20"/>
      <c r="S125" s="20"/>
      <c r="T125" s="20"/>
      <c r="U125" s="20"/>
      <c r="V125" s="20"/>
      <c r="W125" s="20"/>
      <c r="X125" s="20"/>
    </row>
    <row r="126">
      <c r="A126" s="20"/>
      <c r="B126" s="20"/>
      <c r="C126" s="20"/>
      <c r="D126" s="70"/>
      <c r="E126" s="70"/>
      <c r="F126" s="70"/>
      <c r="G126" s="20"/>
      <c r="H126" s="20"/>
      <c r="I126" s="70"/>
      <c r="J126" s="70"/>
      <c r="K126" s="70"/>
      <c r="L126" s="70"/>
      <c r="M126" s="20"/>
      <c r="N126" s="20"/>
      <c r="O126" s="20"/>
      <c r="P126" s="20"/>
      <c r="Q126" s="20"/>
      <c r="R126" s="20"/>
      <c r="S126" s="20"/>
      <c r="T126" s="20"/>
      <c r="U126" s="20"/>
      <c r="V126" s="20"/>
      <c r="W126" s="20"/>
      <c r="X126" s="20"/>
    </row>
    <row r="127">
      <c r="A127" s="20"/>
      <c r="B127" s="20"/>
      <c r="C127" s="20"/>
      <c r="D127" s="70"/>
      <c r="E127" s="70"/>
      <c r="F127" s="70"/>
      <c r="G127" s="20"/>
      <c r="H127" s="20"/>
      <c r="I127" s="70"/>
      <c r="J127" s="70"/>
      <c r="K127" s="70"/>
      <c r="L127" s="70"/>
      <c r="M127" s="20"/>
      <c r="N127" s="20"/>
      <c r="O127" s="20"/>
      <c r="P127" s="20"/>
      <c r="Q127" s="20"/>
      <c r="R127" s="20"/>
      <c r="S127" s="20"/>
      <c r="T127" s="20"/>
      <c r="U127" s="20"/>
      <c r="V127" s="20"/>
      <c r="W127" s="20"/>
      <c r="X127" s="20"/>
    </row>
    <row r="128">
      <c r="A128" s="20"/>
      <c r="B128" s="20"/>
      <c r="C128" s="20"/>
      <c r="D128" s="70"/>
      <c r="E128" s="70"/>
      <c r="F128" s="70"/>
      <c r="G128" s="20"/>
      <c r="H128" s="20"/>
      <c r="I128" s="70"/>
      <c r="J128" s="70"/>
      <c r="K128" s="70"/>
      <c r="L128" s="70"/>
      <c r="M128" s="20"/>
      <c r="N128" s="20"/>
      <c r="O128" s="20"/>
      <c r="P128" s="20"/>
      <c r="Q128" s="20"/>
      <c r="R128" s="20"/>
      <c r="S128" s="20"/>
      <c r="T128" s="20"/>
      <c r="U128" s="20"/>
      <c r="V128" s="20"/>
      <c r="W128" s="20"/>
      <c r="X128" s="20"/>
    </row>
    <row r="129">
      <c r="A129" s="20"/>
      <c r="B129" s="20"/>
      <c r="C129" s="20"/>
      <c r="D129" s="70"/>
      <c r="E129" s="70"/>
      <c r="F129" s="70"/>
      <c r="G129" s="20"/>
      <c r="H129" s="20"/>
      <c r="I129" s="70"/>
      <c r="J129" s="70"/>
      <c r="K129" s="70"/>
      <c r="L129" s="70"/>
      <c r="M129" s="20"/>
      <c r="N129" s="20"/>
      <c r="O129" s="20"/>
      <c r="P129" s="20"/>
      <c r="Q129" s="20"/>
      <c r="R129" s="20"/>
      <c r="S129" s="20"/>
      <c r="T129" s="20"/>
      <c r="U129" s="20"/>
      <c r="V129" s="20"/>
      <c r="W129" s="20"/>
      <c r="X129" s="20"/>
    </row>
    <row r="130">
      <c r="A130" s="20"/>
      <c r="B130" s="20"/>
      <c r="C130" s="20"/>
      <c r="D130" s="70"/>
      <c r="E130" s="70"/>
      <c r="F130" s="70"/>
      <c r="G130" s="20"/>
      <c r="H130" s="20"/>
      <c r="I130" s="70"/>
      <c r="J130" s="70"/>
      <c r="K130" s="70"/>
      <c r="L130" s="70"/>
      <c r="M130" s="20"/>
      <c r="N130" s="20"/>
      <c r="O130" s="20"/>
      <c r="P130" s="20"/>
      <c r="Q130" s="20"/>
      <c r="R130" s="20"/>
      <c r="S130" s="20"/>
      <c r="T130" s="20"/>
      <c r="U130" s="20"/>
      <c r="V130" s="20"/>
      <c r="W130" s="20"/>
      <c r="X130" s="20"/>
    </row>
    <row r="131">
      <c r="A131" s="20"/>
      <c r="B131" s="20"/>
      <c r="C131" s="20"/>
      <c r="D131" s="70"/>
      <c r="E131" s="70"/>
      <c r="F131" s="70"/>
      <c r="G131" s="20"/>
      <c r="H131" s="20"/>
      <c r="I131" s="70"/>
      <c r="J131" s="70"/>
      <c r="K131" s="70"/>
      <c r="L131" s="70"/>
      <c r="M131" s="20"/>
      <c r="N131" s="20"/>
      <c r="O131" s="20"/>
      <c r="P131" s="20"/>
      <c r="Q131" s="20"/>
      <c r="R131" s="20"/>
      <c r="S131" s="20"/>
      <c r="T131" s="20"/>
      <c r="U131" s="20"/>
      <c r="V131" s="20"/>
      <c r="W131" s="20"/>
      <c r="X131" s="20"/>
    </row>
    <row r="132">
      <c r="A132" s="20"/>
      <c r="B132" s="20"/>
      <c r="C132" s="20"/>
      <c r="D132" s="70"/>
      <c r="E132" s="70"/>
      <c r="F132" s="70"/>
      <c r="G132" s="20"/>
      <c r="H132" s="20"/>
      <c r="I132" s="70"/>
      <c r="J132" s="70"/>
      <c r="K132" s="70"/>
      <c r="L132" s="70"/>
      <c r="M132" s="20"/>
      <c r="N132" s="20"/>
      <c r="O132" s="20"/>
      <c r="P132" s="20"/>
      <c r="Q132" s="20"/>
      <c r="R132" s="20"/>
      <c r="S132" s="20"/>
      <c r="T132" s="20"/>
      <c r="U132" s="20"/>
      <c r="V132" s="20"/>
      <c r="W132" s="20"/>
      <c r="X132" s="20"/>
    </row>
    <row r="133">
      <c r="A133" s="20"/>
      <c r="B133" s="20"/>
      <c r="C133" s="20"/>
      <c r="D133" s="70"/>
      <c r="E133" s="70"/>
      <c r="F133" s="70"/>
      <c r="G133" s="20"/>
      <c r="H133" s="20"/>
      <c r="I133" s="70"/>
      <c r="J133" s="70"/>
      <c r="K133" s="70"/>
      <c r="L133" s="70"/>
      <c r="M133" s="20"/>
      <c r="N133" s="20"/>
      <c r="O133" s="20"/>
      <c r="P133" s="20"/>
      <c r="Q133" s="20"/>
      <c r="R133" s="20"/>
      <c r="S133" s="20"/>
      <c r="T133" s="20"/>
      <c r="U133" s="20"/>
      <c r="V133" s="20"/>
      <c r="W133" s="20"/>
      <c r="X133" s="20"/>
    </row>
    <row r="134">
      <c r="A134" s="20"/>
      <c r="B134" s="20"/>
      <c r="C134" s="20"/>
      <c r="D134" s="70"/>
      <c r="E134" s="70"/>
      <c r="F134" s="70"/>
      <c r="G134" s="20"/>
      <c r="H134" s="20"/>
      <c r="I134" s="70"/>
      <c r="J134" s="70"/>
      <c r="K134" s="70"/>
      <c r="L134" s="70"/>
      <c r="M134" s="20"/>
      <c r="N134" s="20"/>
      <c r="O134" s="20"/>
      <c r="P134" s="20"/>
      <c r="Q134" s="20"/>
      <c r="R134" s="20"/>
      <c r="S134" s="20"/>
      <c r="T134" s="20"/>
      <c r="U134" s="20"/>
      <c r="V134" s="20"/>
      <c r="W134" s="20"/>
      <c r="X134" s="20"/>
    </row>
    <row r="135">
      <c r="A135" s="20"/>
      <c r="B135" s="20"/>
      <c r="C135" s="20"/>
      <c r="D135" s="70"/>
      <c r="E135" s="70"/>
      <c r="F135" s="70"/>
      <c r="G135" s="20"/>
      <c r="H135" s="20"/>
      <c r="I135" s="70"/>
      <c r="J135" s="70"/>
      <c r="K135" s="70"/>
      <c r="L135" s="70"/>
      <c r="M135" s="20"/>
      <c r="N135" s="20"/>
      <c r="O135" s="20"/>
      <c r="P135" s="20"/>
      <c r="Q135" s="20"/>
      <c r="R135" s="20"/>
      <c r="S135" s="20"/>
      <c r="T135" s="20"/>
      <c r="U135" s="20"/>
      <c r="V135" s="20"/>
      <c r="W135" s="20"/>
      <c r="X135" s="20"/>
    </row>
    <row r="136">
      <c r="A136" s="20"/>
      <c r="B136" s="20"/>
      <c r="C136" s="20"/>
      <c r="D136" s="70"/>
      <c r="E136" s="70"/>
      <c r="F136" s="70"/>
      <c r="G136" s="20"/>
      <c r="H136" s="20"/>
      <c r="I136" s="70"/>
      <c r="J136" s="70"/>
      <c r="K136" s="70"/>
      <c r="L136" s="70"/>
      <c r="M136" s="20"/>
      <c r="N136" s="20"/>
      <c r="O136" s="20"/>
      <c r="P136" s="20"/>
      <c r="Q136" s="20"/>
      <c r="R136" s="20"/>
      <c r="S136" s="20"/>
      <c r="T136" s="20"/>
      <c r="U136" s="20"/>
      <c r="V136" s="20"/>
      <c r="W136" s="20"/>
      <c r="X136" s="20"/>
    </row>
    <row r="137">
      <c r="A137" s="20"/>
      <c r="B137" s="20"/>
      <c r="C137" s="20"/>
      <c r="D137" s="70"/>
      <c r="E137" s="70"/>
      <c r="F137" s="70"/>
      <c r="G137" s="20"/>
      <c r="H137" s="20"/>
      <c r="I137" s="70"/>
      <c r="J137" s="70"/>
      <c r="K137" s="70"/>
      <c r="L137" s="70"/>
      <c r="M137" s="20"/>
      <c r="N137" s="20"/>
      <c r="O137" s="20"/>
      <c r="P137" s="20"/>
      <c r="Q137" s="20"/>
      <c r="R137" s="20"/>
      <c r="S137" s="20"/>
      <c r="T137" s="20"/>
      <c r="U137" s="20"/>
      <c r="V137" s="20"/>
      <c r="W137" s="20"/>
      <c r="X137" s="20"/>
    </row>
    <row r="138">
      <c r="A138" s="20"/>
      <c r="B138" s="20"/>
      <c r="C138" s="20"/>
      <c r="D138" s="70"/>
      <c r="E138" s="70"/>
      <c r="F138" s="70"/>
      <c r="G138" s="20"/>
      <c r="H138" s="20"/>
      <c r="I138" s="70"/>
      <c r="J138" s="70"/>
      <c r="K138" s="70"/>
      <c r="L138" s="70"/>
      <c r="M138" s="20"/>
      <c r="N138" s="20"/>
      <c r="O138" s="20"/>
      <c r="P138" s="20"/>
      <c r="Q138" s="20"/>
      <c r="R138" s="20"/>
      <c r="S138" s="20"/>
      <c r="T138" s="20"/>
      <c r="U138" s="20"/>
      <c r="V138" s="20"/>
      <c r="W138" s="20"/>
      <c r="X138" s="20"/>
    </row>
    <row r="139">
      <c r="A139" s="20"/>
      <c r="B139" s="20"/>
      <c r="C139" s="20"/>
      <c r="D139" s="70"/>
      <c r="E139" s="70"/>
      <c r="F139" s="70"/>
      <c r="G139" s="20"/>
      <c r="H139" s="20"/>
      <c r="I139" s="70"/>
      <c r="J139" s="70"/>
      <c r="K139" s="70"/>
      <c r="L139" s="70"/>
      <c r="M139" s="20"/>
      <c r="N139" s="20"/>
      <c r="O139" s="20"/>
      <c r="P139" s="20"/>
      <c r="Q139" s="20"/>
      <c r="R139" s="20"/>
      <c r="S139" s="20"/>
      <c r="T139" s="20"/>
      <c r="U139" s="20"/>
      <c r="V139" s="20"/>
      <c r="W139" s="20"/>
      <c r="X139" s="20"/>
    </row>
    <row r="140">
      <c r="A140" s="20"/>
      <c r="B140" s="20"/>
      <c r="C140" s="20"/>
      <c r="D140" s="70"/>
      <c r="E140" s="70"/>
      <c r="F140" s="70"/>
      <c r="G140" s="20"/>
      <c r="H140" s="20"/>
      <c r="I140" s="70"/>
      <c r="J140" s="70"/>
      <c r="K140" s="70"/>
      <c r="L140" s="70"/>
      <c r="M140" s="20"/>
      <c r="N140" s="20"/>
      <c r="O140" s="20"/>
      <c r="P140" s="20"/>
      <c r="Q140" s="20"/>
      <c r="R140" s="20"/>
      <c r="S140" s="20"/>
      <c r="T140" s="20"/>
      <c r="U140" s="20"/>
      <c r="V140" s="20"/>
      <c r="W140" s="20"/>
      <c r="X140" s="20"/>
    </row>
    <row r="141">
      <c r="A141" s="20"/>
      <c r="B141" s="20"/>
      <c r="C141" s="20"/>
      <c r="D141" s="70"/>
      <c r="E141" s="70"/>
      <c r="F141" s="70"/>
      <c r="G141" s="20"/>
      <c r="H141" s="20"/>
      <c r="I141" s="70"/>
      <c r="J141" s="70"/>
      <c r="K141" s="70"/>
      <c r="L141" s="70"/>
      <c r="M141" s="20"/>
      <c r="N141" s="20"/>
      <c r="O141" s="20"/>
      <c r="P141" s="20"/>
      <c r="Q141" s="20"/>
      <c r="R141" s="20"/>
      <c r="S141" s="20"/>
      <c r="T141" s="20"/>
      <c r="U141" s="20"/>
      <c r="V141" s="20"/>
      <c r="W141" s="20"/>
      <c r="X141" s="20"/>
    </row>
    <row r="142">
      <c r="A142" s="20"/>
      <c r="B142" s="20"/>
      <c r="C142" s="20"/>
      <c r="D142" s="70"/>
      <c r="E142" s="70"/>
      <c r="F142" s="70"/>
      <c r="G142" s="20"/>
      <c r="H142" s="20"/>
      <c r="I142" s="70"/>
      <c r="J142" s="70"/>
      <c r="K142" s="70"/>
      <c r="L142" s="70"/>
      <c r="M142" s="20"/>
      <c r="N142" s="20"/>
      <c r="O142" s="20"/>
      <c r="P142" s="20"/>
      <c r="Q142" s="20"/>
      <c r="R142" s="20"/>
      <c r="S142" s="20"/>
      <c r="T142" s="20"/>
      <c r="U142" s="20"/>
      <c r="V142" s="20"/>
      <c r="W142" s="20"/>
      <c r="X142" s="20"/>
    </row>
    <row r="143">
      <c r="A143" s="20"/>
      <c r="B143" s="20"/>
      <c r="C143" s="20"/>
      <c r="D143" s="70"/>
      <c r="E143" s="70"/>
      <c r="F143" s="70"/>
      <c r="G143" s="20"/>
      <c r="H143" s="20"/>
      <c r="I143" s="70"/>
      <c r="J143" s="70"/>
      <c r="K143" s="70"/>
      <c r="L143" s="70"/>
      <c r="M143" s="20"/>
      <c r="N143" s="20"/>
      <c r="O143" s="20"/>
      <c r="P143" s="20"/>
      <c r="Q143" s="20"/>
      <c r="R143" s="20"/>
      <c r="S143" s="20"/>
      <c r="T143" s="20"/>
      <c r="U143" s="20"/>
      <c r="V143" s="20"/>
      <c r="W143" s="20"/>
      <c r="X143" s="20"/>
    </row>
    <row r="144">
      <c r="A144" s="20"/>
      <c r="B144" s="20"/>
      <c r="C144" s="20"/>
      <c r="D144" s="70"/>
      <c r="E144" s="70"/>
      <c r="F144" s="70"/>
      <c r="G144" s="20"/>
      <c r="H144" s="20"/>
      <c r="I144" s="70"/>
      <c r="J144" s="70"/>
      <c r="K144" s="70"/>
      <c r="L144" s="70"/>
      <c r="M144" s="20"/>
      <c r="N144" s="20"/>
      <c r="O144" s="20"/>
      <c r="P144" s="20"/>
      <c r="Q144" s="20"/>
      <c r="R144" s="20"/>
      <c r="S144" s="20"/>
      <c r="T144" s="20"/>
      <c r="U144" s="20"/>
      <c r="V144" s="20"/>
      <c r="W144" s="20"/>
      <c r="X144" s="20"/>
    </row>
    <row r="145">
      <c r="A145" s="20"/>
      <c r="B145" s="20"/>
      <c r="C145" s="20"/>
      <c r="D145" s="70"/>
      <c r="E145" s="70"/>
      <c r="F145" s="70"/>
      <c r="G145" s="20"/>
      <c r="H145" s="20"/>
      <c r="I145" s="70"/>
      <c r="J145" s="70"/>
      <c r="K145" s="70"/>
      <c r="L145" s="70"/>
      <c r="M145" s="20"/>
      <c r="N145" s="20"/>
      <c r="O145" s="20"/>
      <c r="P145" s="20"/>
      <c r="Q145" s="20"/>
      <c r="R145" s="20"/>
      <c r="S145" s="20"/>
      <c r="T145" s="20"/>
      <c r="U145" s="20"/>
      <c r="V145" s="20"/>
      <c r="W145" s="20"/>
      <c r="X145" s="20"/>
    </row>
    <row r="146">
      <c r="A146" s="20"/>
      <c r="B146" s="20"/>
      <c r="C146" s="20"/>
      <c r="D146" s="70"/>
      <c r="E146" s="70"/>
      <c r="F146" s="70"/>
      <c r="G146" s="20"/>
      <c r="H146" s="20"/>
      <c r="I146" s="70"/>
      <c r="J146" s="70"/>
      <c r="K146" s="70"/>
      <c r="L146" s="70"/>
      <c r="M146" s="20"/>
      <c r="N146" s="20"/>
      <c r="O146" s="20"/>
      <c r="P146" s="20"/>
      <c r="Q146" s="20"/>
      <c r="R146" s="20"/>
      <c r="S146" s="20"/>
      <c r="T146" s="20"/>
      <c r="U146" s="20"/>
      <c r="V146" s="20"/>
      <c r="W146" s="20"/>
      <c r="X146" s="20"/>
    </row>
    <row r="147">
      <c r="A147" s="20"/>
      <c r="B147" s="20"/>
      <c r="C147" s="20"/>
      <c r="D147" s="70"/>
      <c r="E147" s="70"/>
      <c r="F147" s="70"/>
      <c r="G147" s="20"/>
      <c r="H147" s="20"/>
      <c r="I147" s="70"/>
      <c r="J147" s="70"/>
      <c r="K147" s="70"/>
      <c r="L147" s="70"/>
      <c r="M147" s="20"/>
      <c r="N147" s="20"/>
      <c r="O147" s="20"/>
      <c r="P147" s="20"/>
      <c r="Q147" s="20"/>
      <c r="R147" s="20"/>
      <c r="S147" s="20"/>
      <c r="T147" s="20"/>
      <c r="U147" s="20"/>
      <c r="V147" s="20"/>
      <c r="W147" s="20"/>
      <c r="X147" s="20"/>
    </row>
    <row r="148">
      <c r="A148" s="20"/>
      <c r="B148" s="20"/>
      <c r="C148" s="20"/>
      <c r="D148" s="70"/>
      <c r="E148" s="70"/>
      <c r="F148" s="70"/>
      <c r="G148" s="20"/>
      <c r="H148" s="20"/>
      <c r="I148" s="70"/>
      <c r="J148" s="70"/>
      <c r="K148" s="70"/>
      <c r="L148" s="70"/>
      <c r="M148" s="20"/>
      <c r="N148" s="20"/>
      <c r="O148" s="20"/>
      <c r="P148" s="20"/>
      <c r="Q148" s="20"/>
      <c r="R148" s="20"/>
      <c r="S148" s="20"/>
      <c r="T148" s="20"/>
      <c r="U148" s="20"/>
      <c r="V148" s="20"/>
      <c r="W148" s="20"/>
      <c r="X148" s="20"/>
    </row>
    <row r="149">
      <c r="A149" s="20"/>
      <c r="B149" s="20"/>
      <c r="C149" s="20"/>
      <c r="D149" s="70"/>
      <c r="E149" s="70"/>
      <c r="F149" s="70"/>
      <c r="G149" s="20"/>
      <c r="H149" s="20"/>
      <c r="I149" s="70"/>
      <c r="J149" s="70"/>
      <c r="K149" s="70"/>
      <c r="L149" s="70"/>
      <c r="M149" s="20"/>
      <c r="N149" s="20"/>
      <c r="O149" s="20"/>
      <c r="P149" s="20"/>
      <c r="Q149" s="20"/>
      <c r="R149" s="20"/>
      <c r="S149" s="20"/>
      <c r="T149" s="20"/>
      <c r="U149" s="20"/>
      <c r="V149" s="20"/>
      <c r="W149" s="20"/>
      <c r="X149" s="20"/>
    </row>
    <row r="150">
      <c r="A150" s="20"/>
      <c r="B150" s="20"/>
      <c r="C150" s="20"/>
      <c r="D150" s="70"/>
      <c r="E150" s="70"/>
      <c r="F150" s="70"/>
      <c r="G150" s="20"/>
      <c r="H150" s="20"/>
      <c r="I150" s="70"/>
      <c r="J150" s="70"/>
      <c r="K150" s="70"/>
      <c r="L150" s="70"/>
      <c r="M150" s="20"/>
      <c r="N150" s="20"/>
      <c r="O150" s="20"/>
      <c r="P150" s="20"/>
      <c r="Q150" s="20"/>
      <c r="R150" s="20"/>
      <c r="S150" s="20"/>
      <c r="T150" s="20"/>
      <c r="U150" s="20"/>
      <c r="V150" s="20"/>
      <c r="W150" s="20"/>
      <c r="X150" s="20"/>
    </row>
    <row r="151">
      <c r="A151" s="20"/>
      <c r="B151" s="20"/>
      <c r="C151" s="20"/>
      <c r="D151" s="70"/>
      <c r="E151" s="70"/>
      <c r="F151" s="70"/>
      <c r="G151" s="20"/>
      <c r="H151" s="20"/>
      <c r="I151" s="70"/>
      <c r="J151" s="70"/>
      <c r="K151" s="70"/>
      <c r="L151" s="70"/>
      <c r="M151" s="20"/>
      <c r="N151" s="20"/>
      <c r="O151" s="20"/>
      <c r="P151" s="20"/>
      <c r="Q151" s="20"/>
      <c r="R151" s="20"/>
      <c r="S151" s="20"/>
      <c r="T151" s="20"/>
      <c r="U151" s="20"/>
      <c r="V151" s="20"/>
      <c r="W151" s="20"/>
      <c r="X151" s="20"/>
    </row>
    <row r="152">
      <c r="A152" s="20"/>
      <c r="B152" s="20"/>
      <c r="C152" s="20"/>
      <c r="D152" s="70"/>
      <c r="E152" s="70"/>
      <c r="F152" s="70"/>
      <c r="G152" s="20"/>
      <c r="H152" s="20"/>
      <c r="I152" s="70"/>
      <c r="J152" s="70"/>
      <c r="K152" s="70"/>
      <c r="L152" s="70"/>
      <c r="M152" s="20"/>
      <c r="N152" s="20"/>
      <c r="O152" s="20"/>
      <c r="P152" s="20"/>
      <c r="Q152" s="20"/>
      <c r="R152" s="20"/>
      <c r="S152" s="20"/>
      <c r="T152" s="20"/>
      <c r="U152" s="20"/>
      <c r="V152" s="20"/>
      <c r="W152" s="20"/>
      <c r="X152" s="20"/>
    </row>
    <row r="153">
      <c r="A153" s="20"/>
      <c r="B153" s="20"/>
      <c r="C153" s="20"/>
      <c r="D153" s="70"/>
      <c r="E153" s="70"/>
      <c r="F153" s="70"/>
      <c r="G153" s="20"/>
      <c r="H153" s="20"/>
      <c r="I153" s="70"/>
      <c r="J153" s="70"/>
      <c r="K153" s="70"/>
      <c r="L153" s="70"/>
      <c r="M153" s="20"/>
      <c r="N153" s="20"/>
      <c r="O153" s="20"/>
      <c r="P153" s="20"/>
      <c r="Q153" s="20"/>
      <c r="R153" s="20"/>
      <c r="S153" s="20"/>
      <c r="T153" s="20"/>
      <c r="U153" s="20"/>
      <c r="V153" s="20"/>
      <c r="W153" s="20"/>
      <c r="X153" s="20"/>
    </row>
    <row r="154">
      <c r="A154" s="20"/>
      <c r="B154" s="20"/>
      <c r="C154" s="20"/>
      <c r="D154" s="70"/>
      <c r="E154" s="70"/>
      <c r="F154" s="70"/>
      <c r="G154" s="20"/>
      <c r="H154" s="20"/>
      <c r="I154" s="70"/>
      <c r="J154" s="70"/>
      <c r="K154" s="70"/>
      <c r="L154" s="70"/>
      <c r="M154" s="20"/>
      <c r="N154" s="20"/>
      <c r="O154" s="20"/>
      <c r="P154" s="20"/>
      <c r="Q154" s="20"/>
      <c r="R154" s="20"/>
      <c r="S154" s="20"/>
      <c r="T154" s="20"/>
      <c r="U154" s="20"/>
      <c r="V154" s="20"/>
      <c r="W154" s="20"/>
      <c r="X154" s="20"/>
    </row>
    <row r="155">
      <c r="A155" s="20"/>
      <c r="B155" s="20"/>
      <c r="C155" s="20"/>
      <c r="D155" s="70"/>
      <c r="E155" s="70"/>
      <c r="F155" s="70"/>
      <c r="G155" s="20"/>
      <c r="H155" s="20"/>
      <c r="I155" s="70"/>
      <c r="J155" s="70"/>
      <c r="K155" s="70"/>
      <c r="L155" s="70"/>
      <c r="M155" s="20"/>
      <c r="N155" s="20"/>
      <c r="O155" s="20"/>
      <c r="P155" s="20"/>
      <c r="Q155" s="20"/>
      <c r="R155" s="20"/>
      <c r="S155" s="20"/>
      <c r="T155" s="20"/>
      <c r="U155" s="20"/>
      <c r="V155" s="20"/>
      <c r="W155" s="20"/>
      <c r="X155" s="20"/>
    </row>
    <row r="156">
      <c r="A156" s="20"/>
      <c r="B156" s="20"/>
      <c r="C156" s="20"/>
      <c r="D156" s="70"/>
      <c r="E156" s="70"/>
      <c r="F156" s="70"/>
      <c r="G156" s="20"/>
      <c r="H156" s="20"/>
      <c r="I156" s="70"/>
      <c r="J156" s="70"/>
      <c r="K156" s="70"/>
      <c r="L156" s="70"/>
      <c r="M156" s="20"/>
      <c r="N156" s="20"/>
      <c r="O156" s="20"/>
      <c r="P156" s="20"/>
      <c r="Q156" s="20"/>
      <c r="R156" s="20"/>
      <c r="S156" s="20"/>
      <c r="T156" s="20"/>
      <c r="U156" s="20"/>
      <c r="V156" s="20"/>
      <c r="W156" s="20"/>
      <c r="X156" s="20"/>
    </row>
    <row r="157">
      <c r="A157" s="20"/>
      <c r="B157" s="20"/>
      <c r="C157" s="20"/>
      <c r="D157" s="70"/>
      <c r="E157" s="70"/>
      <c r="F157" s="70"/>
      <c r="G157" s="20"/>
      <c r="H157" s="20"/>
      <c r="I157" s="70"/>
      <c r="J157" s="70"/>
      <c r="K157" s="70"/>
      <c r="L157" s="70"/>
      <c r="M157" s="20"/>
      <c r="N157" s="20"/>
      <c r="O157" s="20"/>
      <c r="P157" s="20"/>
      <c r="Q157" s="20"/>
      <c r="R157" s="20"/>
      <c r="S157" s="20"/>
      <c r="T157" s="20"/>
      <c r="U157" s="20"/>
      <c r="V157" s="20"/>
      <c r="W157" s="20"/>
      <c r="X157" s="20"/>
    </row>
    <row r="158">
      <c r="A158" s="20"/>
      <c r="B158" s="20"/>
      <c r="C158" s="20"/>
      <c r="D158" s="70"/>
      <c r="E158" s="70"/>
      <c r="F158" s="70"/>
      <c r="G158" s="20"/>
      <c r="H158" s="20"/>
      <c r="I158" s="70"/>
      <c r="J158" s="70"/>
      <c r="K158" s="70"/>
      <c r="L158" s="70"/>
      <c r="M158" s="20"/>
      <c r="N158" s="20"/>
      <c r="O158" s="20"/>
      <c r="P158" s="20"/>
      <c r="Q158" s="20"/>
      <c r="R158" s="20"/>
      <c r="S158" s="20"/>
      <c r="T158" s="20"/>
      <c r="U158" s="20"/>
      <c r="V158" s="20"/>
      <c r="W158" s="20"/>
      <c r="X158" s="20"/>
    </row>
    <row r="159">
      <c r="A159" s="20"/>
      <c r="B159" s="20"/>
      <c r="C159" s="20"/>
      <c r="D159" s="70"/>
      <c r="E159" s="70"/>
      <c r="F159" s="70"/>
      <c r="G159" s="20"/>
      <c r="H159" s="20"/>
      <c r="I159" s="70"/>
      <c r="J159" s="70"/>
      <c r="K159" s="70"/>
      <c r="L159" s="70"/>
      <c r="M159" s="20"/>
      <c r="N159" s="20"/>
      <c r="O159" s="20"/>
      <c r="P159" s="20"/>
      <c r="Q159" s="20"/>
      <c r="R159" s="20"/>
      <c r="S159" s="20"/>
      <c r="T159" s="20"/>
      <c r="U159" s="20"/>
      <c r="V159" s="20"/>
      <c r="W159" s="20"/>
      <c r="X159" s="20"/>
    </row>
    <row r="160">
      <c r="A160" s="20"/>
      <c r="B160" s="20"/>
      <c r="C160" s="20"/>
      <c r="D160" s="70"/>
      <c r="E160" s="70"/>
      <c r="F160" s="70"/>
      <c r="G160" s="20"/>
      <c r="H160" s="20"/>
      <c r="I160" s="70"/>
      <c r="J160" s="70"/>
      <c r="K160" s="70"/>
      <c r="L160" s="70"/>
      <c r="M160" s="20"/>
      <c r="N160" s="20"/>
      <c r="O160" s="20"/>
      <c r="P160" s="20"/>
      <c r="Q160" s="20"/>
      <c r="R160" s="20"/>
      <c r="S160" s="20"/>
      <c r="T160" s="20"/>
      <c r="U160" s="20"/>
      <c r="V160" s="20"/>
      <c r="W160" s="20"/>
      <c r="X160" s="20"/>
    </row>
    <row r="161">
      <c r="A161" s="20"/>
      <c r="B161" s="20"/>
      <c r="C161" s="20"/>
      <c r="D161" s="70"/>
      <c r="E161" s="70"/>
      <c r="F161" s="70"/>
      <c r="G161" s="20"/>
      <c r="H161" s="20"/>
      <c r="I161" s="70"/>
      <c r="J161" s="70"/>
      <c r="K161" s="70"/>
      <c r="L161" s="70"/>
      <c r="M161" s="20"/>
      <c r="N161" s="20"/>
      <c r="O161" s="20"/>
      <c r="P161" s="20"/>
      <c r="Q161" s="20"/>
      <c r="R161" s="20"/>
      <c r="S161" s="20"/>
      <c r="T161" s="20"/>
      <c r="U161" s="20"/>
      <c r="V161" s="20"/>
      <c r="W161" s="20"/>
      <c r="X161" s="20"/>
    </row>
    <row r="162">
      <c r="A162" s="20"/>
      <c r="B162" s="20"/>
      <c r="C162" s="20"/>
      <c r="D162" s="70"/>
      <c r="E162" s="70"/>
      <c r="F162" s="70"/>
      <c r="G162" s="20"/>
      <c r="H162" s="20"/>
      <c r="I162" s="70"/>
      <c r="J162" s="70"/>
      <c r="K162" s="70"/>
      <c r="L162" s="70"/>
      <c r="M162" s="20"/>
      <c r="N162" s="20"/>
      <c r="O162" s="20"/>
      <c r="P162" s="20"/>
      <c r="Q162" s="20"/>
      <c r="R162" s="20"/>
      <c r="S162" s="20"/>
      <c r="T162" s="20"/>
      <c r="U162" s="20"/>
      <c r="V162" s="20"/>
      <c r="W162" s="20"/>
      <c r="X162" s="20"/>
    </row>
    <row r="163">
      <c r="A163" s="20"/>
      <c r="B163" s="20"/>
      <c r="C163" s="20"/>
      <c r="D163" s="70"/>
      <c r="E163" s="70"/>
      <c r="F163" s="70"/>
      <c r="G163" s="20"/>
      <c r="H163" s="20"/>
      <c r="I163" s="70"/>
      <c r="J163" s="70"/>
      <c r="K163" s="70"/>
      <c r="L163" s="70"/>
      <c r="M163" s="20"/>
      <c r="N163" s="20"/>
      <c r="O163" s="20"/>
      <c r="P163" s="20"/>
      <c r="Q163" s="20"/>
      <c r="R163" s="20"/>
      <c r="S163" s="20"/>
      <c r="T163" s="20"/>
      <c r="U163" s="20"/>
      <c r="V163" s="20"/>
      <c r="W163" s="20"/>
      <c r="X163" s="20"/>
    </row>
    <row r="164">
      <c r="A164" s="20"/>
      <c r="B164" s="20"/>
      <c r="C164" s="20"/>
      <c r="D164" s="70"/>
      <c r="E164" s="70"/>
      <c r="F164" s="70"/>
      <c r="G164" s="20"/>
      <c r="H164" s="20"/>
      <c r="I164" s="70"/>
      <c r="J164" s="70"/>
      <c r="K164" s="70"/>
      <c r="L164" s="70"/>
      <c r="M164" s="20"/>
      <c r="N164" s="20"/>
      <c r="O164" s="20"/>
      <c r="P164" s="20"/>
      <c r="Q164" s="20"/>
      <c r="R164" s="20"/>
      <c r="S164" s="20"/>
      <c r="T164" s="20"/>
      <c r="U164" s="20"/>
      <c r="V164" s="20"/>
      <c r="W164" s="20"/>
      <c r="X164" s="20"/>
    </row>
    <row r="165">
      <c r="A165" s="20"/>
      <c r="B165" s="20"/>
      <c r="C165" s="20"/>
      <c r="D165" s="70"/>
      <c r="E165" s="70"/>
      <c r="F165" s="70"/>
      <c r="G165" s="20"/>
      <c r="H165" s="20"/>
      <c r="I165" s="70"/>
      <c r="J165" s="70"/>
      <c r="K165" s="70"/>
      <c r="L165" s="70"/>
      <c r="M165" s="20"/>
      <c r="N165" s="20"/>
      <c r="O165" s="20"/>
      <c r="P165" s="20"/>
      <c r="Q165" s="20"/>
      <c r="R165" s="20"/>
      <c r="S165" s="20"/>
      <c r="T165" s="20"/>
      <c r="U165" s="20"/>
      <c r="V165" s="20"/>
      <c r="W165" s="20"/>
      <c r="X165" s="20"/>
    </row>
    <row r="166">
      <c r="A166" s="20"/>
      <c r="B166" s="20"/>
      <c r="C166" s="20"/>
      <c r="D166" s="70"/>
      <c r="E166" s="70"/>
      <c r="F166" s="70"/>
      <c r="G166" s="20"/>
      <c r="H166" s="20"/>
      <c r="I166" s="70"/>
      <c r="J166" s="70"/>
      <c r="K166" s="70"/>
      <c r="L166" s="70"/>
      <c r="M166" s="20"/>
      <c r="N166" s="20"/>
      <c r="O166" s="20"/>
      <c r="P166" s="20"/>
      <c r="Q166" s="20"/>
      <c r="R166" s="20"/>
      <c r="S166" s="20"/>
      <c r="T166" s="20"/>
      <c r="U166" s="20"/>
      <c r="V166" s="20"/>
      <c r="W166" s="20"/>
      <c r="X166" s="20"/>
    </row>
    <row r="167">
      <c r="A167" s="20"/>
      <c r="B167" s="20"/>
      <c r="C167" s="20"/>
      <c r="D167" s="70"/>
      <c r="E167" s="70"/>
      <c r="F167" s="70"/>
      <c r="G167" s="20"/>
      <c r="H167" s="20"/>
      <c r="I167" s="70"/>
      <c r="J167" s="70"/>
      <c r="K167" s="70"/>
      <c r="L167" s="70"/>
      <c r="M167" s="20"/>
      <c r="N167" s="20"/>
      <c r="O167" s="20"/>
      <c r="P167" s="20"/>
      <c r="Q167" s="20"/>
      <c r="R167" s="20"/>
      <c r="S167" s="20"/>
      <c r="T167" s="20"/>
      <c r="U167" s="20"/>
      <c r="V167" s="20"/>
      <c r="W167" s="20"/>
      <c r="X167" s="20"/>
    </row>
    <row r="168">
      <c r="A168" s="20"/>
      <c r="B168" s="20"/>
      <c r="C168" s="20"/>
      <c r="D168" s="70"/>
      <c r="E168" s="70"/>
      <c r="F168" s="70"/>
      <c r="G168" s="20"/>
      <c r="H168" s="20"/>
      <c r="I168" s="70"/>
      <c r="J168" s="70"/>
      <c r="K168" s="70"/>
      <c r="L168" s="70"/>
      <c r="M168" s="20"/>
      <c r="N168" s="20"/>
      <c r="O168" s="20"/>
      <c r="P168" s="20"/>
      <c r="Q168" s="20"/>
      <c r="R168" s="20"/>
      <c r="S168" s="20"/>
      <c r="T168" s="20"/>
      <c r="U168" s="20"/>
      <c r="V168" s="20"/>
      <c r="W168" s="20"/>
      <c r="X168" s="20"/>
    </row>
    <row r="169">
      <c r="A169" s="20"/>
      <c r="B169" s="20"/>
      <c r="C169" s="20"/>
      <c r="D169" s="70"/>
      <c r="E169" s="70"/>
      <c r="F169" s="70"/>
      <c r="G169" s="20"/>
      <c r="H169" s="20"/>
      <c r="I169" s="70"/>
      <c r="J169" s="70"/>
      <c r="K169" s="70"/>
      <c r="L169" s="70"/>
      <c r="M169" s="20"/>
      <c r="N169" s="20"/>
      <c r="O169" s="20"/>
      <c r="P169" s="20"/>
      <c r="Q169" s="20"/>
      <c r="R169" s="20"/>
      <c r="S169" s="20"/>
      <c r="T169" s="20"/>
      <c r="U169" s="20"/>
      <c r="V169" s="20"/>
      <c r="W169" s="20"/>
      <c r="X169" s="20"/>
    </row>
    <row r="170">
      <c r="A170" s="20"/>
      <c r="B170" s="20"/>
      <c r="C170" s="20"/>
      <c r="D170" s="70"/>
      <c r="E170" s="70"/>
      <c r="F170" s="70"/>
      <c r="G170" s="20"/>
      <c r="H170" s="20"/>
      <c r="I170" s="70"/>
      <c r="J170" s="70"/>
      <c r="K170" s="70"/>
      <c r="L170" s="70"/>
      <c r="M170" s="20"/>
      <c r="N170" s="20"/>
      <c r="O170" s="20"/>
      <c r="P170" s="20"/>
      <c r="Q170" s="20"/>
      <c r="R170" s="20"/>
      <c r="S170" s="20"/>
      <c r="T170" s="20"/>
      <c r="U170" s="20"/>
      <c r="V170" s="20"/>
      <c r="W170" s="20"/>
      <c r="X170" s="20"/>
    </row>
    <row r="171">
      <c r="A171" s="20"/>
      <c r="B171" s="20"/>
      <c r="C171" s="20"/>
      <c r="D171" s="70"/>
      <c r="E171" s="70"/>
      <c r="F171" s="70"/>
      <c r="G171" s="20"/>
      <c r="H171" s="20"/>
      <c r="I171" s="70"/>
      <c r="J171" s="70"/>
      <c r="K171" s="70"/>
      <c r="L171" s="70"/>
      <c r="M171" s="20"/>
      <c r="N171" s="20"/>
      <c r="O171" s="20"/>
      <c r="P171" s="20"/>
      <c r="Q171" s="20"/>
      <c r="R171" s="20"/>
      <c r="S171" s="20"/>
      <c r="T171" s="20"/>
      <c r="U171" s="20"/>
      <c r="V171" s="20"/>
      <c r="W171" s="20"/>
      <c r="X171" s="20"/>
    </row>
    <row r="172">
      <c r="A172" s="20"/>
      <c r="B172" s="20"/>
      <c r="C172" s="20"/>
      <c r="D172" s="70"/>
      <c r="E172" s="70"/>
      <c r="F172" s="70"/>
      <c r="G172" s="20"/>
      <c r="H172" s="20"/>
      <c r="I172" s="70"/>
      <c r="J172" s="70"/>
      <c r="K172" s="70"/>
      <c r="L172" s="70"/>
      <c r="M172" s="20"/>
      <c r="N172" s="20"/>
      <c r="O172" s="20"/>
      <c r="P172" s="20"/>
      <c r="Q172" s="20"/>
      <c r="R172" s="20"/>
      <c r="S172" s="20"/>
      <c r="T172" s="20"/>
      <c r="U172" s="20"/>
      <c r="V172" s="20"/>
      <c r="W172" s="20"/>
      <c r="X172" s="20"/>
    </row>
    <row r="173">
      <c r="A173" s="20"/>
      <c r="B173" s="20"/>
      <c r="C173" s="20"/>
      <c r="D173" s="70"/>
      <c r="E173" s="70"/>
      <c r="F173" s="70"/>
      <c r="G173" s="20"/>
      <c r="H173" s="20"/>
      <c r="I173" s="70"/>
      <c r="J173" s="70"/>
      <c r="K173" s="70"/>
      <c r="L173" s="70"/>
      <c r="M173" s="20"/>
      <c r="N173" s="20"/>
      <c r="O173" s="20"/>
      <c r="P173" s="20"/>
      <c r="Q173" s="20"/>
      <c r="R173" s="20"/>
      <c r="S173" s="20"/>
      <c r="T173" s="20"/>
      <c r="U173" s="20"/>
      <c r="V173" s="20"/>
      <c r="W173" s="20"/>
      <c r="X173" s="20"/>
    </row>
    <row r="174">
      <c r="A174" s="20"/>
      <c r="B174" s="20"/>
      <c r="C174" s="20"/>
      <c r="D174" s="70"/>
      <c r="E174" s="70"/>
      <c r="F174" s="70"/>
      <c r="G174" s="20"/>
      <c r="H174" s="20"/>
      <c r="I174" s="70"/>
      <c r="J174" s="70"/>
      <c r="K174" s="70"/>
      <c r="L174" s="70"/>
      <c r="M174" s="20"/>
      <c r="N174" s="20"/>
      <c r="O174" s="20"/>
      <c r="P174" s="20"/>
      <c r="Q174" s="20"/>
      <c r="R174" s="20"/>
      <c r="S174" s="20"/>
      <c r="T174" s="20"/>
      <c r="U174" s="20"/>
      <c r="V174" s="20"/>
      <c r="W174" s="20"/>
      <c r="X174" s="20"/>
    </row>
    <row r="175">
      <c r="A175" s="20"/>
      <c r="B175" s="20"/>
      <c r="C175" s="20"/>
      <c r="D175" s="70"/>
      <c r="E175" s="70"/>
      <c r="F175" s="70"/>
      <c r="G175" s="20"/>
      <c r="H175" s="20"/>
      <c r="I175" s="70"/>
      <c r="J175" s="70"/>
      <c r="K175" s="70"/>
      <c r="L175" s="70"/>
      <c r="M175" s="20"/>
      <c r="N175" s="20"/>
      <c r="O175" s="20"/>
      <c r="P175" s="20"/>
      <c r="Q175" s="20"/>
      <c r="R175" s="20"/>
      <c r="S175" s="20"/>
      <c r="T175" s="20"/>
      <c r="U175" s="20"/>
      <c r="V175" s="20"/>
      <c r="W175" s="20"/>
      <c r="X175" s="20"/>
    </row>
    <row r="176">
      <c r="A176" s="20"/>
      <c r="B176" s="20"/>
      <c r="C176" s="20"/>
      <c r="D176" s="70"/>
      <c r="E176" s="70"/>
      <c r="F176" s="70"/>
      <c r="G176" s="20"/>
      <c r="H176" s="20"/>
      <c r="I176" s="70"/>
      <c r="J176" s="70"/>
      <c r="K176" s="70"/>
      <c r="L176" s="70"/>
      <c r="M176" s="20"/>
      <c r="N176" s="20"/>
      <c r="O176" s="20"/>
      <c r="P176" s="20"/>
      <c r="Q176" s="20"/>
      <c r="R176" s="20"/>
      <c r="S176" s="20"/>
      <c r="T176" s="20"/>
      <c r="U176" s="20"/>
      <c r="V176" s="20"/>
      <c r="W176" s="20"/>
      <c r="X176" s="20"/>
    </row>
    <row r="177">
      <c r="A177" s="20"/>
      <c r="B177" s="20"/>
      <c r="C177" s="20"/>
      <c r="D177" s="70"/>
      <c r="E177" s="70"/>
      <c r="F177" s="70"/>
      <c r="G177" s="20"/>
      <c r="H177" s="20"/>
      <c r="I177" s="70"/>
      <c r="J177" s="70"/>
      <c r="K177" s="70"/>
      <c r="L177" s="70"/>
      <c r="M177" s="20"/>
      <c r="N177" s="20"/>
      <c r="O177" s="20"/>
      <c r="P177" s="20"/>
      <c r="Q177" s="20"/>
      <c r="R177" s="20"/>
      <c r="S177" s="20"/>
      <c r="T177" s="20"/>
      <c r="U177" s="20"/>
      <c r="V177" s="20"/>
      <c r="W177" s="20"/>
      <c r="X177" s="20"/>
    </row>
    <row r="178">
      <c r="A178" s="20"/>
      <c r="B178" s="20"/>
      <c r="C178" s="20"/>
      <c r="D178" s="70"/>
      <c r="E178" s="70"/>
      <c r="F178" s="70"/>
      <c r="G178" s="20"/>
      <c r="H178" s="20"/>
      <c r="I178" s="70"/>
      <c r="J178" s="70"/>
      <c r="K178" s="70"/>
      <c r="L178" s="70"/>
      <c r="M178" s="20"/>
      <c r="N178" s="20"/>
      <c r="O178" s="20"/>
      <c r="P178" s="20"/>
      <c r="Q178" s="20"/>
      <c r="R178" s="20"/>
      <c r="S178" s="20"/>
      <c r="T178" s="20"/>
      <c r="U178" s="20"/>
      <c r="V178" s="20"/>
      <c r="W178" s="20"/>
      <c r="X178" s="20"/>
    </row>
    <row r="179">
      <c r="A179" s="20"/>
      <c r="B179" s="20"/>
      <c r="C179" s="20"/>
      <c r="D179" s="70"/>
      <c r="E179" s="70"/>
      <c r="F179" s="70"/>
      <c r="G179" s="20"/>
      <c r="H179" s="20"/>
      <c r="I179" s="70"/>
      <c r="J179" s="70"/>
      <c r="K179" s="70"/>
      <c r="L179" s="70"/>
      <c r="M179" s="20"/>
      <c r="N179" s="20"/>
      <c r="O179" s="20"/>
      <c r="P179" s="20"/>
      <c r="Q179" s="20"/>
      <c r="R179" s="20"/>
      <c r="S179" s="20"/>
      <c r="T179" s="20"/>
      <c r="U179" s="20"/>
      <c r="V179" s="20"/>
      <c r="W179" s="20"/>
      <c r="X179" s="20"/>
    </row>
    <row r="180">
      <c r="A180" s="20"/>
      <c r="B180" s="20"/>
      <c r="C180" s="20"/>
      <c r="D180" s="70"/>
      <c r="E180" s="70"/>
      <c r="F180" s="70"/>
      <c r="G180" s="20"/>
      <c r="H180" s="20"/>
      <c r="I180" s="70"/>
      <c r="J180" s="70"/>
      <c r="K180" s="70"/>
      <c r="L180" s="70"/>
      <c r="M180" s="20"/>
      <c r="N180" s="20"/>
      <c r="O180" s="20"/>
      <c r="P180" s="20"/>
      <c r="Q180" s="20"/>
      <c r="R180" s="20"/>
      <c r="S180" s="20"/>
      <c r="T180" s="20"/>
      <c r="U180" s="20"/>
      <c r="V180" s="20"/>
      <c r="W180" s="20"/>
      <c r="X180" s="20"/>
    </row>
    <row r="181">
      <c r="A181" s="20"/>
      <c r="B181" s="20"/>
      <c r="C181" s="20"/>
      <c r="D181" s="70"/>
      <c r="E181" s="70"/>
      <c r="F181" s="70"/>
      <c r="G181" s="20"/>
      <c r="H181" s="20"/>
      <c r="I181" s="70"/>
      <c r="J181" s="70"/>
      <c r="K181" s="70"/>
      <c r="L181" s="70"/>
      <c r="M181" s="20"/>
      <c r="N181" s="20"/>
      <c r="O181" s="20"/>
      <c r="P181" s="20"/>
      <c r="Q181" s="20"/>
      <c r="R181" s="20"/>
      <c r="S181" s="20"/>
      <c r="T181" s="20"/>
      <c r="U181" s="20"/>
      <c r="V181" s="20"/>
      <c r="W181" s="20"/>
      <c r="X181" s="20"/>
    </row>
    <row r="182">
      <c r="A182" s="20"/>
      <c r="B182" s="20"/>
      <c r="C182" s="20"/>
      <c r="D182" s="70"/>
      <c r="E182" s="70"/>
      <c r="F182" s="70"/>
      <c r="G182" s="20"/>
      <c r="H182" s="20"/>
      <c r="I182" s="70"/>
      <c r="J182" s="70"/>
      <c r="K182" s="70"/>
      <c r="L182" s="70"/>
      <c r="M182" s="20"/>
      <c r="N182" s="20"/>
      <c r="O182" s="20"/>
      <c r="P182" s="20"/>
      <c r="Q182" s="20"/>
      <c r="R182" s="20"/>
      <c r="S182" s="20"/>
      <c r="T182" s="20"/>
      <c r="U182" s="20"/>
      <c r="V182" s="20"/>
      <c r="W182" s="20"/>
      <c r="X182" s="20"/>
    </row>
    <row r="183">
      <c r="A183" s="20"/>
      <c r="B183" s="20"/>
      <c r="C183" s="20"/>
      <c r="D183" s="70"/>
      <c r="E183" s="70"/>
      <c r="F183" s="70"/>
      <c r="G183" s="20"/>
      <c r="H183" s="20"/>
      <c r="I183" s="70"/>
      <c r="J183" s="70"/>
      <c r="K183" s="70"/>
      <c r="L183" s="70"/>
      <c r="M183" s="20"/>
      <c r="N183" s="20"/>
      <c r="O183" s="20"/>
      <c r="P183" s="20"/>
      <c r="Q183" s="20"/>
      <c r="R183" s="20"/>
      <c r="S183" s="20"/>
      <c r="T183" s="20"/>
      <c r="U183" s="20"/>
      <c r="V183" s="20"/>
      <c r="W183" s="20"/>
      <c r="X183" s="20"/>
    </row>
    <row r="184">
      <c r="A184" s="20"/>
      <c r="B184" s="20"/>
      <c r="C184" s="20"/>
      <c r="D184" s="70"/>
      <c r="E184" s="70"/>
      <c r="F184" s="70"/>
      <c r="G184" s="20"/>
      <c r="H184" s="20"/>
      <c r="I184" s="70"/>
      <c r="J184" s="70"/>
      <c r="K184" s="70"/>
      <c r="L184" s="70"/>
      <c r="M184" s="20"/>
      <c r="N184" s="20"/>
      <c r="O184" s="20"/>
      <c r="P184" s="20"/>
      <c r="Q184" s="20"/>
      <c r="R184" s="20"/>
      <c r="S184" s="20"/>
      <c r="T184" s="20"/>
      <c r="U184" s="20"/>
      <c r="V184" s="20"/>
      <c r="W184" s="20"/>
      <c r="X184" s="20"/>
    </row>
    <row r="185">
      <c r="A185" s="20"/>
      <c r="B185" s="20"/>
      <c r="C185" s="20"/>
      <c r="D185" s="70"/>
      <c r="E185" s="70"/>
      <c r="F185" s="70"/>
      <c r="G185" s="20"/>
      <c r="H185" s="20"/>
      <c r="I185" s="70"/>
      <c r="J185" s="70"/>
      <c r="K185" s="70"/>
      <c r="L185" s="70"/>
      <c r="M185" s="20"/>
      <c r="N185" s="20"/>
      <c r="O185" s="20"/>
      <c r="P185" s="20"/>
      <c r="Q185" s="20"/>
      <c r="R185" s="20"/>
      <c r="S185" s="20"/>
      <c r="T185" s="20"/>
      <c r="U185" s="20"/>
      <c r="V185" s="20"/>
      <c r="W185" s="20"/>
      <c r="X185" s="20"/>
    </row>
    <row r="186">
      <c r="A186" s="20"/>
      <c r="B186" s="20"/>
      <c r="C186" s="20"/>
      <c r="D186" s="70"/>
      <c r="E186" s="70"/>
      <c r="F186" s="70"/>
      <c r="G186" s="20"/>
      <c r="H186" s="20"/>
      <c r="I186" s="70"/>
      <c r="J186" s="70"/>
      <c r="K186" s="70"/>
      <c r="L186" s="70"/>
      <c r="M186" s="20"/>
      <c r="N186" s="20"/>
      <c r="O186" s="20"/>
      <c r="P186" s="20"/>
      <c r="Q186" s="20"/>
      <c r="R186" s="20"/>
      <c r="S186" s="20"/>
      <c r="T186" s="20"/>
      <c r="U186" s="20"/>
      <c r="V186" s="20"/>
      <c r="W186" s="20"/>
      <c r="X186" s="20"/>
    </row>
    <row r="187">
      <c r="A187" s="20"/>
      <c r="B187" s="20"/>
      <c r="C187" s="20"/>
      <c r="D187" s="70"/>
      <c r="E187" s="70"/>
      <c r="F187" s="70"/>
      <c r="G187" s="20"/>
      <c r="H187" s="20"/>
      <c r="I187" s="70"/>
      <c r="J187" s="70"/>
      <c r="K187" s="70"/>
      <c r="L187" s="70"/>
      <c r="M187" s="20"/>
      <c r="N187" s="20"/>
      <c r="O187" s="20"/>
      <c r="P187" s="20"/>
      <c r="Q187" s="20"/>
      <c r="R187" s="20"/>
      <c r="S187" s="20"/>
      <c r="T187" s="20"/>
      <c r="U187" s="20"/>
      <c r="V187" s="20"/>
      <c r="W187" s="20"/>
      <c r="X187" s="20"/>
    </row>
    <row r="188">
      <c r="A188" s="20"/>
      <c r="B188" s="20"/>
      <c r="C188" s="20"/>
      <c r="D188" s="70"/>
      <c r="E188" s="70"/>
      <c r="F188" s="70"/>
      <c r="G188" s="20"/>
      <c r="H188" s="20"/>
      <c r="I188" s="70"/>
      <c r="J188" s="70"/>
      <c r="K188" s="70"/>
      <c r="L188" s="70"/>
      <c r="M188" s="20"/>
      <c r="N188" s="20"/>
      <c r="O188" s="20"/>
      <c r="P188" s="20"/>
      <c r="Q188" s="20"/>
      <c r="R188" s="20"/>
      <c r="S188" s="20"/>
      <c r="T188" s="20"/>
      <c r="U188" s="20"/>
      <c r="V188" s="20"/>
      <c r="W188" s="20"/>
      <c r="X188" s="20"/>
    </row>
    <row r="189">
      <c r="A189" s="20"/>
      <c r="B189" s="20"/>
      <c r="C189" s="20"/>
      <c r="D189" s="70"/>
      <c r="E189" s="70"/>
      <c r="F189" s="70"/>
      <c r="G189" s="20"/>
      <c r="H189" s="20"/>
      <c r="I189" s="70"/>
      <c r="J189" s="70"/>
      <c r="K189" s="70"/>
      <c r="L189" s="70"/>
      <c r="M189" s="20"/>
      <c r="N189" s="20"/>
      <c r="O189" s="20"/>
      <c r="P189" s="20"/>
      <c r="Q189" s="20"/>
      <c r="R189" s="20"/>
      <c r="S189" s="20"/>
      <c r="T189" s="20"/>
      <c r="U189" s="20"/>
      <c r="V189" s="20"/>
      <c r="W189" s="20"/>
      <c r="X189" s="20"/>
    </row>
    <row r="190">
      <c r="A190" s="20"/>
      <c r="B190" s="20"/>
      <c r="C190" s="20"/>
      <c r="D190" s="70"/>
      <c r="E190" s="70"/>
      <c r="F190" s="70"/>
      <c r="G190" s="20"/>
      <c r="H190" s="20"/>
      <c r="I190" s="70"/>
      <c r="J190" s="70"/>
      <c r="K190" s="70"/>
      <c r="L190" s="70"/>
      <c r="M190" s="20"/>
      <c r="N190" s="20"/>
      <c r="O190" s="20"/>
      <c r="P190" s="20"/>
      <c r="Q190" s="20"/>
      <c r="R190" s="20"/>
      <c r="S190" s="20"/>
      <c r="T190" s="20"/>
      <c r="U190" s="20"/>
      <c r="V190" s="20"/>
      <c r="W190" s="20"/>
      <c r="X190" s="20"/>
    </row>
    <row r="191">
      <c r="A191" s="20"/>
      <c r="B191" s="20"/>
      <c r="C191" s="20"/>
      <c r="D191" s="70"/>
      <c r="E191" s="70"/>
      <c r="F191" s="70"/>
      <c r="G191" s="20"/>
      <c r="H191" s="20"/>
      <c r="I191" s="70"/>
      <c r="J191" s="70"/>
      <c r="K191" s="70"/>
      <c r="L191" s="70"/>
      <c r="M191" s="20"/>
      <c r="N191" s="20"/>
      <c r="O191" s="20"/>
      <c r="P191" s="20"/>
      <c r="Q191" s="20"/>
      <c r="R191" s="20"/>
      <c r="S191" s="20"/>
      <c r="T191" s="20"/>
      <c r="U191" s="20"/>
      <c r="V191" s="20"/>
      <c r="W191" s="20"/>
      <c r="X191" s="20"/>
    </row>
    <row r="192">
      <c r="A192" s="20"/>
      <c r="B192" s="20"/>
      <c r="C192" s="20"/>
      <c r="D192" s="70"/>
      <c r="E192" s="70"/>
      <c r="F192" s="70"/>
      <c r="G192" s="20"/>
      <c r="H192" s="20"/>
      <c r="I192" s="70"/>
      <c r="J192" s="70"/>
      <c r="K192" s="70"/>
      <c r="L192" s="70"/>
      <c r="M192" s="20"/>
      <c r="N192" s="20"/>
      <c r="O192" s="20"/>
      <c r="P192" s="20"/>
      <c r="Q192" s="20"/>
      <c r="R192" s="20"/>
      <c r="S192" s="20"/>
      <c r="T192" s="20"/>
      <c r="U192" s="20"/>
      <c r="V192" s="20"/>
      <c r="W192" s="20"/>
      <c r="X192" s="20"/>
    </row>
    <row r="193">
      <c r="A193" s="20"/>
      <c r="B193" s="20"/>
      <c r="C193" s="20"/>
      <c r="D193" s="70"/>
      <c r="E193" s="70"/>
      <c r="F193" s="70"/>
      <c r="G193" s="20"/>
      <c r="H193" s="20"/>
      <c r="I193" s="70"/>
      <c r="J193" s="70"/>
      <c r="K193" s="70"/>
      <c r="L193" s="70"/>
      <c r="M193" s="20"/>
      <c r="N193" s="20"/>
      <c r="O193" s="20"/>
      <c r="P193" s="20"/>
      <c r="Q193" s="20"/>
      <c r="R193" s="20"/>
      <c r="S193" s="20"/>
      <c r="T193" s="20"/>
      <c r="U193" s="20"/>
      <c r="V193" s="20"/>
      <c r="W193" s="20"/>
      <c r="X193" s="20"/>
    </row>
    <row r="194">
      <c r="A194" s="20"/>
      <c r="B194" s="20"/>
      <c r="C194" s="20"/>
      <c r="D194" s="70"/>
      <c r="E194" s="70"/>
      <c r="F194" s="70"/>
      <c r="G194" s="20"/>
      <c r="H194" s="20"/>
      <c r="I194" s="70"/>
      <c r="J194" s="70"/>
      <c r="K194" s="70"/>
      <c r="L194" s="70"/>
      <c r="M194" s="20"/>
      <c r="N194" s="20"/>
      <c r="O194" s="20"/>
      <c r="P194" s="20"/>
      <c r="Q194" s="20"/>
      <c r="R194" s="20"/>
      <c r="S194" s="20"/>
      <c r="T194" s="20"/>
      <c r="U194" s="20"/>
      <c r="V194" s="20"/>
      <c r="W194" s="20"/>
      <c r="X194" s="20"/>
    </row>
    <row r="195">
      <c r="A195" s="20"/>
      <c r="B195" s="20"/>
      <c r="C195" s="20"/>
      <c r="D195" s="70"/>
      <c r="E195" s="70"/>
      <c r="F195" s="70"/>
      <c r="G195" s="20"/>
      <c r="H195" s="20"/>
      <c r="I195" s="70"/>
      <c r="J195" s="70"/>
      <c r="K195" s="70"/>
      <c r="L195" s="70"/>
      <c r="M195" s="20"/>
      <c r="N195" s="20"/>
      <c r="O195" s="20"/>
      <c r="P195" s="20"/>
      <c r="Q195" s="20"/>
      <c r="R195" s="20"/>
      <c r="S195" s="20"/>
      <c r="T195" s="20"/>
      <c r="U195" s="20"/>
      <c r="V195" s="20"/>
      <c r="W195" s="20"/>
      <c r="X195" s="20"/>
    </row>
    <row r="196">
      <c r="A196" s="20"/>
      <c r="B196" s="20"/>
      <c r="C196" s="20"/>
      <c r="D196" s="70"/>
      <c r="E196" s="70"/>
      <c r="F196" s="70"/>
      <c r="G196" s="20"/>
      <c r="H196" s="20"/>
      <c r="I196" s="70"/>
      <c r="J196" s="70"/>
      <c r="K196" s="70"/>
      <c r="L196" s="70"/>
      <c r="M196" s="20"/>
      <c r="N196" s="20"/>
      <c r="O196" s="20"/>
      <c r="P196" s="20"/>
      <c r="Q196" s="20"/>
      <c r="R196" s="20"/>
      <c r="S196" s="20"/>
      <c r="T196" s="20"/>
      <c r="U196" s="20"/>
      <c r="V196" s="20"/>
      <c r="W196" s="20"/>
      <c r="X196" s="20"/>
    </row>
    <row r="197">
      <c r="A197" s="20"/>
      <c r="B197" s="20"/>
      <c r="C197" s="20"/>
      <c r="D197" s="70"/>
      <c r="E197" s="70"/>
      <c r="F197" s="70"/>
      <c r="G197" s="20"/>
      <c r="H197" s="20"/>
      <c r="I197" s="70"/>
      <c r="J197" s="70"/>
      <c r="K197" s="70"/>
      <c r="L197" s="70"/>
      <c r="M197" s="20"/>
      <c r="N197" s="20"/>
      <c r="O197" s="20"/>
      <c r="P197" s="20"/>
      <c r="Q197" s="20"/>
      <c r="R197" s="20"/>
      <c r="S197" s="20"/>
      <c r="T197" s="20"/>
      <c r="U197" s="20"/>
      <c r="V197" s="20"/>
      <c r="W197" s="20"/>
      <c r="X197" s="20"/>
    </row>
    <row r="198">
      <c r="A198" s="20"/>
      <c r="B198" s="20"/>
      <c r="C198" s="20"/>
      <c r="D198" s="70"/>
      <c r="E198" s="70"/>
      <c r="F198" s="70"/>
      <c r="G198" s="20"/>
      <c r="H198" s="20"/>
      <c r="I198" s="70"/>
      <c r="J198" s="70"/>
      <c r="K198" s="70"/>
      <c r="L198" s="70"/>
      <c r="M198" s="20"/>
      <c r="N198" s="20"/>
      <c r="O198" s="20"/>
      <c r="P198" s="20"/>
      <c r="Q198" s="20"/>
      <c r="R198" s="20"/>
      <c r="S198" s="20"/>
      <c r="T198" s="20"/>
      <c r="U198" s="20"/>
      <c r="V198" s="20"/>
      <c r="W198" s="20"/>
      <c r="X198" s="20"/>
    </row>
    <row r="199">
      <c r="A199" s="20"/>
      <c r="B199" s="20"/>
      <c r="C199" s="20"/>
      <c r="D199" s="70"/>
      <c r="E199" s="70"/>
      <c r="F199" s="70"/>
      <c r="G199" s="20"/>
      <c r="H199" s="20"/>
      <c r="I199" s="70"/>
      <c r="J199" s="70"/>
      <c r="K199" s="70"/>
      <c r="L199" s="70"/>
      <c r="M199" s="20"/>
      <c r="N199" s="20"/>
      <c r="O199" s="20"/>
      <c r="P199" s="20"/>
      <c r="Q199" s="20"/>
      <c r="R199" s="20"/>
      <c r="S199" s="20"/>
      <c r="T199" s="20"/>
      <c r="U199" s="20"/>
      <c r="V199" s="20"/>
      <c r="W199" s="20"/>
      <c r="X199" s="20"/>
    </row>
    <row r="200">
      <c r="A200" s="20"/>
      <c r="B200" s="20"/>
      <c r="C200" s="20"/>
      <c r="D200" s="70"/>
      <c r="E200" s="70"/>
      <c r="F200" s="70"/>
      <c r="G200" s="20"/>
      <c r="H200" s="20"/>
      <c r="I200" s="70"/>
      <c r="J200" s="70"/>
      <c r="K200" s="70"/>
      <c r="L200" s="70"/>
      <c r="M200" s="20"/>
      <c r="N200" s="20"/>
      <c r="O200" s="20"/>
      <c r="P200" s="20"/>
      <c r="Q200" s="20"/>
      <c r="R200" s="20"/>
      <c r="S200" s="20"/>
      <c r="T200" s="20"/>
      <c r="U200" s="20"/>
      <c r="V200" s="20"/>
      <c r="W200" s="20"/>
      <c r="X200" s="20"/>
    </row>
    <row r="201">
      <c r="A201" s="20"/>
      <c r="B201" s="20"/>
      <c r="C201" s="20"/>
      <c r="D201" s="70"/>
      <c r="E201" s="70"/>
      <c r="F201" s="70"/>
      <c r="G201" s="20"/>
      <c r="H201" s="20"/>
      <c r="I201" s="70"/>
      <c r="J201" s="70"/>
      <c r="K201" s="70"/>
      <c r="L201" s="70"/>
      <c r="M201" s="20"/>
      <c r="N201" s="20"/>
      <c r="O201" s="20"/>
      <c r="P201" s="20"/>
      <c r="Q201" s="20"/>
      <c r="R201" s="20"/>
      <c r="S201" s="20"/>
      <c r="T201" s="20"/>
      <c r="U201" s="20"/>
      <c r="V201" s="20"/>
      <c r="W201" s="20"/>
      <c r="X201" s="20"/>
    </row>
    <row r="202">
      <c r="A202" s="20"/>
      <c r="B202" s="20"/>
      <c r="C202" s="20"/>
      <c r="D202" s="70"/>
      <c r="E202" s="70"/>
      <c r="F202" s="70"/>
      <c r="G202" s="20"/>
      <c r="H202" s="20"/>
      <c r="I202" s="70"/>
      <c r="J202" s="70"/>
      <c r="K202" s="70"/>
      <c r="L202" s="70"/>
      <c r="M202" s="20"/>
      <c r="N202" s="20"/>
      <c r="O202" s="20"/>
      <c r="P202" s="20"/>
      <c r="Q202" s="20"/>
      <c r="R202" s="20"/>
      <c r="S202" s="20"/>
      <c r="T202" s="20"/>
      <c r="U202" s="20"/>
      <c r="V202" s="20"/>
      <c r="W202" s="20"/>
      <c r="X202" s="20"/>
    </row>
    <row r="203">
      <c r="A203" s="20"/>
      <c r="B203" s="20"/>
      <c r="C203" s="20"/>
      <c r="D203" s="70"/>
      <c r="E203" s="70"/>
      <c r="F203" s="70"/>
      <c r="G203" s="20"/>
      <c r="H203" s="20"/>
      <c r="I203" s="70"/>
      <c r="J203" s="70"/>
      <c r="K203" s="70"/>
      <c r="L203" s="70"/>
      <c r="M203" s="20"/>
      <c r="N203" s="20"/>
      <c r="O203" s="20"/>
      <c r="P203" s="20"/>
      <c r="Q203" s="20"/>
      <c r="R203" s="20"/>
      <c r="S203" s="20"/>
      <c r="T203" s="20"/>
      <c r="U203" s="20"/>
      <c r="V203" s="20"/>
      <c r="W203" s="20"/>
      <c r="X203" s="20"/>
    </row>
    <row r="204">
      <c r="A204" s="20"/>
      <c r="B204" s="20"/>
      <c r="C204" s="20"/>
      <c r="D204" s="70"/>
      <c r="E204" s="70"/>
      <c r="F204" s="70"/>
      <c r="G204" s="20"/>
      <c r="H204" s="20"/>
      <c r="I204" s="70"/>
      <c r="J204" s="70"/>
      <c r="K204" s="70"/>
      <c r="L204" s="70"/>
      <c r="M204" s="20"/>
      <c r="N204" s="20"/>
      <c r="O204" s="20"/>
      <c r="P204" s="20"/>
      <c r="Q204" s="20"/>
      <c r="R204" s="20"/>
      <c r="S204" s="20"/>
      <c r="T204" s="20"/>
      <c r="U204" s="20"/>
      <c r="V204" s="20"/>
      <c r="W204" s="20"/>
      <c r="X204" s="20"/>
    </row>
    <row r="205">
      <c r="A205" s="20"/>
      <c r="B205" s="20"/>
      <c r="C205" s="20"/>
      <c r="D205" s="70"/>
      <c r="E205" s="70"/>
      <c r="F205" s="70"/>
      <c r="G205" s="20"/>
      <c r="H205" s="20"/>
      <c r="I205" s="70"/>
      <c r="J205" s="70"/>
      <c r="K205" s="70"/>
      <c r="L205" s="70"/>
      <c r="M205" s="20"/>
      <c r="N205" s="20"/>
      <c r="O205" s="20"/>
      <c r="P205" s="20"/>
      <c r="Q205" s="20"/>
      <c r="R205" s="20"/>
      <c r="S205" s="20"/>
      <c r="T205" s="20"/>
      <c r="U205" s="20"/>
      <c r="V205" s="20"/>
      <c r="W205" s="20"/>
      <c r="X205" s="20"/>
    </row>
    <row r="206">
      <c r="A206" s="20"/>
      <c r="B206" s="20"/>
      <c r="C206" s="20"/>
      <c r="D206" s="70"/>
      <c r="E206" s="70"/>
      <c r="F206" s="70"/>
      <c r="G206" s="20"/>
      <c r="H206" s="20"/>
      <c r="I206" s="70"/>
      <c r="J206" s="70"/>
      <c r="K206" s="70"/>
      <c r="L206" s="70"/>
      <c r="M206" s="20"/>
      <c r="N206" s="20"/>
      <c r="O206" s="20"/>
      <c r="P206" s="20"/>
      <c r="Q206" s="20"/>
      <c r="R206" s="20"/>
      <c r="S206" s="20"/>
      <c r="T206" s="20"/>
      <c r="U206" s="20"/>
      <c r="V206" s="20"/>
      <c r="W206" s="20"/>
      <c r="X206" s="20"/>
    </row>
    <row r="207">
      <c r="A207" s="20"/>
      <c r="B207" s="20"/>
      <c r="C207" s="20"/>
      <c r="D207" s="70"/>
      <c r="E207" s="70"/>
      <c r="F207" s="70"/>
      <c r="G207" s="20"/>
      <c r="H207" s="20"/>
      <c r="I207" s="70"/>
      <c r="J207" s="70"/>
      <c r="K207" s="70"/>
      <c r="L207" s="70"/>
      <c r="M207" s="20"/>
      <c r="N207" s="20"/>
      <c r="O207" s="20"/>
      <c r="P207" s="20"/>
      <c r="Q207" s="20"/>
      <c r="R207" s="20"/>
      <c r="S207" s="20"/>
      <c r="T207" s="20"/>
      <c r="U207" s="20"/>
      <c r="V207" s="20"/>
      <c r="W207" s="20"/>
      <c r="X207" s="20"/>
    </row>
    <row r="208">
      <c r="A208" s="20"/>
      <c r="B208" s="20"/>
      <c r="C208" s="20"/>
      <c r="D208" s="70"/>
      <c r="E208" s="70"/>
      <c r="F208" s="70"/>
      <c r="G208" s="20"/>
      <c r="H208" s="20"/>
      <c r="I208" s="70"/>
      <c r="J208" s="70"/>
      <c r="K208" s="70"/>
      <c r="L208" s="70"/>
      <c r="M208" s="20"/>
      <c r="N208" s="20"/>
      <c r="O208" s="20"/>
      <c r="P208" s="20"/>
      <c r="Q208" s="20"/>
      <c r="R208" s="20"/>
      <c r="S208" s="20"/>
      <c r="T208" s="20"/>
      <c r="U208" s="20"/>
      <c r="V208" s="20"/>
      <c r="W208" s="20"/>
      <c r="X208" s="20"/>
    </row>
    <row r="209">
      <c r="A209" s="20"/>
      <c r="B209" s="20"/>
      <c r="C209" s="20"/>
      <c r="D209" s="70"/>
      <c r="E209" s="70"/>
      <c r="F209" s="70"/>
      <c r="G209" s="20"/>
      <c r="H209" s="20"/>
      <c r="I209" s="70"/>
      <c r="J209" s="70"/>
      <c r="K209" s="70"/>
      <c r="L209" s="70"/>
      <c r="M209" s="20"/>
      <c r="N209" s="20"/>
      <c r="O209" s="20"/>
      <c r="P209" s="20"/>
      <c r="Q209" s="20"/>
      <c r="R209" s="20"/>
      <c r="S209" s="20"/>
      <c r="T209" s="20"/>
      <c r="U209" s="20"/>
      <c r="V209" s="20"/>
      <c r="W209" s="20"/>
      <c r="X209" s="20"/>
    </row>
    <row r="210">
      <c r="A210" s="20"/>
      <c r="B210" s="20"/>
      <c r="C210" s="20"/>
      <c r="D210" s="70"/>
      <c r="E210" s="70"/>
      <c r="F210" s="70"/>
      <c r="G210" s="20"/>
      <c r="H210" s="20"/>
      <c r="I210" s="70"/>
      <c r="J210" s="70"/>
      <c r="K210" s="70"/>
      <c r="L210" s="70"/>
      <c r="M210" s="20"/>
      <c r="N210" s="20"/>
      <c r="O210" s="20"/>
      <c r="P210" s="20"/>
      <c r="Q210" s="20"/>
      <c r="R210" s="20"/>
      <c r="S210" s="20"/>
      <c r="T210" s="20"/>
      <c r="U210" s="20"/>
      <c r="V210" s="20"/>
      <c r="W210" s="20"/>
      <c r="X210" s="20"/>
    </row>
    <row r="211">
      <c r="A211" s="20"/>
      <c r="B211" s="20"/>
      <c r="C211" s="20"/>
      <c r="D211" s="70"/>
      <c r="E211" s="70"/>
      <c r="F211" s="70"/>
      <c r="G211" s="20"/>
      <c r="H211" s="20"/>
      <c r="I211" s="70"/>
      <c r="J211" s="70"/>
      <c r="K211" s="70"/>
      <c r="L211" s="70"/>
      <c r="M211" s="20"/>
      <c r="N211" s="20"/>
      <c r="O211" s="20"/>
      <c r="P211" s="20"/>
      <c r="Q211" s="20"/>
      <c r="R211" s="20"/>
      <c r="S211" s="20"/>
      <c r="T211" s="20"/>
      <c r="U211" s="20"/>
      <c r="V211" s="20"/>
      <c r="W211" s="20"/>
      <c r="X211" s="20"/>
    </row>
    <row r="212">
      <c r="A212" s="20"/>
      <c r="B212" s="20"/>
      <c r="C212" s="20"/>
      <c r="D212" s="70"/>
      <c r="E212" s="70"/>
      <c r="F212" s="70"/>
      <c r="G212" s="20"/>
      <c r="H212" s="20"/>
      <c r="I212" s="70"/>
      <c r="J212" s="70"/>
      <c r="K212" s="70"/>
      <c r="L212" s="70"/>
      <c r="M212" s="20"/>
      <c r="N212" s="20"/>
      <c r="O212" s="20"/>
      <c r="P212" s="20"/>
      <c r="Q212" s="20"/>
      <c r="R212" s="20"/>
      <c r="S212" s="20"/>
      <c r="T212" s="20"/>
      <c r="U212" s="20"/>
      <c r="V212" s="20"/>
      <c r="W212" s="20"/>
      <c r="X212" s="20"/>
    </row>
    <row r="213">
      <c r="A213" s="20"/>
      <c r="B213" s="20"/>
      <c r="C213" s="20"/>
      <c r="D213" s="70"/>
      <c r="E213" s="70"/>
      <c r="F213" s="70"/>
      <c r="G213" s="20"/>
      <c r="H213" s="20"/>
      <c r="I213" s="70"/>
      <c r="J213" s="70"/>
      <c r="K213" s="70"/>
      <c r="L213" s="70"/>
      <c r="M213" s="20"/>
      <c r="N213" s="20"/>
      <c r="O213" s="20"/>
      <c r="P213" s="20"/>
      <c r="Q213" s="20"/>
      <c r="R213" s="20"/>
      <c r="S213" s="20"/>
      <c r="T213" s="20"/>
      <c r="U213" s="20"/>
      <c r="V213" s="20"/>
      <c r="W213" s="20"/>
      <c r="X213" s="20"/>
    </row>
    <row r="214">
      <c r="A214" s="20"/>
      <c r="B214" s="20"/>
      <c r="C214" s="20"/>
      <c r="D214" s="70"/>
      <c r="E214" s="70"/>
      <c r="F214" s="70"/>
      <c r="G214" s="20"/>
      <c r="H214" s="20"/>
      <c r="I214" s="70"/>
      <c r="J214" s="70"/>
      <c r="K214" s="70"/>
      <c r="L214" s="70"/>
      <c r="M214" s="20"/>
      <c r="N214" s="20"/>
      <c r="O214" s="20"/>
      <c r="P214" s="20"/>
      <c r="Q214" s="20"/>
      <c r="R214" s="20"/>
      <c r="S214" s="20"/>
      <c r="T214" s="20"/>
      <c r="U214" s="20"/>
      <c r="V214" s="20"/>
      <c r="W214" s="20"/>
      <c r="X214" s="20"/>
    </row>
    <row r="215">
      <c r="A215" s="20"/>
      <c r="B215" s="20"/>
      <c r="C215" s="20"/>
      <c r="D215" s="70"/>
      <c r="E215" s="70"/>
      <c r="F215" s="70"/>
      <c r="G215" s="20"/>
      <c r="H215" s="20"/>
      <c r="I215" s="70"/>
      <c r="J215" s="70"/>
      <c r="K215" s="70"/>
      <c r="L215" s="70"/>
      <c r="M215" s="20"/>
      <c r="N215" s="20"/>
      <c r="O215" s="20"/>
      <c r="P215" s="20"/>
      <c r="Q215" s="20"/>
      <c r="R215" s="20"/>
      <c r="S215" s="20"/>
      <c r="T215" s="20"/>
      <c r="U215" s="20"/>
      <c r="V215" s="20"/>
      <c r="W215" s="20"/>
      <c r="X215" s="20"/>
    </row>
    <row r="216">
      <c r="A216" s="20"/>
      <c r="B216" s="20"/>
      <c r="C216" s="20"/>
      <c r="D216" s="70"/>
      <c r="E216" s="70"/>
      <c r="F216" s="70"/>
      <c r="G216" s="20"/>
      <c r="H216" s="20"/>
      <c r="I216" s="70"/>
      <c r="J216" s="70"/>
      <c r="K216" s="70"/>
      <c r="L216" s="70"/>
      <c r="M216" s="20"/>
      <c r="N216" s="20"/>
      <c r="O216" s="20"/>
      <c r="P216" s="20"/>
      <c r="Q216" s="20"/>
      <c r="R216" s="20"/>
      <c r="S216" s="20"/>
      <c r="T216" s="20"/>
      <c r="U216" s="20"/>
      <c r="V216" s="20"/>
      <c r="W216" s="20"/>
      <c r="X216" s="20"/>
    </row>
    <row r="217">
      <c r="A217" s="20"/>
      <c r="B217" s="20"/>
      <c r="C217" s="20"/>
      <c r="D217" s="70"/>
      <c r="E217" s="70"/>
      <c r="F217" s="70"/>
      <c r="G217" s="20"/>
      <c r="H217" s="20"/>
      <c r="I217" s="70"/>
      <c r="J217" s="70"/>
      <c r="K217" s="70"/>
      <c r="L217" s="70"/>
      <c r="M217" s="20"/>
      <c r="N217" s="20"/>
      <c r="O217" s="20"/>
      <c r="P217" s="20"/>
      <c r="Q217" s="20"/>
      <c r="R217" s="20"/>
      <c r="S217" s="20"/>
      <c r="T217" s="20"/>
      <c r="U217" s="20"/>
      <c r="V217" s="20"/>
      <c r="W217" s="20"/>
      <c r="X217" s="20"/>
    </row>
    <row r="218">
      <c r="A218" s="20"/>
      <c r="B218" s="20"/>
      <c r="C218" s="20"/>
      <c r="D218" s="70"/>
      <c r="E218" s="70"/>
      <c r="F218" s="70"/>
      <c r="G218" s="20"/>
      <c r="H218" s="20"/>
      <c r="I218" s="70"/>
      <c r="J218" s="70"/>
      <c r="K218" s="70"/>
      <c r="L218" s="70"/>
      <c r="M218" s="20"/>
      <c r="N218" s="20"/>
      <c r="O218" s="20"/>
      <c r="P218" s="20"/>
      <c r="Q218" s="20"/>
      <c r="R218" s="20"/>
      <c r="S218" s="20"/>
      <c r="T218" s="20"/>
      <c r="U218" s="20"/>
      <c r="V218" s="20"/>
      <c r="W218" s="20"/>
      <c r="X218" s="20"/>
    </row>
    <row r="219">
      <c r="A219" s="20"/>
      <c r="B219" s="20"/>
      <c r="C219" s="20"/>
      <c r="D219" s="70"/>
      <c r="E219" s="70"/>
      <c r="F219" s="70"/>
      <c r="G219" s="20"/>
      <c r="H219" s="20"/>
      <c r="I219" s="70"/>
      <c r="J219" s="70"/>
      <c r="K219" s="70"/>
      <c r="L219" s="70"/>
      <c r="M219" s="20"/>
      <c r="N219" s="20"/>
      <c r="O219" s="20"/>
      <c r="P219" s="20"/>
      <c r="Q219" s="20"/>
      <c r="R219" s="20"/>
      <c r="S219" s="20"/>
      <c r="T219" s="20"/>
      <c r="U219" s="20"/>
      <c r="V219" s="20"/>
      <c r="W219" s="20"/>
      <c r="X219" s="20"/>
    </row>
    <row r="220">
      <c r="A220" s="20"/>
      <c r="B220" s="20"/>
      <c r="C220" s="20"/>
      <c r="D220" s="70"/>
      <c r="E220" s="70"/>
      <c r="F220" s="70"/>
      <c r="G220" s="20"/>
      <c r="H220" s="20"/>
      <c r="I220" s="70"/>
      <c r="J220" s="70"/>
      <c r="K220" s="70"/>
      <c r="L220" s="70"/>
      <c r="M220" s="20"/>
      <c r="N220" s="20"/>
      <c r="O220" s="20"/>
      <c r="P220" s="20"/>
      <c r="Q220" s="20"/>
      <c r="R220" s="20"/>
      <c r="S220" s="20"/>
      <c r="T220" s="20"/>
      <c r="U220" s="20"/>
      <c r="V220" s="20"/>
      <c r="W220" s="20"/>
      <c r="X220" s="20"/>
    </row>
    <row r="221">
      <c r="A221" s="20"/>
      <c r="B221" s="20"/>
      <c r="C221" s="20"/>
      <c r="D221" s="70"/>
      <c r="E221" s="70"/>
      <c r="F221" s="70"/>
      <c r="G221" s="20"/>
      <c r="H221" s="20"/>
      <c r="I221" s="70"/>
      <c r="J221" s="70"/>
      <c r="K221" s="70"/>
      <c r="L221" s="70"/>
      <c r="M221" s="20"/>
      <c r="N221" s="20"/>
      <c r="O221" s="20"/>
      <c r="P221" s="20"/>
      <c r="Q221" s="20"/>
      <c r="R221" s="20"/>
      <c r="S221" s="20"/>
      <c r="T221" s="20"/>
      <c r="U221" s="20"/>
      <c r="V221" s="20"/>
      <c r="W221" s="20"/>
      <c r="X221" s="20"/>
    </row>
    <row r="222">
      <c r="A222" s="20"/>
      <c r="B222" s="20"/>
      <c r="C222" s="20"/>
      <c r="D222" s="70"/>
      <c r="E222" s="70"/>
      <c r="F222" s="70"/>
      <c r="G222" s="20"/>
      <c r="H222" s="20"/>
      <c r="I222" s="70"/>
      <c r="J222" s="70"/>
      <c r="K222" s="70"/>
      <c r="L222" s="70"/>
      <c r="M222" s="20"/>
      <c r="N222" s="20"/>
      <c r="O222" s="20"/>
      <c r="P222" s="20"/>
      <c r="Q222" s="20"/>
      <c r="R222" s="20"/>
      <c r="S222" s="20"/>
      <c r="T222" s="20"/>
      <c r="U222" s="20"/>
      <c r="V222" s="20"/>
      <c r="W222" s="20"/>
      <c r="X222" s="20"/>
    </row>
    <row r="223">
      <c r="A223" s="20"/>
      <c r="B223" s="20"/>
      <c r="C223" s="20"/>
      <c r="D223" s="70"/>
      <c r="E223" s="70"/>
      <c r="F223" s="70"/>
      <c r="G223" s="20"/>
      <c r="H223" s="20"/>
      <c r="I223" s="70"/>
      <c r="J223" s="70"/>
      <c r="K223" s="70"/>
      <c r="L223" s="70"/>
      <c r="M223" s="20"/>
      <c r="N223" s="20"/>
      <c r="O223" s="20"/>
      <c r="P223" s="20"/>
      <c r="Q223" s="20"/>
      <c r="R223" s="20"/>
      <c r="S223" s="20"/>
      <c r="T223" s="20"/>
      <c r="U223" s="20"/>
      <c r="V223" s="20"/>
      <c r="W223" s="20"/>
      <c r="X223" s="20"/>
    </row>
    <row r="224">
      <c r="A224" s="20"/>
      <c r="B224" s="20"/>
      <c r="C224" s="20"/>
      <c r="D224" s="70"/>
      <c r="E224" s="70"/>
      <c r="F224" s="70"/>
      <c r="G224" s="20"/>
      <c r="H224" s="20"/>
      <c r="I224" s="70"/>
      <c r="J224" s="70"/>
      <c r="K224" s="70"/>
      <c r="L224" s="70"/>
      <c r="M224" s="20"/>
      <c r="N224" s="20"/>
      <c r="O224" s="20"/>
      <c r="P224" s="20"/>
      <c r="Q224" s="20"/>
      <c r="R224" s="20"/>
      <c r="S224" s="20"/>
      <c r="T224" s="20"/>
      <c r="U224" s="20"/>
      <c r="V224" s="20"/>
      <c r="W224" s="20"/>
      <c r="X224" s="20"/>
    </row>
    <row r="225">
      <c r="A225" s="20"/>
      <c r="B225" s="20"/>
      <c r="C225" s="20"/>
      <c r="D225" s="70"/>
      <c r="E225" s="70"/>
      <c r="F225" s="70"/>
      <c r="G225" s="20"/>
      <c r="H225" s="20"/>
      <c r="I225" s="70"/>
      <c r="J225" s="70"/>
      <c r="K225" s="70"/>
      <c r="L225" s="70"/>
      <c r="M225" s="20"/>
      <c r="N225" s="20"/>
      <c r="O225" s="20"/>
      <c r="P225" s="20"/>
      <c r="Q225" s="20"/>
      <c r="R225" s="20"/>
      <c r="S225" s="20"/>
      <c r="T225" s="20"/>
      <c r="U225" s="20"/>
      <c r="V225" s="20"/>
      <c r="W225" s="20"/>
      <c r="X225" s="20"/>
    </row>
    <row r="226">
      <c r="A226" s="20"/>
      <c r="B226" s="20"/>
      <c r="C226" s="20"/>
      <c r="D226" s="70"/>
      <c r="E226" s="70"/>
      <c r="F226" s="70"/>
      <c r="G226" s="20"/>
      <c r="H226" s="20"/>
      <c r="I226" s="70"/>
      <c r="J226" s="70"/>
      <c r="K226" s="70"/>
      <c r="L226" s="70"/>
      <c r="M226" s="20"/>
      <c r="N226" s="20"/>
      <c r="O226" s="20"/>
      <c r="P226" s="20"/>
      <c r="Q226" s="20"/>
      <c r="R226" s="20"/>
      <c r="S226" s="20"/>
      <c r="T226" s="20"/>
      <c r="U226" s="20"/>
      <c r="V226" s="20"/>
      <c r="W226" s="20"/>
      <c r="X226" s="20"/>
    </row>
    <row r="227">
      <c r="A227" s="20"/>
      <c r="B227" s="20"/>
      <c r="C227" s="20"/>
      <c r="D227" s="70"/>
      <c r="E227" s="70"/>
      <c r="F227" s="70"/>
      <c r="G227" s="20"/>
      <c r="H227" s="20"/>
      <c r="I227" s="70"/>
      <c r="J227" s="70"/>
      <c r="K227" s="70"/>
      <c r="L227" s="70"/>
      <c r="M227" s="20"/>
      <c r="N227" s="20"/>
      <c r="O227" s="20"/>
      <c r="P227" s="20"/>
      <c r="Q227" s="20"/>
      <c r="R227" s="20"/>
      <c r="S227" s="20"/>
      <c r="T227" s="20"/>
      <c r="U227" s="20"/>
      <c r="V227" s="20"/>
      <c r="W227" s="20"/>
      <c r="X227" s="20"/>
    </row>
    <row r="228">
      <c r="A228" s="20"/>
      <c r="B228" s="20"/>
      <c r="C228" s="20"/>
      <c r="D228" s="70"/>
      <c r="E228" s="70"/>
      <c r="F228" s="70"/>
      <c r="G228" s="20"/>
      <c r="H228" s="20"/>
      <c r="I228" s="70"/>
      <c r="J228" s="70"/>
      <c r="K228" s="70"/>
      <c r="L228" s="70"/>
      <c r="M228" s="20"/>
      <c r="N228" s="20"/>
      <c r="O228" s="20"/>
      <c r="P228" s="20"/>
      <c r="Q228" s="20"/>
      <c r="R228" s="20"/>
      <c r="S228" s="20"/>
      <c r="T228" s="20"/>
      <c r="U228" s="20"/>
      <c r="V228" s="20"/>
      <c r="W228" s="20"/>
      <c r="X228" s="20"/>
    </row>
    <row r="229">
      <c r="A229" s="20"/>
      <c r="B229" s="20"/>
      <c r="C229" s="20"/>
      <c r="D229" s="70"/>
      <c r="E229" s="70"/>
      <c r="F229" s="70"/>
      <c r="G229" s="20"/>
      <c r="H229" s="20"/>
      <c r="I229" s="70"/>
      <c r="J229" s="70"/>
      <c r="K229" s="70"/>
      <c r="L229" s="70"/>
      <c r="M229" s="20"/>
      <c r="N229" s="20"/>
      <c r="O229" s="20"/>
      <c r="P229" s="20"/>
      <c r="Q229" s="20"/>
      <c r="R229" s="20"/>
      <c r="S229" s="20"/>
      <c r="T229" s="20"/>
      <c r="U229" s="20"/>
      <c r="V229" s="20"/>
      <c r="W229" s="20"/>
      <c r="X229" s="20"/>
    </row>
    <row r="230">
      <c r="A230" s="20"/>
      <c r="B230" s="20"/>
      <c r="C230" s="20"/>
      <c r="D230" s="70"/>
      <c r="E230" s="70"/>
      <c r="F230" s="70"/>
      <c r="G230" s="20"/>
      <c r="H230" s="20"/>
      <c r="I230" s="70"/>
      <c r="J230" s="70"/>
      <c r="K230" s="70"/>
      <c r="L230" s="70"/>
      <c r="M230" s="20"/>
      <c r="N230" s="20"/>
      <c r="O230" s="20"/>
      <c r="P230" s="20"/>
      <c r="Q230" s="20"/>
      <c r="R230" s="20"/>
      <c r="S230" s="20"/>
      <c r="T230" s="20"/>
      <c r="U230" s="20"/>
      <c r="V230" s="20"/>
      <c r="W230" s="20"/>
      <c r="X230" s="20"/>
    </row>
    <row r="231">
      <c r="A231" s="20"/>
      <c r="B231" s="20"/>
      <c r="C231" s="20"/>
      <c r="D231" s="70"/>
      <c r="E231" s="70"/>
      <c r="F231" s="70"/>
      <c r="G231" s="20"/>
      <c r="H231" s="20"/>
      <c r="I231" s="70"/>
      <c r="J231" s="70"/>
      <c r="K231" s="70"/>
      <c r="L231" s="70"/>
      <c r="M231" s="20"/>
      <c r="N231" s="20"/>
      <c r="O231" s="20"/>
      <c r="P231" s="20"/>
      <c r="Q231" s="20"/>
      <c r="R231" s="20"/>
      <c r="S231" s="20"/>
      <c r="T231" s="20"/>
      <c r="U231" s="20"/>
      <c r="V231" s="20"/>
      <c r="W231" s="20"/>
      <c r="X231" s="20"/>
    </row>
    <row r="232">
      <c r="A232" s="20"/>
      <c r="B232" s="20"/>
      <c r="C232" s="20"/>
      <c r="D232" s="70"/>
      <c r="E232" s="70"/>
      <c r="F232" s="70"/>
      <c r="G232" s="20"/>
      <c r="H232" s="20"/>
      <c r="I232" s="70"/>
      <c r="J232" s="70"/>
      <c r="K232" s="70"/>
      <c r="L232" s="70"/>
      <c r="M232" s="20"/>
      <c r="N232" s="20"/>
      <c r="O232" s="20"/>
      <c r="P232" s="20"/>
      <c r="Q232" s="20"/>
      <c r="R232" s="20"/>
      <c r="S232" s="20"/>
      <c r="T232" s="20"/>
      <c r="U232" s="20"/>
      <c r="V232" s="20"/>
      <c r="W232" s="20"/>
      <c r="X232" s="20"/>
    </row>
    <row r="233">
      <c r="A233" s="20"/>
      <c r="B233" s="20"/>
      <c r="C233" s="20"/>
      <c r="D233" s="70"/>
      <c r="E233" s="70"/>
      <c r="F233" s="70"/>
      <c r="G233" s="20"/>
      <c r="H233" s="20"/>
      <c r="I233" s="70"/>
      <c r="J233" s="70"/>
      <c r="K233" s="70"/>
      <c r="L233" s="70"/>
      <c r="M233" s="20"/>
      <c r="N233" s="20"/>
      <c r="O233" s="20"/>
      <c r="P233" s="20"/>
      <c r="Q233" s="20"/>
      <c r="R233" s="20"/>
      <c r="S233" s="20"/>
      <c r="T233" s="20"/>
      <c r="U233" s="20"/>
      <c r="V233" s="20"/>
      <c r="W233" s="20"/>
      <c r="X233" s="20"/>
    </row>
    <row r="234">
      <c r="A234" s="20"/>
      <c r="B234" s="20"/>
      <c r="C234" s="20"/>
      <c r="D234" s="70"/>
      <c r="E234" s="70"/>
      <c r="F234" s="70"/>
      <c r="G234" s="20"/>
      <c r="H234" s="20"/>
      <c r="I234" s="70"/>
      <c r="J234" s="70"/>
      <c r="K234" s="70"/>
      <c r="L234" s="70"/>
      <c r="M234" s="20"/>
      <c r="N234" s="20"/>
      <c r="O234" s="20"/>
      <c r="P234" s="20"/>
      <c r="Q234" s="20"/>
      <c r="R234" s="20"/>
      <c r="S234" s="20"/>
      <c r="T234" s="20"/>
      <c r="U234" s="20"/>
      <c r="V234" s="20"/>
      <c r="W234" s="20"/>
      <c r="X234" s="20"/>
    </row>
    <row r="235">
      <c r="A235" s="20"/>
      <c r="B235" s="20"/>
      <c r="C235" s="20"/>
      <c r="D235" s="70"/>
      <c r="E235" s="70"/>
      <c r="F235" s="70"/>
      <c r="G235" s="20"/>
      <c r="H235" s="20"/>
      <c r="I235" s="70"/>
      <c r="J235" s="70"/>
      <c r="K235" s="70"/>
      <c r="L235" s="70"/>
      <c r="M235" s="20"/>
      <c r="N235" s="20"/>
      <c r="O235" s="20"/>
      <c r="P235" s="20"/>
      <c r="Q235" s="20"/>
      <c r="R235" s="20"/>
      <c r="S235" s="20"/>
      <c r="T235" s="20"/>
      <c r="U235" s="20"/>
      <c r="V235" s="20"/>
      <c r="W235" s="20"/>
      <c r="X235" s="20"/>
    </row>
    <row r="236">
      <c r="A236" s="20"/>
      <c r="B236" s="20"/>
      <c r="C236" s="20"/>
      <c r="D236" s="70"/>
      <c r="E236" s="70"/>
      <c r="F236" s="70"/>
      <c r="G236" s="20"/>
      <c r="H236" s="20"/>
      <c r="I236" s="70"/>
      <c r="J236" s="70"/>
      <c r="K236" s="70"/>
      <c r="L236" s="70"/>
      <c r="M236" s="20"/>
      <c r="N236" s="20"/>
      <c r="O236" s="20"/>
      <c r="P236" s="20"/>
      <c r="Q236" s="20"/>
      <c r="R236" s="20"/>
      <c r="S236" s="20"/>
      <c r="T236" s="20"/>
      <c r="U236" s="20"/>
      <c r="V236" s="20"/>
      <c r="W236" s="20"/>
      <c r="X236" s="20"/>
    </row>
    <row r="237">
      <c r="A237" s="20"/>
      <c r="B237" s="20"/>
      <c r="C237" s="20"/>
      <c r="D237" s="70"/>
      <c r="E237" s="70"/>
      <c r="F237" s="70"/>
      <c r="G237" s="20"/>
      <c r="H237" s="20"/>
      <c r="I237" s="70"/>
      <c r="J237" s="70"/>
      <c r="K237" s="70"/>
      <c r="L237" s="70"/>
      <c r="M237" s="20"/>
      <c r="N237" s="20"/>
      <c r="O237" s="20"/>
      <c r="P237" s="20"/>
      <c r="Q237" s="20"/>
      <c r="R237" s="20"/>
      <c r="S237" s="20"/>
      <c r="T237" s="20"/>
      <c r="U237" s="20"/>
      <c r="V237" s="20"/>
      <c r="W237" s="20"/>
      <c r="X237" s="20"/>
    </row>
    <row r="238">
      <c r="A238" s="20"/>
      <c r="B238" s="20"/>
      <c r="C238" s="20"/>
      <c r="D238" s="70"/>
      <c r="E238" s="70"/>
      <c r="F238" s="70"/>
      <c r="G238" s="20"/>
      <c r="H238" s="20"/>
      <c r="I238" s="70"/>
      <c r="J238" s="70"/>
      <c r="K238" s="70"/>
      <c r="L238" s="70"/>
      <c r="M238" s="20"/>
      <c r="N238" s="20"/>
      <c r="O238" s="20"/>
      <c r="P238" s="20"/>
      <c r="Q238" s="20"/>
      <c r="R238" s="20"/>
      <c r="S238" s="20"/>
      <c r="T238" s="20"/>
      <c r="U238" s="20"/>
      <c r="V238" s="20"/>
      <c r="W238" s="20"/>
      <c r="X238" s="20"/>
    </row>
    <row r="239">
      <c r="A239" s="20"/>
      <c r="B239" s="20"/>
      <c r="C239" s="20"/>
      <c r="D239" s="70"/>
      <c r="E239" s="70"/>
      <c r="F239" s="70"/>
      <c r="G239" s="20"/>
      <c r="H239" s="20"/>
      <c r="I239" s="70"/>
      <c r="J239" s="70"/>
      <c r="K239" s="70"/>
      <c r="L239" s="70"/>
      <c r="M239" s="20"/>
      <c r="N239" s="20"/>
      <c r="O239" s="20"/>
      <c r="P239" s="20"/>
      <c r="Q239" s="20"/>
      <c r="R239" s="20"/>
      <c r="S239" s="20"/>
      <c r="T239" s="20"/>
      <c r="U239" s="20"/>
      <c r="V239" s="20"/>
      <c r="W239" s="20"/>
      <c r="X239" s="20"/>
    </row>
    <row r="240">
      <c r="A240" s="20"/>
      <c r="B240" s="20"/>
      <c r="C240" s="20"/>
      <c r="D240" s="70"/>
      <c r="E240" s="70"/>
      <c r="F240" s="70"/>
      <c r="G240" s="20"/>
      <c r="H240" s="20"/>
      <c r="I240" s="70"/>
      <c r="J240" s="70"/>
      <c r="K240" s="70"/>
      <c r="L240" s="70"/>
      <c r="M240" s="20"/>
      <c r="N240" s="20"/>
      <c r="O240" s="20"/>
      <c r="P240" s="20"/>
      <c r="Q240" s="20"/>
      <c r="R240" s="20"/>
      <c r="S240" s="20"/>
      <c r="T240" s="20"/>
      <c r="U240" s="20"/>
      <c r="V240" s="20"/>
      <c r="W240" s="20"/>
      <c r="X240" s="20"/>
    </row>
    <row r="241">
      <c r="A241" s="20"/>
      <c r="B241" s="20"/>
      <c r="C241" s="20"/>
      <c r="D241" s="70"/>
      <c r="E241" s="70"/>
      <c r="F241" s="70"/>
      <c r="G241" s="20"/>
      <c r="H241" s="20"/>
      <c r="I241" s="70"/>
      <c r="J241" s="70"/>
      <c r="K241" s="70"/>
      <c r="L241" s="70"/>
      <c r="M241" s="20"/>
      <c r="N241" s="20"/>
      <c r="O241" s="20"/>
      <c r="P241" s="20"/>
      <c r="Q241" s="20"/>
      <c r="R241" s="20"/>
      <c r="S241" s="20"/>
      <c r="T241" s="20"/>
      <c r="U241" s="20"/>
      <c r="V241" s="20"/>
      <c r="W241" s="20"/>
      <c r="X241" s="20"/>
    </row>
    <row r="242">
      <c r="A242" s="20"/>
      <c r="B242" s="20"/>
      <c r="C242" s="20"/>
      <c r="D242" s="70"/>
      <c r="E242" s="70"/>
      <c r="F242" s="70"/>
      <c r="G242" s="20"/>
      <c r="H242" s="20"/>
      <c r="I242" s="70"/>
      <c r="J242" s="70"/>
      <c r="K242" s="70"/>
      <c r="L242" s="70"/>
      <c r="M242" s="20"/>
      <c r="N242" s="20"/>
      <c r="O242" s="20"/>
      <c r="P242" s="20"/>
      <c r="Q242" s="20"/>
      <c r="R242" s="20"/>
      <c r="S242" s="20"/>
      <c r="T242" s="20"/>
      <c r="U242" s="20"/>
      <c r="V242" s="20"/>
      <c r="W242" s="20"/>
      <c r="X242" s="20"/>
    </row>
    <row r="243">
      <c r="A243" s="20"/>
      <c r="B243" s="20"/>
      <c r="C243" s="20"/>
      <c r="D243" s="70"/>
      <c r="E243" s="70"/>
      <c r="F243" s="70"/>
      <c r="G243" s="20"/>
      <c r="H243" s="20"/>
      <c r="I243" s="70"/>
      <c r="J243" s="70"/>
      <c r="K243" s="70"/>
      <c r="L243" s="70"/>
      <c r="M243" s="20"/>
      <c r="N243" s="20"/>
      <c r="O243" s="20"/>
      <c r="P243" s="20"/>
      <c r="Q243" s="20"/>
      <c r="R243" s="20"/>
      <c r="S243" s="20"/>
      <c r="T243" s="20"/>
      <c r="U243" s="20"/>
      <c r="V243" s="20"/>
      <c r="W243" s="20"/>
      <c r="X243" s="20"/>
    </row>
    <row r="244">
      <c r="A244" s="20"/>
      <c r="B244" s="20"/>
      <c r="C244" s="20"/>
      <c r="D244" s="70"/>
      <c r="E244" s="70"/>
      <c r="F244" s="70"/>
      <c r="G244" s="20"/>
      <c r="H244" s="20"/>
      <c r="I244" s="70"/>
      <c r="J244" s="70"/>
      <c r="K244" s="70"/>
      <c r="L244" s="70"/>
      <c r="M244" s="20"/>
      <c r="N244" s="20"/>
      <c r="O244" s="20"/>
      <c r="P244" s="20"/>
      <c r="Q244" s="20"/>
      <c r="R244" s="20"/>
      <c r="S244" s="20"/>
      <c r="T244" s="20"/>
      <c r="U244" s="20"/>
      <c r="V244" s="20"/>
      <c r="W244" s="20"/>
      <c r="X244" s="20"/>
    </row>
    <row r="245">
      <c r="A245" s="20"/>
      <c r="B245" s="20"/>
      <c r="C245" s="20"/>
      <c r="D245" s="70"/>
      <c r="E245" s="70"/>
      <c r="F245" s="70"/>
      <c r="G245" s="20"/>
      <c r="H245" s="20"/>
      <c r="I245" s="70"/>
      <c r="J245" s="70"/>
      <c r="K245" s="70"/>
      <c r="L245" s="70"/>
      <c r="M245" s="20"/>
      <c r="N245" s="20"/>
      <c r="O245" s="20"/>
      <c r="P245" s="20"/>
      <c r="Q245" s="20"/>
      <c r="R245" s="20"/>
      <c r="S245" s="20"/>
      <c r="T245" s="20"/>
      <c r="U245" s="20"/>
      <c r="V245" s="20"/>
      <c r="W245" s="20"/>
      <c r="X245" s="20"/>
    </row>
    <row r="246">
      <c r="A246" s="20"/>
      <c r="B246" s="20"/>
      <c r="C246" s="20"/>
      <c r="D246" s="70"/>
      <c r="E246" s="70"/>
      <c r="F246" s="70"/>
      <c r="G246" s="20"/>
      <c r="H246" s="20"/>
      <c r="I246" s="70"/>
      <c r="J246" s="70"/>
      <c r="K246" s="70"/>
      <c r="L246" s="70"/>
      <c r="M246" s="20"/>
      <c r="N246" s="20"/>
      <c r="O246" s="20"/>
      <c r="P246" s="20"/>
      <c r="Q246" s="20"/>
      <c r="R246" s="20"/>
      <c r="S246" s="20"/>
      <c r="T246" s="20"/>
      <c r="U246" s="20"/>
      <c r="V246" s="20"/>
      <c r="W246" s="20"/>
      <c r="X246" s="20"/>
    </row>
    <row r="247">
      <c r="A247" s="20"/>
      <c r="B247" s="20"/>
      <c r="C247" s="20"/>
      <c r="D247" s="70"/>
      <c r="E247" s="70"/>
      <c r="F247" s="70"/>
      <c r="G247" s="20"/>
      <c r="H247" s="20"/>
      <c r="I247" s="70"/>
      <c r="J247" s="70"/>
      <c r="K247" s="70"/>
      <c r="L247" s="70"/>
      <c r="M247" s="20"/>
      <c r="N247" s="20"/>
      <c r="O247" s="20"/>
      <c r="P247" s="20"/>
      <c r="Q247" s="20"/>
      <c r="R247" s="20"/>
      <c r="S247" s="20"/>
      <c r="T247" s="20"/>
      <c r="U247" s="20"/>
      <c r="V247" s="20"/>
      <c r="W247" s="20"/>
      <c r="X247" s="20"/>
    </row>
    <row r="248">
      <c r="A248" s="20"/>
      <c r="B248" s="20"/>
      <c r="C248" s="20"/>
      <c r="D248" s="70"/>
      <c r="E248" s="70"/>
      <c r="F248" s="70"/>
      <c r="G248" s="20"/>
      <c r="H248" s="20"/>
      <c r="I248" s="70"/>
      <c r="J248" s="70"/>
      <c r="K248" s="70"/>
      <c r="L248" s="70"/>
      <c r="M248" s="20"/>
      <c r="N248" s="20"/>
      <c r="O248" s="20"/>
      <c r="P248" s="20"/>
      <c r="Q248" s="20"/>
      <c r="R248" s="20"/>
      <c r="S248" s="20"/>
      <c r="T248" s="20"/>
      <c r="U248" s="20"/>
      <c r="V248" s="20"/>
      <c r="W248" s="20"/>
      <c r="X248" s="20"/>
    </row>
    <row r="249">
      <c r="A249" s="20"/>
      <c r="B249" s="20"/>
      <c r="C249" s="20"/>
      <c r="D249" s="70"/>
      <c r="E249" s="70"/>
      <c r="F249" s="70"/>
      <c r="G249" s="20"/>
      <c r="H249" s="20"/>
      <c r="I249" s="70"/>
      <c r="J249" s="70"/>
      <c r="K249" s="70"/>
      <c r="L249" s="70"/>
      <c r="M249" s="20"/>
      <c r="N249" s="20"/>
      <c r="O249" s="20"/>
      <c r="P249" s="20"/>
      <c r="Q249" s="20"/>
      <c r="R249" s="20"/>
      <c r="S249" s="20"/>
      <c r="T249" s="20"/>
      <c r="U249" s="20"/>
      <c r="V249" s="20"/>
      <c r="W249" s="20"/>
      <c r="X249" s="20"/>
    </row>
    <row r="250">
      <c r="A250" s="20"/>
      <c r="B250" s="20"/>
      <c r="C250" s="20"/>
      <c r="D250" s="70"/>
      <c r="E250" s="70"/>
      <c r="F250" s="70"/>
      <c r="G250" s="20"/>
      <c r="H250" s="20"/>
      <c r="I250" s="70"/>
      <c r="J250" s="70"/>
      <c r="K250" s="70"/>
      <c r="L250" s="70"/>
      <c r="M250" s="20"/>
      <c r="N250" s="20"/>
      <c r="O250" s="20"/>
      <c r="P250" s="20"/>
      <c r="Q250" s="20"/>
      <c r="R250" s="20"/>
      <c r="S250" s="20"/>
      <c r="T250" s="20"/>
      <c r="U250" s="20"/>
      <c r="V250" s="20"/>
      <c r="W250" s="20"/>
      <c r="X250" s="20"/>
    </row>
    <row r="251">
      <c r="A251" s="20"/>
      <c r="B251" s="20"/>
      <c r="C251" s="20"/>
      <c r="D251" s="70"/>
      <c r="E251" s="70"/>
      <c r="F251" s="70"/>
      <c r="G251" s="20"/>
      <c r="H251" s="20"/>
      <c r="I251" s="70"/>
      <c r="J251" s="70"/>
      <c r="K251" s="70"/>
      <c r="L251" s="70"/>
      <c r="M251" s="20"/>
      <c r="N251" s="20"/>
      <c r="O251" s="20"/>
      <c r="P251" s="20"/>
      <c r="Q251" s="20"/>
      <c r="R251" s="20"/>
      <c r="S251" s="20"/>
      <c r="T251" s="20"/>
      <c r="U251" s="20"/>
      <c r="V251" s="20"/>
      <c r="W251" s="20"/>
      <c r="X251" s="20"/>
    </row>
    <row r="252">
      <c r="A252" s="20"/>
      <c r="B252" s="20"/>
      <c r="C252" s="20"/>
      <c r="D252" s="70"/>
      <c r="E252" s="70"/>
      <c r="F252" s="70"/>
      <c r="G252" s="20"/>
      <c r="H252" s="20"/>
      <c r="I252" s="70"/>
      <c r="J252" s="70"/>
      <c r="K252" s="70"/>
      <c r="L252" s="70"/>
      <c r="M252" s="20"/>
      <c r="N252" s="20"/>
      <c r="O252" s="20"/>
      <c r="P252" s="20"/>
      <c r="Q252" s="20"/>
      <c r="R252" s="20"/>
      <c r="S252" s="20"/>
      <c r="T252" s="20"/>
      <c r="U252" s="20"/>
      <c r="V252" s="20"/>
      <c r="W252" s="20"/>
      <c r="X252" s="20"/>
    </row>
    <row r="253">
      <c r="A253" s="20"/>
      <c r="B253" s="20"/>
      <c r="C253" s="20"/>
      <c r="D253" s="70"/>
      <c r="E253" s="70"/>
      <c r="F253" s="70"/>
      <c r="G253" s="20"/>
      <c r="H253" s="20"/>
      <c r="I253" s="70"/>
      <c r="J253" s="70"/>
      <c r="K253" s="70"/>
      <c r="L253" s="70"/>
      <c r="M253" s="20"/>
      <c r="N253" s="20"/>
      <c r="O253" s="20"/>
      <c r="P253" s="20"/>
      <c r="Q253" s="20"/>
      <c r="R253" s="20"/>
      <c r="S253" s="20"/>
      <c r="T253" s="20"/>
      <c r="U253" s="20"/>
      <c r="V253" s="20"/>
      <c r="W253" s="20"/>
      <c r="X253" s="20"/>
    </row>
    <row r="254">
      <c r="A254" s="20"/>
      <c r="B254" s="20"/>
      <c r="C254" s="20"/>
      <c r="D254" s="70"/>
      <c r="E254" s="70"/>
      <c r="F254" s="70"/>
      <c r="G254" s="20"/>
      <c r="H254" s="20"/>
      <c r="I254" s="70"/>
      <c r="J254" s="70"/>
      <c r="K254" s="70"/>
      <c r="L254" s="70"/>
      <c r="M254" s="20"/>
      <c r="N254" s="20"/>
      <c r="O254" s="20"/>
      <c r="P254" s="20"/>
      <c r="Q254" s="20"/>
      <c r="R254" s="20"/>
      <c r="S254" s="20"/>
      <c r="T254" s="20"/>
      <c r="U254" s="20"/>
      <c r="V254" s="20"/>
      <c r="W254" s="20"/>
      <c r="X254" s="20"/>
    </row>
    <row r="255">
      <c r="A255" s="20"/>
      <c r="B255" s="20"/>
      <c r="C255" s="20"/>
      <c r="D255" s="70"/>
      <c r="E255" s="70"/>
      <c r="F255" s="70"/>
      <c r="G255" s="20"/>
      <c r="H255" s="20"/>
      <c r="I255" s="70"/>
      <c r="J255" s="70"/>
      <c r="K255" s="70"/>
      <c r="L255" s="70"/>
      <c r="M255" s="20"/>
      <c r="N255" s="20"/>
      <c r="O255" s="20"/>
      <c r="P255" s="20"/>
      <c r="Q255" s="20"/>
      <c r="R255" s="20"/>
      <c r="S255" s="20"/>
      <c r="T255" s="20"/>
      <c r="U255" s="20"/>
      <c r="V255" s="20"/>
      <c r="W255" s="20"/>
      <c r="X255" s="20"/>
    </row>
    <row r="256">
      <c r="A256" s="20"/>
      <c r="B256" s="20"/>
      <c r="C256" s="20"/>
      <c r="D256" s="70"/>
      <c r="E256" s="70"/>
      <c r="F256" s="70"/>
      <c r="G256" s="20"/>
      <c r="H256" s="20"/>
      <c r="I256" s="70"/>
      <c r="J256" s="70"/>
      <c r="K256" s="70"/>
      <c r="L256" s="70"/>
      <c r="M256" s="20"/>
      <c r="N256" s="20"/>
      <c r="O256" s="20"/>
      <c r="P256" s="20"/>
      <c r="Q256" s="20"/>
      <c r="R256" s="20"/>
      <c r="S256" s="20"/>
      <c r="T256" s="20"/>
      <c r="U256" s="20"/>
      <c r="V256" s="20"/>
      <c r="W256" s="20"/>
      <c r="X256" s="20"/>
    </row>
    <row r="257">
      <c r="A257" s="20"/>
      <c r="B257" s="20"/>
      <c r="C257" s="20"/>
      <c r="D257" s="70"/>
      <c r="E257" s="70"/>
      <c r="F257" s="70"/>
      <c r="G257" s="20"/>
      <c r="H257" s="20"/>
      <c r="I257" s="70"/>
      <c r="J257" s="70"/>
      <c r="K257" s="70"/>
      <c r="L257" s="70"/>
      <c r="M257" s="20"/>
      <c r="N257" s="20"/>
      <c r="O257" s="20"/>
      <c r="P257" s="20"/>
      <c r="Q257" s="20"/>
      <c r="R257" s="20"/>
      <c r="S257" s="20"/>
      <c r="T257" s="20"/>
      <c r="U257" s="20"/>
      <c r="V257" s="20"/>
      <c r="W257" s="20"/>
      <c r="X257" s="20"/>
    </row>
    <row r="258">
      <c r="A258" s="20"/>
      <c r="B258" s="20"/>
      <c r="C258" s="20"/>
      <c r="D258" s="70"/>
      <c r="E258" s="70"/>
      <c r="F258" s="70"/>
      <c r="G258" s="20"/>
      <c r="H258" s="20"/>
      <c r="I258" s="70"/>
      <c r="J258" s="70"/>
      <c r="K258" s="70"/>
      <c r="L258" s="70"/>
      <c r="M258" s="20"/>
      <c r="N258" s="20"/>
      <c r="O258" s="20"/>
      <c r="P258" s="20"/>
      <c r="Q258" s="20"/>
      <c r="R258" s="20"/>
      <c r="S258" s="20"/>
      <c r="T258" s="20"/>
      <c r="U258" s="20"/>
      <c r="V258" s="20"/>
      <c r="W258" s="20"/>
      <c r="X258" s="20"/>
    </row>
    <row r="259">
      <c r="A259" s="20"/>
      <c r="B259" s="20"/>
      <c r="C259" s="20"/>
      <c r="D259" s="70"/>
      <c r="E259" s="70"/>
      <c r="F259" s="70"/>
      <c r="G259" s="20"/>
      <c r="H259" s="20"/>
      <c r="I259" s="70"/>
      <c r="J259" s="70"/>
      <c r="K259" s="70"/>
      <c r="L259" s="70"/>
      <c r="M259" s="20"/>
      <c r="N259" s="20"/>
      <c r="O259" s="20"/>
      <c r="P259" s="20"/>
      <c r="Q259" s="20"/>
      <c r="R259" s="20"/>
      <c r="S259" s="20"/>
      <c r="T259" s="20"/>
      <c r="U259" s="20"/>
      <c r="V259" s="20"/>
      <c r="W259" s="20"/>
      <c r="X259" s="20"/>
    </row>
    <row r="260">
      <c r="A260" s="20"/>
      <c r="B260" s="20"/>
      <c r="C260" s="20"/>
      <c r="D260" s="70"/>
      <c r="E260" s="70"/>
      <c r="F260" s="70"/>
      <c r="G260" s="20"/>
      <c r="H260" s="20"/>
      <c r="I260" s="70"/>
      <c r="J260" s="70"/>
      <c r="K260" s="70"/>
      <c r="L260" s="70"/>
      <c r="M260" s="20"/>
      <c r="N260" s="20"/>
      <c r="O260" s="20"/>
      <c r="P260" s="20"/>
      <c r="Q260" s="20"/>
      <c r="R260" s="20"/>
      <c r="S260" s="20"/>
      <c r="T260" s="20"/>
      <c r="U260" s="20"/>
      <c r="V260" s="20"/>
      <c r="W260" s="20"/>
      <c r="X260" s="20"/>
    </row>
    <row r="261">
      <c r="A261" s="20"/>
      <c r="B261" s="20"/>
      <c r="C261" s="20"/>
      <c r="D261" s="70"/>
      <c r="E261" s="70"/>
      <c r="F261" s="70"/>
      <c r="G261" s="20"/>
      <c r="H261" s="20"/>
      <c r="I261" s="70"/>
      <c r="J261" s="70"/>
      <c r="K261" s="70"/>
      <c r="L261" s="70"/>
      <c r="M261" s="20"/>
      <c r="N261" s="20"/>
      <c r="O261" s="20"/>
      <c r="P261" s="20"/>
      <c r="Q261" s="20"/>
      <c r="R261" s="20"/>
      <c r="S261" s="20"/>
      <c r="T261" s="20"/>
      <c r="U261" s="20"/>
      <c r="V261" s="20"/>
      <c r="W261" s="20"/>
      <c r="X261" s="20"/>
    </row>
    <row r="262">
      <c r="A262" s="20"/>
      <c r="B262" s="20"/>
      <c r="C262" s="20"/>
      <c r="D262" s="70"/>
      <c r="E262" s="70"/>
      <c r="F262" s="70"/>
      <c r="G262" s="20"/>
      <c r="H262" s="20"/>
      <c r="I262" s="70"/>
      <c r="J262" s="70"/>
      <c r="K262" s="70"/>
      <c r="L262" s="70"/>
      <c r="M262" s="20"/>
      <c r="N262" s="20"/>
      <c r="O262" s="20"/>
      <c r="P262" s="20"/>
      <c r="Q262" s="20"/>
      <c r="R262" s="20"/>
      <c r="S262" s="20"/>
      <c r="T262" s="20"/>
      <c r="U262" s="20"/>
      <c r="V262" s="20"/>
      <c r="W262" s="20"/>
      <c r="X262" s="20"/>
    </row>
    <row r="263">
      <c r="A263" s="20"/>
      <c r="B263" s="20"/>
      <c r="C263" s="20"/>
      <c r="D263" s="70"/>
      <c r="E263" s="70"/>
      <c r="F263" s="70"/>
      <c r="G263" s="20"/>
      <c r="H263" s="20"/>
      <c r="I263" s="70"/>
      <c r="J263" s="70"/>
      <c r="K263" s="70"/>
      <c r="L263" s="70"/>
      <c r="M263" s="20"/>
      <c r="N263" s="20"/>
      <c r="O263" s="20"/>
      <c r="P263" s="20"/>
      <c r="Q263" s="20"/>
      <c r="R263" s="20"/>
      <c r="S263" s="20"/>
      <c r="T263" s="20"/>
      <c r="U263" s="20"/>
      <c r="V263" s="20"/>
      <c r="W263" s="20"/>
      <c r="X263" s="20"/>
    </row>
    <row r="264">
      <c r="A264" s="20"/>
      <c r="B264" s="20"/>
      <c r="C264" s="20"/>
      <c r="D264" s="70"/>
      <c r="E264" s="70"/>
      <c r="F264" s="70"/>
      <c r="G264" s="20"/>
      <c r="H264" s="20"/>
      <c r="I264" s="70"/>
      <c r="J264" s="70"/>
      <c r="K264" s="70"/>
      <c r="L264" s="70"/>
      <c r="M264" s="20"/>
      <c r="N264" s="20"/>
      <c r="O264" s="20"/>
      <c r="P264" s="20"/>
      <c r="Q264" s="20"/>
      <c r="R264" s="20"/>
      <c r="S264" s="20"/>
      <c r="T264" s="20"/>
      <c r="U264" s="20"/>
      <c r="V264" s="20"/>
      <c r="W264" s="20"/>
      <c r="X264" s="20"/>
    </row>
    <row r="265">
      <c r="A265" s="20"/>
      <c r="B265" s="20"/>
      <c r="C265" s="20"/>
      <c r="D265" s="70"/>
      <c r="E265" s="70"/>
      <c r="F265" s="70"/>
      <c r="G265" s="20"/>
      <c r="H265" s="20"/>
      <c r="I265" s="70"/>
      <c r="J265" s="70"/>
      <c r="K265" s="70"/>
      <c r="L265" s="70"/>
      <c r="M265" s="20"/>
      <c r="N265" s="20"/>
      <c r="O265" s="20"/>
      <c r="P265" s="20"/>
      <c r="Q265" s="20"/>
      <c r="R265" s="20"/>
      <c r="S265" s="20"/>
      <c r="T265" s="20"/>
      <c r="U265" s="20"/>
      <c r="V265" s="20"/>
      <c r="W265" s="20"/>
      <c r="X265" s="20"/>
    </row>
    <row r="266">
      <c r="A266" s="20"/>
      <c r="B266" s="20"/>
      <c r="C266" s="20"/>
      <c r="D266" s="70"/>
      <c r="E266" s="70"/>
      <c r="F266" s="70"/>
      <c r="G266" s="20"/>
      <c r="H266" s="20"/>
      <c r="I266" s="70"/>
      <c r="J266" s="70"/>
      <c r="K266" s="70"/>
      <c r="L266" s="70"/>
      <c r="M266" s="20"/>
      <c r="N266" s="20"/>
      <c r="O266" s="20"/>
      <c r="P266" s="20"/>
      <c r="Q266" s="20"/>
      <c r="R266" s="20"/>
      <c r="S266" s="20"/>
      <c r="T266" s="20"/>
      <c r="U266" s="20"/>
      <c r="V266" s="20"/>
      <c r="W266" s="20"/>
      <c r="X266" s="20"/>
    </row>
    <row r="267">
      <c r="A267" s="20"/>
      <c r="B267" s="20"/>
      <c r="C267" s="20"/>
      <c r="D267" s="70"/>
      <c r="E267" s="70"/>
      <c r="F267" s="70"/>
      <c r="G267" s="20"/>
      <c r="H267" s="20"/>
      <c r="I267" s="70"/>
      <c r="J267" s="70"/>
      <c r="K267" s="70"/>
      <c r="L267" s="70"/>
      <c r="M267" s="20"/>
      <c r="N267" s="20"/>
      <c r="O267" s="20"/>
      <c r="P267" s="20"/>
      <c r="Q267" s="20"/>
      <c r="R267" s="20"/>
      <c r="S267" s="20"/>
      <c r="T267" s="20"/>
      <c r="U267" s="20"/>
      <c r="V267" s="20"/>
      <c r="W267" s="20"/>
      <c r="X267" s="20"/>
    </row>
    <row r="268">
      <c r="A268" s="20"/>
      <c r="B268" s="20"/>
      <c r="C268" s="20"/>
      <c r="D268" s="70"/>
      <c r="E268" s="70"/>
      <c r="F268" s="70"/>
      <c r="G268" s="20"/>
      <c r="H268" s="20"/>
      <c r="I268" s="70"/>
      <c r="J268" s="70"/>
      <c r="K268" s="70"/>
      <c r="L268" s="70"/>
      <c r="M268" s="20"/>
      <c r="N268" s="20"/>
      <c r="O268" s="20"/>
      <c r="P268" s="20"/>
      <c r="Q268" s="20"/>
      <c r="R268" s="20"/>
      <c r="S268" s="20"/>
      <c r="T268" s="20"/>
      <c r="U268" s="20"/>
      <c r="V268" s="20"/>
      <c r="W268" s="20"/>
      <c r="X268" s="20"/>
    </row>
    <row r="269">
      <c r="A269" s="20"/>
      <c r="B269" s="20"/>
      <c r="C269" s="20"/>
      <c r="D269" s="70"/>
      <c r="E269" s="70"/>
      <c r="F269" s="70"/>
      <c r="G269" s="20"/>
      <c r="H269" s="20"/>
      <c r="I269" s="70"/>
      <c r="J269" s="70"/>
      <c r="K269" s="70"/>
      <c r="L269" s="70"/>
      <c r="M269" s="20"/>
      <c r="N269" s="20"/>
      <c r="O269" s="20"/>
      <c r="P269" s="20"/>
      <c r="Q269" s="20"/>
      <c r="R269" s="20"/>
      <c r="S269" s="20"/>
      <c r="T269" s="20"/>
      <c r="U269" s="20"/>
      <c r="V269" s="20"/>
      <c r="W269" s="20"/>
      <c r="X269" s="20"/>
    </row>
    <row r="270">
      <c r="A270" s="20"/>
      <c r="B270" s="20"/>
      <c r="C270" s="20"/>
      <c r="D270" s="70"/>
      <c r="E270" s="70"/>
      <c r="F270" s="70"/>
      <c r="G270" s="20"/>
      <c r="H270" s="20"/>
      <c r="I270" s="70"/>
      <c r="J270" s="70"/>
      <c r="K270" s="70"/>
      <c r="L270" s="70"/>
      <c r="M270" s="20"/>
      <c r="N270" s="20"/>
      <c r="O270" s="20"/>
      <c r="P270" s="20"/>
      <c r="Q270" s="20"/>
      <c r="R270" s="20"/>
      <c r="S270" s="20"/>
      <c r="T270" s="20"/>
      <c r="U270" s="20"/>
      <c r="V270" s="20"/>
      <c r="W270" s="20"/>
      <c r="X270" s="20"/>
    </row>
    <row r="271">
      <c r="A271" s="20"/>
      <c r="B271" s="20"/>
      <c r="C271" s="20"/>
      <c r="D271" s="70"/>
      <c r="E271" s="70"/>
      <c r="F271" s="70"/>
      <c r="G271" s="20"/>
      <c r="H271" s="20"/>
      <c r="I271" s="70"/>
      <c r="J271" s="70"/>
      <c r="K271" s="70"/>
      <c r="L271" s="70"/>
      <c r="M271" s="20"/>
      <c r="N271" s="20"/>
      <c r="O271" s="20"/>
      <c r="P271" s="20"/>
      <c r="Q271" s="20"/>
      <c r="R271" s="20"/>
      <c r="S271" s="20"/>
      <c r="T271" s="20"/>
      <c r="U271" s="20"/>
      <c r="V271" s="20"/>
      <c r="W271" s="20"/>
      <c r="X271" s="20"/>
    </row>
    <row r="272">
      <c r="A272" s="20"/>
      <c r="B272" s="20"/>
      <c r="C272" s="20"/>
      <c r="D272" s="70"/>
      <c r="E272" s="70"/>
      <c r="F272" s="70"/>
      <c r="G272" s="20"/>
      <c r="H272" s="20"/>
      <c r="I272" s="70"/>
      <c r="J272" s="70"/>
      <c r="K272" s="70"/>
      <c r="L272" s="70"/>
      <c r="M272" s="20"/>
      <c r="N272" s="20"/>
      <c r="O272" s="20"/>
      <c r="P272" s="20"/>
      <c r="Q272" s="20"/>
      <c r="R272" s="20"/>
      <c r="S272" s="20"/>
      <c r="T272" s="20"/>
      <c r="U272" s="20"/>
      <c r="V272" s="20"/>
      <c r="W272" s="20"/>
      <c r="X272" s="20"/>
    </row>
    <row r="273">
      <c r="A273" s="20"/>
      <c r="B273" s="20"/>
      <c r="C273" s="20"/>
      <c r="D273" s="70"/>
      <c r="E273" s="70"/>
      <c r="F273" s="70"/>
      <c r="G273" s="20"/>
      <c r="H273" s="20"/>
      <c r="I273" s="70"/>
      <c r="J273" s="70"/>
      <c r="K273" s="70"/>
      <c r="L273" s="70"/>
      <c r="M273" s="20"/>
      <c r="N273" s="20"/>
      <c r="O273" s="20"/>
      <c r="P273" s="20"/>
      <c r="Q273" s="20"/>
      <c r="R273" s="20"/>
      <c r="S273" s="20"/>
      <c r="T273" s="20"/>
      <c r="U273" s="20"/>
      <c r="V273" s="20"/>
      <c r="W273" s="20"/>
      <c r="X273" s="20"/>
    </row>
    <row r="274">
      <c r="A274" s="20"/>
      <c r="B274" s="20"/>
      <c r="C274" s="20"/>
      <c r="D274" s="70"/>
      <c r="E274" s="70"/>
      <c r="F274" s="70"/>
      <c r="G274" s="20"/>
      <c r="H274" s="20"/>
      <c r="I274" s="70"/>
      <c r="J274" s="70"/>
      <c r="K274" s="70"/>
      <c r="L274" s="70"/>
      <c r="M274" s="20"/>
      <c r="N274" s="20"/>
      <c r="O274" s="20"/>
      <c r="P274" s="20"/>
      <c r="Q274" s="20"/>
      <c r="R274" s="20"/>
      <c r="S274" s="20"/>
      <c r="T274" s="20"/>
      <c r="U274" s="20"/>
      <c r="V274" s="20"/>
      <c r="W274" s="20"/>
      <c r="X274" s="20"/>
    </row>
    <row r="275">
      <c r="A275" s="20"/>
      <c r="B275" s="20"/>
      <c r="C275" s="20"/>
      <c r="D275" s="70"/>
      <c r="E275" s="70"/>
      <c r="F275" s="70"/>
      <c r="G275" s="20"/>
      <c r="H275" s="20"/>
      <c r="I275" s="70"/>
      <c r="J275" s="70"/>
      <c r="K275" s="70"/>
      <c r="L275" s="70"/>
      <c r="M275" s="20"/>
      <c r="N275" s="20"/>
      <c r="O275" s="20"/>
      <c r="P275" s="20"/>
      <c r="Q275" s="20"/>
      <c r="R275" s="20"/>
      <c r="S275" s="20"/>
      <c r="T275" s="20"/>
      <c r="U275" s="20"/>
      <c r="V275" s="20"/>
      <c r="W275" s="20"/>
      <c r="X275" s="20"/>
    </row>
    <row r="276">
      <c r="A276" s="20"/>
      <c r="B276" s="20"/>
      <c r="C276" s="20"/>
      <c r="D276" s="70"/>
      <c r="E276" s="70"/>
      <c r="F276" s="70"/>
      <c r="G276" s="20"/>
      <c r="H276" s="20"/>
      <c r="I276" s="70"/>
      <c r="J276" s="70"/>
      <c r="K276" s="70"/>
      <c r="L276" s="70"/>
      <c r="M276" s="20"/>
      <c r="N276" s="20"/>
      <c r="O276" s="20"/>
      <c r="P276" s="20"/>
      <c r="Q276" s="20"/>
      <c r="R276" s="20"/>
      <c r="S276" s="20"/>
      <c r="T276" s="20"/>
      <c r="U276" s="20"/>
      <c r="V276" s="20"/>
      <c r="W276" s="20"/>
      <c r="X276" s="20"/>
    </row>
    <row r="277">
      <c r="A277" s="20"/>
      <c r="B277" s="20"/>
      <c r="C277" s="20"/>
      <c r="D277" s="70"/>
      <c r="E277" s="70"/>
      <c r="F277" s="70"/>
      <c r="G277" s="20"/>
      <c r="H277" s="20"/>
      <c r="I277" s="70"/>
      <c r="J277" s="70"/>
      <c r="K277" s="70"/>
      <c r="L277" s="70"/>
      <c r="M277" s="20"/>
      <c r="N277" s="20"/>
      <c r="O277" s="20"/>
      <c r="P277" s="20"/>
      <c r="Q277" s="20"/>
      <c r="R277" s="20"/>
      <c r="S277" s="20"/>
      <c r="T277" s="20"/>
      <c r="U277" s="20"/>
      <c r="V277" s="20"/>
      <c r="W277" s="20"/>
      <c r="X277" s="20"/>
    </row>
    <row r="278">
      <c r="A278" s="20"/>
      <c r="B278" s="20"/>
      <c r="C278" s="20"/>
      <c r="D278" s="70"/>
      <c r="E278" s="70"/>
      <c r="F278" s="70"/>
      <c r="G278" s="20"/>
      <c r="H278" s="20"/>
      <c r="I278" s="70"/>
      <c r="J278" s="70"/>
      <c r="K278" s="70"/>
      <c r="L278" s="70"/>
      <c r="M278" s="20"/>
      <c r="N278" s="20"/>
      <c r="O278" s="20"/>
      <c r="P278" s="20"/>
      <c r="Q278" s="20"/>
      <c r="R278" s="20"/>
      <c r="S278" s="20"/>
      <c r="T278" s="20"/>
      <c r="U278" s="20"/>
      <c r="V278" s="20"/>
      <c r="W278" s="20"/>
      <c r="X278" s="20"/>
    </row>
    <row r="279">
      <c r="A279" s="20"/>
      <c r="B279" s="20"/>
      <c r="C279" s="20"/>
      <c r="D279" s="70"/>
      <c r="E279" s="70"/>
      <c r="F279" s="70"/>
      <c r="G279" s="20"/>
      <c r="H279" s="20"/>
      <c r="I279" s="70"/>
      <c r="J279" s="70"/>
      <c r="K279" s="70"/>
      <c r="L279" s="70"/>
      <c r="M279" s="20"/>
      <c r="N279" s="20"/>
      <c r="O279" s="20"/>
      <c r="P279" s="20"/>
      <c r="Q279" s="20"/>
      <c r="R279" s="20"/>
      <c r="S279" s="20"/>
      <c r="T279" s="20"/>
      <c r="U279" s="20"/>
      <c r="V279" s="20"/>
      <c r="W279" s="20"/>
      <c r="X279" s="20"/>
    </row>
    <row r="280">
      <c r="A280" s="20"/>
      <c r="B280" s="20"/>
      <c r="C280" s="20"/>
      <c r="D280" s="70"/>
      <c r="E280" s="70"/>
      <c r="F280" s="70"/>
      <c r="G280" s="20"/>
      <c r="H280" s="20"/>
      <c r="I280" s="70"/>
      <c r="J280" s="70"/>
      <c r="K280" s="70"/>
      <c r="L280" s="70"/>
      <c r="M280" s="20"/>
      <c r="N280" s="20"/>
      <c r="O280" s="20"/>
      <c r="P280" s="20"/>
      <c r="Q280" s="20"/>
      <c r="R280" s="20"/>
      <c r="S280" s="20"/>
      <c r="T280" s="20"/>
      <c r="U280" s="20"/>
      <c r="V280" s="20"/>
      <c r="W280" s="20"/>
      <c r="X280" s="20"/>
    </row>
    <row r="281">
      <c r="A281" s="20"/>
      <c r="B281" s="20"/>
      <c r="C281" s="20"/>
      <c r="D281" s="70"/>
      <c r="E281" s="70"/>
      <c r="F281" s="70"/>
      <c r="G281" s="20"/>
      <c r="H281" s="20"/>
      <c r="I281" s="70"/>
      <c r="J281" s="70"/>
      <c r="K281" s="70"/>
      <c r="L281" s="70"/>
      <c r="M281" s="20"/>
      <c r="N281" s="20"/>
      <c r="O281" s="20"/>
      <c r="P281" s="20"/>
      <c r="Q281" s="20"/>
      <c r="R281" s="20"/>
      <c r="S281" s="20"/>
      <c r="T281" s="20"/>
      <c r="U281" s="20"/>
      <c r="V281" s="20"/>
      <c r="W281" s="20"/>
      <c r="X281" s="20"/>
    </row>
    <row r="282">
      <c r="A282" s="20"/>
      <c r="B282" s="20"/>
      <c r="C282" s="20"/>
      <c r="D282" s="70"/>
      <c r="E282" s="70"/>
      <c r="F282" s="70"/>
      <c r="G282" s="20"/>
      <c r="H282" s="20"/>
      <c r="I282" s="70"/>
      <c r="J282" s="70"/>
      <c r="K282" s="70"/>
      <c r="L282" s="70"/>
      <c r="M282" s="20"/>
      <c r="N282" s="20"/>
      <c r="O282" s="20"/>
      <c r="P282" s="20"/>
      <c r="Q282" s="20"/>
      <c r="R282" s="20"/>
      <c r="S282" s="20"/>
      <c r="T282" s="20"/>
      <c r="U282" s="20"/>
      <c r="V282" s="20"/>
      <c r="W282" s="20"/>
      <c r="X282" s="20"/>
    </row>
    <row r="283">
      <c r="A283" s="20"/>
      <c r="B283" s="20"/>
      <c r="C283" s="20"/>
      <c r="D283" s="70"/>
      <c r="E283" s="70"/>
      <c r="F283" s="70"/>
      <c r="G283" s="20"/>
      <c r="H283" s="20"/>
      <c r="I283" s="70"/>
      <c r="J283" s="70"/>
      <c r="K283" s="70"/>
      <c r="L283" s="70"/>
      <c r="M283" s="20"/>
      <c r="N283" s="20"/>
      <c r="O283" s="20"/>
      <c r="P283" s="20"/>
      <c r="Q283" s="20"/>
      <c r="R283" s="20"/>
      <c r="S283" s="20"/>
      <c r="T283" s="20"/>
      <c r="U283" s="20"/>
      <c r="V283" s="20"/>
      <c r="W283" s="20"/>
      <c r="X283" s="20"/>
    </row>
    <row r="284">
      <c r="A284" s="20"/>
      <c r="B284" s="20"/>
      <c r="C284" s="20"/>
      <c r="D284" s="70"/>
      <c r="E284" s="70"/>
      <c r="F284" s="70"/>
      <c r="G284" s="20"/>
      <c r="H284" s="20"/>
      <c r="I284" s="70"/>
      <c r="J284" s="70"/>
      <c r="K284" s="70"/>
      <c r="L284" s="70"/>
      <c r="M284" s="20"/>
      <c r="N284" s="20"/>
      <c r="O284" s="20"/>
      <c r="P284" s="20"/>
      <c r="Q284" s="20"/>
      <c r="R284" s="20"/>
      <c r="S284" s="20"/>
      <c r="T284" s="20"/>
      <c r="U284" s="20"/>
      <c r="V284" s="20"/>
      <c r="W284" s="20"/>
      <c r="X284" s="20"/>
    </row>
    <row r="285">
      <c r="A285" s="20"/>
      <c r="B285" s="20"/>
      <c r="C285" s="20"/>
      <c r="D285" s="70"/>
      <c r="E285" s="70"/>
      <c r="F285" s="70"/>
      <c r="G285" s="20"/>
      <c r="H285" s="20"/>
      <c r="I285" s="70"/>
      <c r="J285" s="70"/>
      <c r="K285" s="70"/>
      <c r="L285" s="70"/>
      <c r="M285" s="20"/>
      <c r="N285" s="20"/>
      <c r="O285" s="20"/>
      <c r="P285" s="20"/>
      <c r="Q285" s="20"/>
      <c r="R285" s="20"/>
      <c r="S285" s="20"/>
      <c r="T285" s="20"/>
      <c r="U285" s="20"/>
      <c r="V285" s="20"/>
      <c r="W285" s="20"/>
      <c r="X285" s="20"/>
    </row>
    <row r="286">
      <c r="A286" s="20"/>
      <c r="B286" s="20"/>
      <c r="C286" s="20"/>
      <c r="D286" s="70"/>
      <c r="E286" s="70"/>
      <c r="F286" s="70"/>
      <c r="G286" s="20"/>
      <c r="H286" s="20"/>
      <c r="I286" s="70"/>
      <c r="J286" s="70"/>
      <c r="K286" s="70"/>
      <c r="L286" s="70"/>
      <c r="M286" s="20"/>
      <c r="N286" s="20"/>
      <c r="O286" s="20"/>
      <c r="P286" s="20"/>
      <c r="Q286" s="20"/>
      <c r="R286" s="20"/>
      <c r="S286" s="20"/>
      <c r="T286" s="20"/>
      <c r="U286" s="20"/>
      <c r="V286" s="20"/>
      <c r="W286" s="20"/>
      <c r="X286" s="20"/>
    </row>
    <row r="287">
      <c r="A287" s="20"/>
      <c r="B287" s="20"/>
      <c r="C287" s="20"/>
      <c r="D287" s="70"/>
      <c r="E287" s="70"/>
      <c r="F287" s="70"/>
      <c r="G287" s="20"/>
      <c r="H287" s="20"/>
      <c r="I287" s="70"/>
      <c r="J287" s="70"/>
      <c r="K287" s="70"/>
      <c r="L287" s="70"/>
      <c r="M287" s="20"/>
      <c r="N287" s="20"/>
      <c r="O287" s="20"/>
      <c r="P287" s="20"/>
      <c r="Q287" s="20"/>
      <c r="R287" s="20"/>
      <c r="S287" s="20"/>
      <c r="T287" s="20"/>
      <c r="U287" s="20"/>
      <c r="V287" s="20"/>
      <c r="W287" s="20"/>
      <c r="X287" s="20"/>
    </row>
    <row r="288">
      <c r="A288" s="20"/>
      <c r="B288" s="20"/>
      <c r="C288" s="20"/>
      <c r="D288" s="70"/>
      <c r="E288" s="70"/>
      <c r="F288" s="70"/>
      <c r="G288" s="20"/>
      <c r="H288" s="20"/>
      <c r="I288" s="70"/>
      <c r="J288" s="70"/>
      <c r="K288" s="70"/>
      <c r="L288" s="70"/>
      <c r="M288" s="20"/>
      <c r="N288" s="20"/>
      <c r="O288" s="20"/>
      <c r="P288" s="20"/>
      <c r="Q288" s="20"/>
      <c r="R288" s="20"/>
      <c r="S288" s="20"/>
      <c r="T288" s="20"/>
      <c r="U288" s="20"/>
      <c r="V288" s="20"/>
      <c r="W288" s="20"/>
      <c r="X288" s="20"/>
    </row>
    <row r="289">
      <c r="A289" s="20"/>
      <c r="B289" s="20"/>
      <c r="C289" s="20"/>
      <c r="D289" s="70"/>
      <c r="E289" s="70"/>
      <c r="F289" s="70"/>
      <c r="G289" s="20"/>
      <c r="H289" s="20"/>
      <c r="I289" s="70"/>
      <c r="J289" s="70"/>
      <c r="K289" s="70"/>
      <c r="L289" s="70"/>
      <c r="M289" s="20"/>
      <c r="N289" s="20"/>
      <c r="O289" s="20"/>
      <c r="P289" s="20"/>
      <c r="Q289" s="20"/>
      <c r="R289" s="20"/>
      <c r="S289" s="20"/>
      <c r="T289" s="20"/>
      <c r="U289" s="20"/>
      <c r="V289" s="20"/>
      <c r="W289" s="20"/>
      <c r="X289" s="20"/>
    </row>
    <row r="290">
      <c r="A290" s="20"/>
      <c r="B290" s="20"/>
      <c r="C290" s="20"/>
      <c r="D290" s="70"/>
      <c r="E290" s="70"/>
      <c r="F290" s="70"/>
      <c r="G290" s="20"/>
      <c r="H290" s="20"/>
      <c r="I290" s="70"/>
      <c r="J290" s="70"/>
      <c r="K290" s="70"/>
      <c r="L290" s="70"/>
      <c r="M290" s="20"/>
      <c r="N290" s="20"/>
      <c r="O290" s="20"/>
      <c r="P290" s="20"/>
      <c r="Q290" s="20"/>
      <c r="R290" s="20"/>
      <c r="S290" s="20"/>
      <c r="T290" s="20"/>
      <c r="U290" s="20"/>
      <c r="V290" s="20"/>
      <c r="W290" s="20"/>
      <c r="X290" s="20"/>
    </row>
    <row r="291">
      <c r="A291" s="20"/>
      <c r="B291" s="20"/>
      <c r="C291" s="20"/>
      <c r="D291" s="70"/>
      <c r="E291" s="70"/>
      <c r="F291" s="70"/>
      <c r="G291" s="20"/>
      <c r="H291" s="20"/>
      <c r="I291" s="70"/>
      <c r="J291" s="70"/>
      <c r="K291" s="70"/>
      <c r="L291" s="70"/>
      <c r="M291" s="20"/>
      <c r="N291" s="20"/>
      <c r="O291" s="20"/>
      <c r="P291" s="20"/>
      <c r="Q291" s="20"/>
      <c r="R291" s="20"/>
      <c r="S291" s="20"/>
      <c r="T291" s="20"/>
      <c r="U291" s="20"/>
      <c r="V291" s="20"/>
      <c r="W291" s="20"/>
      <c r="X291" s="20"/>
    </row>
    <row r="292">
      <c r="A292" s="20"/>
      <c r="B292" s="20"/>
      <c r="C292" s="20"/>
      <c r="D292" s="70"/>
      <c r="E292" s="70"/>
      <c r="F292" s="70"/>
      <c r="G292" s="20"/>
      <c r="H292" s="20"/>
      <c r="I292" s="70"/>
      <c r="J292" s="70"/>
      <c r="K292" s="70"/>
      <c r="L292" s="70"/>
      <c r="M292" s="20"/>
      <c r="N292" s="20"/>
      <c r="O292" s="20"/>
      <c r="P292" s="20"/>
      <c r="Q292" s="20"/>
      <c r="R292" s="20"/>
      <c r="S292" s="20"/>
      <c r="T292" s="20"/>
      <c r="U292" s="20"/>
      <c r="V292" s="20"/>
      <c r="W292" s="20"/>
      <c r="X292" s="20"/>
    </row>
    <row r="293">
      <c r="A293" s="20"/>
      <c r="B293" s="20"/>
      <c r="C293" s="20"/>
      <c r="D293" s="70"/>
      <c r="E293" s="70"/>
      <c r="F293" s="70"/>
      <c r="G293" s="20"/>
      <c r="H293" s="20"/>
      <c r="I293" s="70"/>
      <c r="J293" s="70"/>
      <c r="K293" s="70"/>
      <c r="L293" s="70"/>
      <c r="M293" s="20"/>
      <c r="N293" s="20"/>
      <c r="O293" s="20"/>
      <c r="P293" s="20"/>
      <c r="Q293" s="20"/>
      <c r="R293" s="20"/>
      <c r="S293" s="20"/>
      <c r="T293" s="20"/>
      <c r="U293" s="20"/>
      <c r="V293" s="20"/>
      <c r="W293" s="20"/>
      <c r="X293" s="20"/>
    </row>
    <row r="294">
      <c r="A294" s="20"/>
      <c r="B294" s="20"/>
      <c r="C294" s="20"/>
      <c r="D294" s="70"/>
      <c r="E294" s="70"/>
      <c r="F294" s="70"/>
      <c r="G294" s="20"/>
      <c r="H294" s="20"/>
      <c r="I294" s="70"/>
      <c r="J294" s="70"/>
      <c r="K294" s="70"/>
      <c r="L294" s="70"/>
      <c r="M294" s="20"/>
      <c r="N294" s="20"/>
      <c r="O294" s="20"/>
      <c r="P294" s="20"/>
      <c r="Q294" s="20"/>
      <c r="R294" s="20"/>
      <c r="S294" s="20"/>
      <c r="T294" s="20"/>
      <c r="U294" s="20"/>
      <c r="V294" s="20"/>
      <c r="W294" s="20"/>
      <c r="X294" s="20"/>
    </row>
    <row r="295">
      <c r="A295" s="20"/>
      <c r="B295" s="20"/>
      <c r="C295" s="20"/>
      <c r="D295" s="70"/>
      <c r="E295" s="70"/>
      <c r="F295" s="70"/>
      <c r="G295" s="20"/>
      <c r="H295" s="20"/>
      <c r="I295" s="70"/>
      <c r="J295" s="70"/>
      <c r="K295" s="70"/>
      <c r="L295" s="70"/>
      <c r="M295" s="20"/>
      <c r="N295" s="20"/>
      <c r="O295" s="20"/>
      <c r="P295" s="20"/>
      <c r="Q295" s="20"/>
      <c r="R295" s="20"/>
      <c r="S295" s="20"/>
      <c r="T295" s="20"/>
      <c r="U295" s="20"/>
      <c r="V295" s="20"/>
      <c r="W295" s="20"/>
      <c r="X295" s="20"/>
    </row>
    <row r="296">
      <c r="A296" s="20"/>
      <c r="B296" s="20"/>
      <c r="C296" s="20"/>
      <c r="D296" s="70"/>
      <c r="E296" s="70"/>
      <c r="F296" s="70"/>
      <c r="G296" s="20"/>
      <c r="H296" s="20"/>
      <c r="I296" s="70"/>
      <c r="J296" s="70"/>
      <c r="K296" s="70"/>
      <c r="L296" s="70"/>
      <c r="M296" s="20"/>
      <c r="N296" s="20"/>
      <c r="O296" s="20"/>
      <c r="P296" s="20"/>
      <c r="Q296" s="20"/>
      <c r="R296" s="20"/>
      <c r="S296" s="20"/>
      <c r="T296" s="20"/>
      <c r="U296" s="20"/>
      <c r="V296" s="20"/>
      <c r="W296" s="20"/>
      <c r="X296" s="20"/>
    </row>
    <row r="297">
      <c r="A297" s="20"/>
      <c r="B297" s="20"/>
      <c r="C297" s="20"/>
      <c r="D297" s="70"/>
      <c r="E297" s="70"/>
      <c r="F297" s="70"/>
      <c r="G297" s="20"/>
      <c r="H297" s="20"/>
      <c r="I297" s="70"/>
      <c r="J297" s="70"/>
      <c r="K297" s="70"/>
      <c r="L297" s="70"/>
      <c r="M297" s="20"/>
      <c r="N297" s="20"/>
      <c r="O297" s="20"/>
      <c r="P297" s="20"/>
      <c r="Q297" s="20"/>
      <c r="R297" s="20"/>
      <c r="S297" s="20"/>
      <c r="T297" s="20"/>
      <c r="U297" s="20"/>
      <c r="V297" s="20"/>
      <c r="W297" s="20"/>
      <c r="X297" s="20"/>
    </row>
    <row r="298">
      <c r="A298" s="20"/>
      <c r="B298" s="20"/>
      <c r="C298" s="20"/>
      <c r="D298" s="70"/>
      <c r="E298" s="70"/>
      <c r="F298" s="70"/>
      <c r="G298" s="20"/>
      <c r="H298" s="20"/>
      <c r="I298" s="70"/>
      <c r="J298" s="70"/>
      <c r="K298" s="70"/>
      <c r="L298" s="70"/>
      <c r="M298" s="20"/>
      <c r="N298" s="20"/>
      <c r="O298" s="20"/>
      <c r="P298" s="20"/>
      <c r="Q298" s="20"/>
      <c r="R298" s="20"/>
      <c r="S298" s="20"/>
      <c r="T298" s="20"/>
      <c r="U298" s="20"/>
      <c r="V298" s="20"/>
      <c r="W298" s="20"/>
      <c r="X298" s="20"/>
    </row>
    <row r="299">
      <c r="A299" s="20"/>
      <c r="B299" s="20"/>
      <c r="C299" s="20"/>
      <c r="D299" s="70"/>
      <c r="E299" s="70"/>
      <c r="F299" s="70"/>
      <c r="G299" s="20"/>
      <c r="H299" s="20"/>
      <c r="I299" s="70"/>
      <c r="J299" s="70"/>
      <c r="K299" s="70"/>
      <c r="L299" s="70"/>
      <c r="M299" s="20"/>
      <c r="N299" s="20"/>
      <c r="O299" s="20"/>
      <c r="P299" s="20"/>
      <c r="Q299" s="20"/>
      <c r="R299" s="20"/>
      <c r="S299" s="20"/>
      <c r="T299" s="20"/>
      <c r="U299" s="20"/>
      <c r="V299" s="20"/>
      <c r="W299" s="20"/>
      <c r="X299" s="20"/>
    </row>
    <row r="300">
      <c r="A300" s="20"/>
      <c r="B300" s="20"/>
      <c r="C300" s="20"/>
      <c r="D300" s="70"/>
      <c r="E300" s="70"/>
      <c r="F300" s="70"/>
      <c r="G300" s="20"/>
      <c r="H300" s="20"/>
      <c r="I300" s="70"/>
      <c r="J300" s="70"/>
      <c r="K300" s="70"/>
      <c r="L300" s="70"/>
      <c r="M300" s="20"/>
      <c r="N300" s="20"/>
      <c r="O300" s="20"/>
      <c r="P300" s="20"/>
      <c r="Q300" s="20"/>
      <c r="R300" s="20"/>
      <c r="S300" s="20"/>
      <c r="T300" s="20"/>
      <c r="U300" s="20"/>
      <c r="V300" s="20"/>
      <c r="W300" s="20"/>
      <c r="X300" s="20"/>
    </row>
    <row r="301">
      <c r="A301" s="20"/>
      <c r="B301" s="20"/>
      <c r="C301" s="20"/>
      <c r="D301" s="70"/>
      <c r="E301" s="70"/>
      <c r="F301" s="70"/>
      <c r="G301" s="20"/>
      <c r="H301" s="20"/>
      <c r="I301" s="70"/>
      <c r="J301" s="70"/>
      <c r="K301" s="70"/>
      <c r="L301" s="70"/>
      <c r="M301" s="20"/>
      <c r="N301" s="20"/>
      <c r="O301" s="20"/>
      <c r="P301" s="20"/>
      <c r="Q301" s="20"/>
      <c r="R301" s="20"/>
      <c r="S301" s="20"/>
      <c r="T301" s="20"/>
      <c r="U301" s="20"/>
      <c r="V301" s="20"/>
      <c r="W301" s="20"/>
      <c r="X301" s="20"/>
    </row>
    <row r="302">
      <c r="A302" s="20"/>
      <c r="B302" s="20"/>
      <c r="C302" s="20"/>
      <c r="D302" s="70"/>
      <c r="E302" s="70"/>
      <c r="F302" s="70"/>
      <c r="G302" s="20"/>
      <c r="H302" s="20"/>
      <c r="I302" s="70"/>
      <c r="J302" s="70"/>
      <c r="K302" s="70"/>
      <c r="L302" s="70"/>
      <c r="M302" s="20"/>
      <c r="N302" s="20"/>
      <c r="O302" s="20"/>
      <c r="P302" s="20"/>
      <c r="Q302" s="20"/>
      <c r="R302" s="20"/>
      <c r="S302" s="20"/>
      <c r="T302" s="20"/>
      <c r="U302" s="20"/>
      <c r="V302" s="20"/>
      <c r="W302" s="20"/>
      <c r="X302" s="20"/>
    </row>
    <row r="303">
      <c r="A303" s="20"/>
      <c r="B303" s="20"/>
      <c r="C303" s="20"/>
      <c r="D303" s="70"/>
      <c r="E303" s="70"/>
      <c r="F303" s="70"/>
      <c r="G303" s="20"/>
      <c r="H303" s="20"/>
      <c r="I303" s="70"/>
      <c r="J303" s="70"/>
      <c r="K303" s="70"/>
      <c r="L303" s="70"/>
      <c r="M303" s="20"/>
      <c r="N303" s="20"/>
      <c r="O303" s="20"/>
      <c r="P303" s="20"/>
      <c r="Q303" s="20"/>
      <c r="R303" s="20"/>
      <c r="S303" s="20"/>
      <c r="T303" s="20"/>
      <c r="U303" s="20"/>
      <c r="V303" s="20"/>
      <c r="W303" s="20"/>
      <c r="X303" s="20"/>
    </row>
    <row r="304">
      <c r="A304" s="20"/>
      <c r="B304" s="20"/>
      <c r="C304" s="20"/>
      <c r="D304" s="70"/>
      <c r="E304" s="70"/>
      <c r="F304" s="70"/>
      <c r="G304" s="20"/>
      <c r="H304" s="20"/>
      <c r="I304" s="70"/>
      <c r="J304" s="70"/>
      <c r="K304" s="70"/>
      <c r="L304" s="70"/>
      <c r="M304" s="20"/>
      <c r="N304" s="20"/>
      <c r="O304" s="20"/>
      <c r="P304" s="20"/>
      <c r="Q304" s="20"/>
      <c r="R304" s="20"/>
      <c r="S304" s="20"/>
      <c r="T304" s="20"/>
      <c r="U304" s="20"/>
      <c r="V304" s="20"/>
      <c r="W304" s="20"/>
      <c r="X304" s="20"/>
    </row>
    <row r="305">
      <c r="A305" s="20"/>
      <c r="B305" s="20"/>
      <c r="C305" s="20"/>
      <c r="D305" s="70"/>
      <c r="E305" s="70"/>
      <c r="F305" s="70"/>
      <c r="G305" s="20"/>
      <c r="H305" s="20"/>
      <c r="I305" s="70"/>
      <c r="J305" s="70"/>
      <c r="K305" s="70"/>
      <c r="L305" s="70"/>
      <c r="M305" s="20"/>
      <c r="N305" s="20"/>
      <c r="O305" s="20"/>
      <c r="P305" s="20"/>
      <c r="Q305" s="20"/>
      <c r="R305" s="20"/>
      <c r="S305" s="20"/>
      <c r="T305" s="20"/>
      <c r="U305" s="20"/>
      <c r="V305" s="20"/>
      <c r="W305" s="20"/>
      <c r="X305" s="20"/>
    </row>
    <row r="306">
      <c r="A306" s="20"/>
      <c r="B306" s="20"/>
      <c r="C306" s="20"/>
      <c r="D306" s="70"/>
      <c r="E306" s="70"/>
      <c r="F306" s="70"/>
      <c r="G306" s="20"/>
      <c r="H306" s="20"/>
      <c r="I306" s="70"/>
      <c r="J306" s="70"/>
      <c r="K306" s="70"/>
      <c r="L306" s="70"/>
      <c r="M306" s="20"/>
      <c r="N306" s="20"/>
      <c r="O306" s="20"/>
      <c r="P306" s="20"/>
      <c r="Q306" s="20"/>
      <c r="R306" s="20"/>
      <c r="S306" s="20"/>
      <c r="T306" s="20"/>
      <c r="U306" s="20"/>
      <c r="V306" s="20"/>
      <c r="W306" s="20"/>
      <c r="X306" s="20"/>
    </row>
    <row r="307">
      <c r="A307" s="20"/>
      <c r="B307" s="20"/>
      <c r="C307" s="20"/>
      <c r="D307" s="70"/>
      <c r="E307" s="70"/>
      <c r="F307" s="70"/>
      <c r="G307" s="20"/>
      <c r="H307" s="20"/>
      <c r="I307" s="70"/>
      <c r="J307" s="70"/>
      <c r="K307" s="70"/>
      <c r="L307" s="70"/>
      <c r="M307" s="20"/>
      <c r="N307" s="20"/>
      <c r="O307" s="20"/>
      <c r="P307" s="20"/>
      <c r="Q307" s="20"/>
      <c r="R307" s="20"/>
      <c r="S307" s="20"/>
      <c r="T307" s="20"/>
      <c r="U307" s="20"/>
      <c r="V307" s="20"/>
      <c r="W307" s="20"/>
      <c r="X307" s="20"/>
    </row>
    <row r="308">
      <c r="A308" s="20"/>
      <c r="B308" s="20"/>
      <c r="C308" s="20"/>
      <c r="D308" s="70"/>
      <c r="E308" s="70"/>
      <c r="F308" s="70"/>
      <c r="G308" s="20"/>
      <c r="H308" s="20"/>
      <c r="I308" s="70"/>
      <c r="J308" s="70"/>
      <c r="K308" s="70"/>
      <c r="L308" s="70"/>
      <c r="M308" s="20"/>
      <c r="N308" s="20"/>
      <c r="O308" s="20"/>
      <c r="P308" s="20"/>
      <c r="Q308" s="20"/>
      <c r="R308" s="20"/>
      <c r="S308" s="20"/>
      <c r="T308" s="20"/>
      <c r="U308" s="20"/>
      <c r="V308" s="20"/>
      <c r="W308" s="20"/>
      <c r="X308" s="20"/>
    </row>
    <row r="309">
      <c r="A309" s="20"/>
      <c r="B309" s="20"/>
      <c r="C309" s="20"/>
      <c r="D309" s="70"/>
      <c r="E309" s="70"/>
      <c r="F309" s="70"/>
      <c r="G309" s="20"/>
      <c r="H309" s="20"/>
      <c r="I309" s="70"/>
      <c r="J309" s="70"/>
      <c r="K309" s="70"/>
      <c r="L309" s="70"/>
      <c r="M309" s="20"/>
      <c r="N309" s="20"/>
      <c r="O309" s="20"/>
      <c r="P309" s="20"/>
      <c r="Q309" s="20"/>
      <c r="R309" s="20"/>
      <c r="S309" s="20"/>
      <c r="T309" s="20"/>
      <c r="U309" s="20"/>
      <c r="V309" s="20"/>
      <c r="W309" s="20"/>
      <c r="X309" s="20"/>
    </row>
    <row r="310">
      <c r="A310" s="20"/>
      <c r="B310" s="20"/>
      <c r="C310" s="20"/>
      <c r="D310" s="70"/>
      <c r="E310" s="70"/>
      <c r="F310" s="70"/>
      <c r="G310" s="20"/>
      <c r="H310" s="20"/>
      <c r="I310" s="70"/>
      <c r="J310" s="70"/>
      <c r="K310" s="70"/>
      <c r="L310" s="70"/>
      <c r="M310" s="20"/>
      <c r="N310" s="20"/>
      <c r="O310" s="20"/>
      <c r="P310" s="20"/>
      <c r="Q310" s="20"/>
      <c r="R310" s="20"/>
      <c r="S310" s="20"/>
      <c r="T310" s="20"/>
      <c r="U310" s="20"/>
      <c r="V310" s="20"/>
      <c r="W310" s="20"/>
      <c r="X310" s="20"/>
    </row>
    <row r="311">
      <c r="A311" s="20"/>
      <c r="B311" s="20"/>
      <c r="C311" s="20"/>
      <c r="D311" s="70"/>
      <c r="E311" s="70"/>
      <c r="F311" s="70"/>
      <c r="G311" s="20"/>
      <c r="H311" s="20"/>
      <c r="I311" s="70"/>
      <c r="J311" s="70"/>
      <c r="K311" s="70"/>
      <c r="L311" s="70"/>
      <c r="M311" s="20"/>
      <c r="N311" s="20"/>
      <c r="O311" s="20"/>
      <c r="P311" s="20"/>
      <c r="Q311" s="20"/>
      <c r="R311" s="20"/>
      <c r="S311" s="20"/>
      <c r="T311" s="20"/>
      <c r="U311" s="20"/>
      <c r="V311" s="20"/>
      <c r="W311" s="20"/>
      <c r="X311" s="20"/>
    </row>
    <row r="312">
      <c r="A312" s="20"/>
      <c r="B312" s="20"/>
      <c r="C312" s="20"/>
      <c r="D312" s="70"/>
      <c r="E312" s="70"/>
      <c r="F312" s="70"/>
      <c r="G312" s="20"/>
      <c r="H312" s="20"/>
      <c r="I312" s="70"/>
      <c r="J312" s="70"/>
      <c r="K312" s="70"/>
      <c r="L312" s="70"/>
      <c r="M312" s="20"/>
      <c r="N312" s="20"/>
      <c r="O312" s="20"/>
      <c r="P312" s="20"/>
      <c r="Q312" s="20"/>
      <c r="R312" s="20"/>
      <c r="S312" s="20"/>
      <c r="T312" s="20"/>
      <c r="U312" s="20"/>
      <c r="V312" s="20"/>
      <c r="W312" s="20"/>
      <c r="X312" s="20"/>
    </row>
    <row r="313">
      <c r="A313" s="20"/>
      <c r="B313" s="20"/>
      <c r="C313" s="20"/>
      <c r="D313" s="70"/>
      <c r="E313" s="70"/>
      <c r="F313" s="70"/>
      <c r="G313" s="20"/>
      <c r="H313" s="20"/>
      <c r="I313" s="70"/>
      <c r="J313" s="70"/>
      <c r="K313" s="70"/>
      <c r="L313" s="70"/>
      <c r="M313" s="20"/>
      <c r="N313" s="20"/>
      <c r="O313" s="20"/>
      <c r="P313" s="20"/>
      <c r="Q313" s="20"/>
      <c r="R313" s="20"/>
      <c r="S313" s="20"/>
      <c r="T313" s="20"/>
      <c r="U313" s="20"/>
      <c r="V313" s="20"/>
      <c r="W313" s="20"/>
      <c r="X313" s="20"/>
    </row>
    <row r="314">
      <c r="A314" s="20"/>
      <c r="B314" s="20"/>
      <c r="C314" s="20"/>
      <c r="D314" s="70"/>
      <c r="E314" s="70"/>
      <c r="F314" s="70"/>
      <c r="G314" s="20"/>
      <c r="H314" s="20"/>
      <c r="I314" s="70"/>
      <c r="J314" s="70"/>
      <c r="K314" s="70"/>
      <c r="L314" s="70"/>
      <c r="M314" s="20"/>
      <c r="N314" s="20"/>
      <c r="O314" s="20"/>
      <c r="P314" s="20"/>
      <c r="Q314" s="20"/>
      <c r="R314" s="20"/>
      <c r="S314" s="20"/>
      <c r="T314" s="20"/>
      <c r="U314" s="20"/>
      <c r="V314" s="20"/>
      <c r="W314" s="20"/>
      <c r="X314" s="20"/>
    </row>
    <row r="315">
      <c r="A315" s="20"/>
      <c r="B315" s="20"/>
      <c r="C315" s="20"/>
      <c r="D315" s="70"/>
      <c r="E315" s="70"/>
      <c r="F315" s="70"/>
      <c r="G315" s="20"/>
      <c r="H315" s="20"/>
      <c r="I315" s="70"/>
      <c r="J315" s="70"/>
      <c r="K315" s="70"/>
      <c r="L315" s="70"/>
      <c r="M315" s="20"/>
      <c r="N315" s="20"/>
      <c r="O315" s="20"/>
      <c r="P315" s="20"/>
      <c r="Q315" s="20"/>
      <c r="R315" s="20"/>
      <c r="S315" s="20"/>
      <c r="T315" s="20"/>
      <c r="U315" s="20"/>
      <c r="V315" s="20"/>
      <c r="W315" s="20"/>
      <c r="X315" s="20"/>
    </row>
    <row r="316">
      <c r="A316" s="20"/>
      <c r="B316" s="20"/>
      <c r="C316" s="20"/>
      <c r="D316" s="70"/>
      <c r="E316" s="70"/>
      <c r="F316" s="70"/>
      <c r="G316" s="20"/>
      <c r="H316" s="20"/>
      <c r="I316" s="70"/>
      <c r="J316" s="70"/>
      <c r="K316" s="70"/>
      <c r="L316" s="70"/>
      <c r="M316" s="20"/>
      <c r="N316" s="20"/>
      <c r="O316" s="20"/>
      <c r="P316" s="20"/>
      <c r="Q316" s="20"/>
      <c r="R316" s="20"/>
      <c r="S316" s="20"/>
      <c r="T316" s="20"/>
      <c r="U316" s="20"/>
      <c r="V316" s="20"/>
      <c r="W316" s="20"/>
      <c r="X316" s="20"/>
    </row>
    <row r="317">
      <c r="A317" s="20"/>
      <c r="B317" s="20"/>
      <c r="C317" s="20"/>
      <c r="D317" s="70"/>
      <c r="E317" s="70"/>
      <c r="F317" s="70"/>
      <c r="G317" s="20"/>
      <c r="H317" s="20"/>
      <c r="I317" s="70"/>
      <c r="J317" s="70"/>
      <c r="K317" s="70"/>
      <c r="L317" s="70"/>
      <c r="M317" s="20"/>
      <c r="N317" s="20"/>
      <c r="O317" s="20"/>
      <c r="P317" s="20"/>
      <c r="Q317" s="20"/>
      <c r="R317" s="20"/>
      <c r="S317" s="20"/>
      <c r="T317" s="20"/>
      <c r="U317" s="20"/>
      <c r="V317" s="20"/>
      <c r="W317" s="20"/>
      <c r="X317" s="20"/>
    </row>
    <row r="318">
      <c r="A318" s="20"/>
      <c r="B318" s="20"/>
      <c r="C318" s="20"/>
      <c r="D318" s="70"/>
      <c r="E318" s="70"/>
      <c r="F318" s="70"/>
      <c r="G318" s="20"/>
      <c r="H318" s="20"/>
      <c r="I318" s="70"/>
      <c r="J318" s="70"/>
      <c r="K318" s="70"/>
      <c r="L318" s="70"/>
      <c r="M318" s="20"/>
      <c r="N318" s="20"/>
      <c r="O318" s="20"/>
      <c r="P318" s="20"/>
      <c r="Q318" s="20"/>
      <c r="R318" s="20"/>
      <c r="S318" s="20"/>
      <c r="T318" s="20"/>
      <c r="U318" s="20"/>
      <c r="V318" s="20"/>
      <c r="W318" s="20"/>
      <c r="X318" s="20"/>
    </row>
    <row r="319">
      <c r="A319" s="20"/>
      <c r="B319" s="20"/>
      <c r="C319" s="20"/>
      <c r="D319" s="70"/>
      <c r="E319" s="70"/>
      <c r="F319" s="70"/>
      <c r="G319" s="20"/>
      <c r="H319" s="20"/>
      <c r="I319" s="70"/>
      <c r="J319" s="70"/>
      <c r="K319" s="70"/>
      <c r="L319" s="70"/>
      <c r="M319" s="20"/>
      <c r="N319" s="20"/>
      <c r="O319" s="20"/>
      <c r="P319" s="20"/>
      <c r="Q319" s="20"/>
      <c r="R319" s="20"/>
      <c r="S319" s="20"/>
      <c r="T319" s="20"/>
      <c r="U319" s="20"/>
      <c r="V319" s="20"/>
      <c r="W319" s="20"/>
      <c r="X319" s="20"/>
    </row>
    <row r="320">
      <c r="A320" s="20"/>
      <c r="B320" s="20"/>
      <c r="C320" s="20"/>
      <c r="D320" s="70"/>
      <c r="E320" s="70"/>
      <c r="F320" s="70"/>
      <c r="G320" s="20"/>
      <c r="H320" s="20"/>
      <c r="I320" s="70"/>
      <c r="J320" s="70"/>
      <c r="K320" s="70"/>
      <c r="L320" s="70"/>
      <c r="M320" s="20"/>
      <c r="N320" s="20"/>
      <c r="O320" s="20"/>
      <c r="P320" s="20"/>
      <c r="Q320" s="20"/>
      <c r="R320" s="20"/>
      <c r="S320" s="20"/>
      <c r="T320" s="20"/>
      <c r="U320" s="20"/>
      <c r="V320" s="20"/>
      <c r="W320" s="20"/>
      <c r="X320" s="20"/>
    </row>
    <row r="321">
      <c r="A321" s="20"/>
      <c r="B321" s="20"/>
      <c r="C321" s="20"/>
      <c r="D321" s="70"/>
      <c r="E321" s="70"/>
      <c r="F321" s="70"/>
      <c r="G321" s="20"/>
      <c r="H321" s="20"/>
      <c r="I321" s="70"/>
      <c r="J321" s="70"/>
      <c r="K321" s="70"/>
      <c r="L321" s="70"/>
      <c r="M321" s="20"/>
      <c r="N321" s="20"/>
      <c r="O321" s="20"/>
      <c r="P321" s="20"/>
      <c r="Q321" s="20"/>
      <c r="R321" s="20"/>
      <c r="S321" s="20"/>
      <c r="T321" s="20"/>
      <c r="U321" s="20"/>
      <c r="V321" s="20"/>
      <c r="W321" s="20"/>
      <c r="X321" s="20"/>
    </row>
    <row r="322">
      <c r="A322" s="20"/>
      <c r="B322" s="20"/>
      <c r="C322" s="20"/>
      <c r="D322" s="70"/>
      <c r="E322" s="70"/>
      <c r="F322" s="70"/>
      <c r="G322" s="20"/>
      <c r="H322" s="20"/>
      <c r="I322" s="70"/>
      <c r="J322" s="70"/>
      <c r="K322" s="70"/>
      <c r="L322" s="70"/>
      <c r="M322" s="20"/>
      <c r="N322" s="20"/>
      <c r="O322" s="20"/>
      <c r="P322" s="20"/>
      <c r="Q322" s="20"/>
      <c r="R322" s="20"/>
      <c r="S322" s="20"/>
      <c r="T322" s="20"/>
      <c r="U322" s="20"/>
      <c r="V322" s="20"/>
      <c r="W322" s="20"/>
      <c r="X322" s="20"/>
    </row>
    <row r="323">
      <c r="A323" s="20"/>
      <c r="B323" s="20"/>
      <c r="C323" s="20"/>
      <c r="D323" s="70"/>
      <c r="E323" s="70"/>
      <c r="F323" s="70"/>
      <c r="G323" s="20"/>
      <c r="H323" s="20"/>
      <c r="I323" s="70"/>
      <c r="J323" s="70"/>
      <c r="K323" s="70"/>
      <c r="L323" s="70"/>
      <c r="M323" s="20"/>
      <c r="N323" s="20"/>
      <c r="O323" s="20"/>
      <c r="P323" s="20"/>
      <c r="Q323" s="20"/>
      <c r="R323" s="20"/>
      <c r="S323" s="20"/>
      <c r="T323" s="20"/>
      <c r="U323" s="20"/>
      <c r="V323" s="20"/>
      <c r="W323" s="20"/>
      <c r="X323" s="20"/>
    </row>
    <row r="324">
      <c r="A324" s="20"/>
      <c r="B324" s="20"/>
      <c r="C324" s="20"/>
      <c r="D324" s="70"/>
      <c r="E324" s="70"/>
      <c r="F324" s="70"/>
      <c r="G324" s="20"/>
      <c r="H324" s="20"/>
      <c r="I324" s="70"/>
      <c r="J324" s="70"/>
      <c r="K324" s="70"/>
      <c r="L324" s="70"/>
      <c r="M324" s="20"/>
      <c r="N324" s="20"/>
      <c r="O324" s="20"/>
      <c r="P324" s="20"/>
      <c r="Q324" s="20"/>
      <c r="R324" s="20"/>
      <c r="S324" s="20"/>
      <c r="T324" s="20"/>
      <c r="U324" s="20"/>
      <c r="V324" s="20"/>
      <c r="W324" s="20"/>
      <c r="X324" s="20"/>
    </row>
    <row r="325">
      <c r="A325" s="20"/>
      <c r="B325" s="20"/>
      <c r="C325" s="20"/>
      <c r="D325" s="70"/>
      <c r="E325" s="70"/>
      <c r="F325" s="70"/>
      <c r="G325" s="20"/>
      <c r="H325" s="20"/>
      <c r="I325" s="70"/>
      <c r="J325" s="70"/>
      <c r="K325" s="70"/>
      <c r="L325" s="70"/>
      <c r="M325" s="20"/>
      <c r="N325" s="20"/>
      <c r="O325" s="20"/>
      <c r="P325" s="20"/>
      <c r="Q325" s="20"/>
      <c r="R325" s="20"/>
      <c r="S325" s="20"/>
      <c r="T325" s="20"/>
      <c r="U325" s="20"/>
      <c r="V325" s="20"/>
      <c r="W325" s="20"/>
      <c r="X325" s="20"/>
    </row>
    <row r="326">
      <c r="A326" s="20"/>
      <c r="B326" s="20"/>
      <c r="C326" s="20"/>
      <c r="D326" s="70"/>
      <c r="E326" s="70"/>
      <c r="F326" s="70"/>
      <c r="G326" s="20"/>
      <c r="H326" s="20"/>
      <c r="I326" s="70"/>
      <c r="J326" s="70"/>
      <c r="K326" s="70"/>
      <c r="L326" s="70"/>
      <c r="M326" s="20"/>
      <c r="N326" s="20"/>
      <c r="O326" s="20"/>
      <c r="P326" s="20"/>
      <c r="Q326" s="20"/>
      <c r="R326" s="20"/>
      <c r="S326" s="20"/>
      <c r="T326" s="20"/>
      <c r="U326" s="20"/>
      <c r="V326" s="20"/>
      <c r="W326" s="20"/>
      <c r="X326" s="20"/>
    </row>
    <row r="327">
      <c r="A327" s="20"/>
      <c r="B327" s="20"/>
      <c r="C327" s="20"/>
      <c r="D327" s="70"/>
      <c r="E327" s="70"/>
      <c r="F327" s="70"/>
      <c r="G327" s="20"/>
      <c r="H327" s="20"/>
      <c r="I327" s="70"/>
      <c r="J327" s="70"/>
      <c r="K327" s="70"/>
      <c r="L327" s="70"/>
      <c r="M327" s="20"/>
      <c r="N327" s="20"/>
      <c r="O327" s="20"/>
      <c r="P327" s="20"/>
      <c r="Q327" s="20"/>
      <c r="R327" s="20"/>
      <c r="S327" s="20"/>
      <c r="T327" s="20"/>
      <c r="U327" s="20"/>
      <c r="V327" s="20"/>
      <c r="W327" s="20"/>
      <c r="X327" s="20"/>
    </row>
    <row r="328">
      <c r="A328" s="20"/>
      <c r="B328" s="20"/>
      <c r="C328" s="20"/>
      <c r="D328" s="70"/>
      <c r="E328" s="70"/>
      <c r="F328" s="70"/>
      <c r="G328" s="20"/>
      <c r="H328" s="20"/>
      <c r="I328" s="70"/>
      <c r="J328" s="70"/>
      <c r="K328" s="70"/>
      <c r="L328" s="70"/>
      <c r="M328" s="20"/>
      <c r="N328" s="20"/>
      <c r="O328" s="20"/>
      <c r="P328" s="20"/>
      <c r="Q328" s="20"/>
      <c r="R328" s="20"/>
      <c r="S328" s="20"/>
      <c r="T328" s="20"/>
      <c r="U328" s="20"/>
      <c r="V328" s="20"/>
      <c r="W328" s="20"/>
      <c r="X328" s="20"/>
    </row>
    <row r="329">
      <c r="A329" s="20"/>
      <c r="B329" s="20"/>
      <c r="C329" s="20"/>
      <c r="D329" s="70"/>
      <c r="E329" s="70"/>
      <c r="F329" s="70"/>
      <c r="G329" s="20"/>
      <c r="H329" s="20"/>
      <c r="I329" s="70"/>
      <c r="J329" s="70"/>
      <c r="K329" s="70"/>
      <c r="L329" s="70"/>
      <c r="M329" s="20"/>
      <c r="N329" s="20"/>
      <c r="O329" s="20"/>
      <c r="P329" s="20"/>
      <c r="Q329" s="20"/>
      <c r="R329" s="20"/>
      <c r="S329" s="20"/>
      <c r="T329" s="20"/>
      <c r="U329" s="20"/>
      <c r="V329" s="20"/>
      <c r="W329" s="20"/>
      <c r="X329" s="20"/>
    </row>
    <row r="330">
      <c r="A330" s="20"/>
      <c r="B330" s="20"/>
      <c r="C330" s="20"/>
      <c r="D330" s="70"/>
      <c r="E330" s="70"/>
      <c r="F330" s="70"/>
      <c r="G330" s="20"/>
      <c r="H330" s="20"/>
      <c r="I330" s="70"/>
      <c r="J330" s="70"/>
      <c r="K330" s="70"/>
      <c r="L330" s="70"/>
      <c r="M330" s="20"/>
      <c r="N330" s="20"/>
      <c r="O330" s="20"/>
      <c r="P330" s="20"/>
      <c r="Q330" s="20"/>
      <c r="R330" s="20"/>
      <c r="S330" s="20"/>
      <c r="T330" s="20"/>
      <c r="U330" s="20"/>
      <c r="V330" s="20"/>
      <c r="W330" s="20"/>
      <c r="X330" s="20"/>
    </row>
    <row r="331">
      <c r="A331" s="20"/>
      <c r="B331" s="20"/>
      <c r="C331" s="20"/>
      <c r="D331" s="70"/>
      <c r="E331" s="70"/>
      <c r="F331" s="70"/>
      <c r="G331" s="20"/>
      <c r="H331" s="20"/>
      <c r="I331" s="70"/>
      <c r="J331" s="70"/>
      <c r="K331" s="70"/>
      <c r="L331" s="70"/>
      <c r="M331" s="20"/>
      <c r="N331" s="20"/>
      <c r="O331" s="20"/>
      <c r="P331" s="20"/>
      <c r="Q331" s="20"/>
      <c r="R331" s="20"/>
      <c r="S331" s="20"/>
      <c r="T331" s="20"/>
      <c r="U331" s="20"/>
      <c r="V331" s="20"/>
      <c r="W331" s="20"/>
      <c r="X331" s="20"/>
    </row>
    <row r="332">
      <c r="A332" s="20"/>
      <c r="B332" s="20"/>
      <c r="C332" s="20"/>
      <c r="D332" s="70"/>
      <c r="E332" s="70"/>
      <c r="F332" s="70"/>
      <c r="G332" s="20"/>
      <c r="H332" s="20"/>
      <c r="I332" s="70"/>
      <c r="J332" s="70"/>
      <c r="K332" s="70"/>
      <c r="L332" s="70"/>
      <c r="M332" s="20"/>
      <c r="N332" s="20"/>
      <c r="O332" s="20"/>
      <c r="P332" s="20"/>
      <c r="Q332" s="20"/>
      <c r="R332" s="20"/>
      <c r="S332" s="20"/>
      <c r="T332" s="20"/>
      <c r="U332" s="20"/>
      <c r="V332" s="20"/>
      <c r="W332" s="20"/>
      <c r="X332" s="20"/>
    </row>
    <row r="333">
      <c r="A333" s="20"/>
      <c r="B333" s="20"/>
      <c r="C333" s="20"/>
      <c r="D333" s="70"/>
      <c r="E333" s="70"/>
      <c r="F333" s="70"/>
      <c r="G333" s="20"/>
      <c r="H333" s="20"/>
      <c r="I333" s="70"/>
      <c r="J333" s="70"/>
      <c r="K333" s="70"/>
      <c r="L333" s="70"/>
      <c r="M333" s="20"/>
      <c r="N333" s="20"/>
      <c r="O333" s="20"/>
      <c r="P333" s="20"/>
      <c r="Q333" s="20"/>
      <c r="R333" s="20"/>
      <c r="S333" s="20"/>
      <c r="T333" s="20"/>
      <c r="U333" s="20"/>
      <c r="V333" s="20"/>
      <c r="W333" s="20"/>
      <c r="X333" s="20"/>
    </row>
    <row r="334">
      <c r="A334" s="20"/>
      <c r="B334" s="20"/>
      <c r="C334" s="20"/>
      <c r="D334" s="70"/>
      <c r="E334" s="70"/>
      <c r="F334" s="70"/>
      <c r="G334" s="20"/>
      <c r="H334" s="20"/>
      <c r="I334" s="70"/>
      <c r="J334" s="70"/>
      <c r="K334" s="70"/>
      <c r="L334" s="70"/>
      <c r="M334" s="20"/>
      <c r="N334" s="20"/>
      <c r="O334" s="20"/>
      <c r="P334" s="20"/>
      <c r="Q334" s="20"/>
      <c r="R334" s="20"/>
      <c r="S334" s="20"/>
      <c r="T334" s="20"/>
      <c r="U334" s="20"/>
      <c r="V334" s="20"/>
      <c r="W334" s="20"/>
      <c r="X334" s="20"/>
    </row>
    <row r="335">
      <c r="A335" s="20"/>
      <c r="B335" s="20"/>
      <c r="C335" s="20"/>
      <c r="D335" s="70"/>
      <c r="E335" s="70"/>
      <c r="F335" s="70"/>
      <c r="G335" s="20"/>
      <c r="H335" s="20"/>
      <c r="I335" s="70"/>
      <c r="J335" s="70"/>
      <c r="K335" s="70"/>
      <c r="L335" s="70"/>
      <c r="M335" s="20"/>
      <c r="N335" s="20"/>
      <c r="O335" s="20"/>
      <c r="P335" s="20"/>
      <c r="Q335" s="20"/>
      <c r="R335" s="20"/>
      <c r="S335" s="20"/>
      <c r="T335" s="20"/>
      <c r="U335" s="20"/>
      <c r="V335" s="20"/>
      <c r="W335" s="20"/>
      <c r="X335" s="20"/>
    </row>
    <row r="336">
      <c r="A336" s="20"/>
      <c r="B336" s="20"/>
      <c r="C336" s="20"/>
      <c r="D336" s="70"/>
      <c r="E336" s="70"/>
      <c r="F336" s="70"/>
      <c r="G336" s="20"/>
      <c r="H336" s="20"/>
      <c r="I336" s="70"/>
      <c r="J336" s="70"/>
      <c r="K336" s="70"/>
      <c r="L336" s="70"/>
      <c r="M336" s="20"/>
      <c r="N336" s="20"/>
      <c r="O336" s="20"/>
      <c r="P336" s="20"/>
      <c r="Q336" s="20"/>
      <c r="R336" s="20"/>
      <c r="S336" s="20"/>
      <c r="T336" s="20"/>
      <c r="U336" s="20"/>
      <c r="V336" s="20"/>
      <c r="W336" s="20"/>
      <c r="X336" s="20"/>
    </row>
    <row r="337">
      <c r="A337" s="20"/>
      <c r="B337" s="20"/>
      <c r="C337" s="20"/>
      <c r="D337" s="70"/>
      <c r="E337" s="70"/>
      <c r="F337" s="70"/>
      <c r="G337" s="20"/>
      <c r="H337" s="20"/>
      <c r="I337" s="70"/>
      <c r="J337" s="70"/>
      <c r="K337" s="70"/>
      <c r="L337" s="70"/>
      <c r="M337" s="20"/>
      <c r="N337" s="20"/>
      <c r="O337" s="20"/>
      <c r="P337" s="20"/>
      <c r="Q337" s="20"/>
      <c r="R337" s="20"/>
      <c r="S337" s="20"/>
      <c r="T337" s="20"/>
      <c r="U337" s="20"/>
      <c r="V337" s="20"/>
      <c r="W337" s="20"/>
      <c r="X337" s="20"/>
    </row>
    <row r="338">
      <c r="A338" s="20"/>
      <c r="B338" s="20"/>
      <c r="C338" s="20"/>
      <c r="D338" s="70"/>
      <c r="E338" s="70"/>
      <c r="F338" s="70"/>
      <c r="G338" s="20"/>
      <c r="H338" s="20"/>
      <c r="I338" s="70"/>
      <c r="J338" s="70"/>
      <c r="K338" s="70"/>
      <c r="L338" s="70"/>
      <c r="M338" s="20"/>
      <c r="N338" s="20"/>
      <c r="O338" s="20"/>
      <c r="P338" s="20"/>
      <c r="Q338" s="20"/>
      <c r="R338" s="20"/>
      <c r="S338" s="20"/>
      <c r="T338" s="20"/>
      <c r="U338" s="20"/>
      <c r="V338" s="20"/>
      <c r="W338" s="20"/>
      <c r="X338" s="20"/>
    </row>
    <row r="339">
      <c r="A339" s="20"/>
      <c r="B339" s="20"/>
      <c r="C339" s="20"/>
      <c r="D339" s="70"/>
      <c r="E339" s="70"/>
      <c r="F339" s="70"/>
      <c r="G339" s="20"/>
      <c r="H339" s="20"/>
      <c r="I339" s="70"/>
      <c r="J339" s="70"/>
      <c r="K339" s="70"/>
      <c r="L339" s="70"/>
      <c r="M339" s="20"/>
      <c r="N339" s="20"/>
      <c r="O339" s="20"/>
      <c r="P339" s="20"/>
      <c r="Q339" s="20"/>
      <c r="R339" s="20"/>
      <c r="S339" s="20"/>
      <c r="T339" s="20"/>
      <c r="U339" s="20"/>
      <c r="V339" s="20"/>
      <c r="W339" s="20"/>
      <c r="X339" s="20"/>
    </row>
    <row r="340">
      <c r="A340" s="20"/>
      <c r="B340" s="20"/>
      <c r="C340" s="20"/>
      <c r="D340" s="70"/>
      <c r="E340" s="70"/>
      <c r="F340" s="70"/>
      <c r="G340" s="20"/>
      <c r="H340" s="20"/>
      <c r="I340" s="70"/>
      <c r="J340" s="70"/>
      <c r="K340" s="70"/>
      <c r="L340" s="70"/>
      <c r="M340" s="20"/>
      <c r="N340" s="20"/>
      <c r="O340" s="20"/>
      <c r="P340" s="20"/>
      <c r="Q340" s="20"/>
      <c r="R340" s="20"/>
      <c r="S340" s="20"/>
      <c r="T340" s="20"/>
      <c r="U340" s="20"/>
      <c r="V340" s="20"/>
      <c r="W340" s="20"/>
      <c r="X340" s="20"/>
    </row>
    <row r="341">
      <c r="A341" s="20"/>
      <c r="B341" s="20"/>
      <c r="C341" s="20"/>
      <c r="D341" s="70"/>
      <c r="E341" s="70"/>
      <c r="F341" s="70"/>
      <c r="G341" s="20"/>
      <c r="H341" s="20"/>
      <c r="I341" s="70"/>
      <c r="J341" s="70"/>
      <c r="K341" s="70"/>
      <c r="L341" s="70"/>
      <c r="M341" s="20"/>
      <c r="N341" s="20"/>
      <c r="O341" s="20"/>
      <c r="P341" s="20"/>
      <c r="Q341" s="20"/>
      <c r="R341" s="20"/>
      <c r="S341" s="20"/>
      <c r="T341" s="20"/>
      <c r="U341" s="20"/>
      <c r="V341" s="20"/>
      <c r="W341" s="20"/>
      <c r="X341" s="20"/>
    </row>
    <row r="342">
      <c r="A342" s="20"/>
      <c r="B342" s="20"/>
      <c r="C342" s="20"/>
      <c r="D342" s="70"/>
      <c r="E342" s="70"/>
      <c r="F342" s="70"/>
      <c r="G342" s="20"/>
      <c r="H342" s="20"/>
      <c r="I342" s="70"/>
      <c r="J342" s="70"/>
      <c r="K342" s="70"/>
      <c r="L342" s="70"/>
      <c r="M342" s="20"/>
      <c r="N342" s="20"/>
      <c r="O342" s="20"/>
      <c r="P342" s="20"/>
      <c r="Q342" s="20"/>
      <c r="R342" s="20"/>
      <c r="S342" s="20"/>
      <c r="T342" s="20"/>
      <c r="U342" s="20"/>
      <c r="V342" s="20"/>
      <c r="W342" s="20"/>
      <c r="X342" s="20"/>
    </row>
    <row r="343">
      <c r="A343" s="20"/>
      <c r="B343" s="20"/>
      <c r="C343" s="20"/>
      <c r="D343" s="70"/>
      <c r="E343" s="70"/>
      <c r="F343" s="70"/>
      <c r="G343" s="20"/>
      <c r="H343" s="20"/>
      <c r="I343" s="70"/>
      <c r="J343" s="70"/>
      <c r="K343" s="70"/>
      <c r="L343" s="70"/>
      <c r="M343" s="20"/>
      <c r="N343" s="20"/>
      <c r="O343" s="20"/>
      <c r="P343" s="20"/>
      <c r="Q343" s="20"/>
      <c r="R343" s="20"/>
      <c r="S343" s="20"/>
      <c r="T343" s="20"/>
      <c r="U343" s="20"/>
      <c r="V343" s="20"/>
      <c r="W343" s="20"/>
      <c r="X343" s="20"/>
    </row>
    <row r="344">
      <c r="A344" s="20"/>
      <c r="B344" s="20"/>
      <c r="C344" s="20"/>
      <c r="D344" s="70"/>
      <c r="E344" s="70"/>
      <c r="F344" s="70"/>
      <c r="G344" s="20"/>
      <c r="H344" s="20"/>
      <c r="I344" s="70"/>
      <c r="J344" s="70"/>
      <c r="K344" s="70"/>
      <c r="L344" s="70"/>
      <c r="M344" s="20"/>
      <c r="N344" s="20"/>
      <c r="O344" s="20"/>
      <c r="P344" s="20"/>
      <c r="Q344" s="20"/>
      <c r="R344" s="20"/>
      <c r="S344" s="20"/>
      <c r="T344" s="20"/>
      <c r="U344" s="20"/>
      <c r="V344" s="20"/>
      <c r="W344" s="20"/>
      <c r="X344" s="20"/>
    </row>
    <row r="345">
      <c r="A345" s="20"/>
      <c r="B345" s="20"/>
      <c r="C345" s="20"/>
      <c r="D345" s="70"/>
      <c r="E345" s="70"/>
      <c r="F345" s="70"/>
      <c r="G345" s="20"/>
      <c r="H345" s="20"/>
      <c r="I345" s="70"/>
      <c r="J345" s="70"/>
      <c r="K345" s="70"/>
      <c r="L345" s="70"/>
      <c r="M345" s="20"/>
      <c r="N345" s="20"/>
      <c r="O345" s="20"/>
      <c r="P345" s="20"/>
      <c r="Q345" s="20"/>
      <c r="R345" s="20"/>
      <c r="S345" s="20"/>
      <c r="T345" s="20"/>
      <c r="U345" s="20"/>
      <c r="V345" s="20"/>
      <c r="W345" s="20"/>
      <c r="X345" s="20"/>
    </row>
    <row r="346">
      <c r="A346" s="20"/>
      <c r="B346" s="20"/>
      <c r="C346" s="20"/>
      <c r="D346" s="70"/>
      <c r="E346" s="70"/>
      <c r="F346" s="70"/>
      <c r="G346" s="20"/>
      <c r="H346" s="20"/>
      <c r="I346" s="70"/>
      <c r="J346" s="70"/>
      <c r="K346" s="70"/>
      <c r="L346" s="70"/>
      <c r="M346" s="20"/>
      <c r="N346" s="20"/>
      <c r="O346" s="20"/>
      <c r="P346" s="20"/>
      <c r="Q346" s="20"/>
      <c r="R346" s="20"/>
      <c r="S346" s="20"/>
      <c r="T346" s="20"/>
      <c r="U346" s="20"/>
      <c r="V346" s="20"/>
      <c r="W346" s="20"/>
      <c r="X346" s="20"/>
    </row>
    <row r="347">
      <c r="A347" s="20"/>
      <c r="B347" s="20"/>
      <c r="C347" s="20"/>
      <c r="D347" s="70"/>
      <c r="E347" s="70"/>
      <c r="F347" s="70"/>
      <c r="G347" s="20"/>
      <c r="H347" s="20"/>
      <c r="I347" s="70"/>
      <c r="J347" s="70"/>
      <c r="K347" s="70"/>
      <c r="L347" s="70"/>
      <c r="M347" s="20"/>
      <c r="N347" s="20"/>
      <c r="O347" s="20"/>
      <c r="P347" s="20"/>
      <c r="Q347" s="20"/>
      <c r="R347" s="20"/>
      <c r="S347" s="20"/>
      <c r="T347" s="20"/>
      <c r="U347" s="20"/>
      <c r="V347" s="20"/>
      <c r="W347" s="20"/>
      <c r="X347" s="20"/>
    </row>
    <row r="348">
      <c r="A348" s="20"/>
      <c r="B348" s="20"/>
      <c r="C348" s="20"/>
      <c r="D348" s="70"/>
      <c r="E348" s="70"/>
      <c r="F348" s="70"/>
      <c r="G348" s="20"/>
      <c r="H348" s="20"/>
      <c r="I348" s="70"/>
      <c r="J348" s="70"/>
      <c r="K348" s="70"/>
      <c r="L348" s="70"/>
      <c r="M348" s="20"/>
      <c r="N348" s="20"/>
      <c r="O348" s="20"/>
      <c r="P348" s="20"/>
      <c r="Q348" s="20"/>
      <c r="R348" s="20"/>
      <c r="S348" s="20"/>
      <c r="T348" s="20"/>
      <c r="U348" s="20"/>
      <c r="V348" s="20"/>
      <c r="W348" s="20"/>
      <c r="X348" s="20"/>
    </row>
    <row r="349">
      <c r="A349" s="20"/>
      <c r="B349" s="20"/>
      <c r="C349" s="20"/>
      <c r="D349" s="70"/>
      <c r="E349" s="70"/>
      <c r="F349" s="70"/>
      <c r="G349" s="20"/>
      <c r="H349" s="20"/>
      <c r="I349" s="70"/>
      <c r="J349" s="70"/>
      <c r="K349" s="70"/>
      <c r="L349" s="70"/>
      <c r="M349" s="20"/>
      <c r="N349" s="20"/>
      <c r="O349" s="20"/>
      <c r="P349" s="20"/>
      <c r="Q349" s="20"/>
      <c r="R349" s="20"/>
      <c r="S349" s="20"/>
      <c r="T349" s="20"/>
      <c r="U349" s="20"/>
      <c r="V349" s="20"/>
      <c r="W349" s="20"/>
      <c r="X349" s="20"/>
    </row>
    <row r="350">
      <c r="A350" s="20"/>
      <c r="B350" s="20"/>
      <c r="C350" s="20"/>
      <c r="D350" s="70"/>
      <c r="E350" s="70"/>
      <c r="F350" s="70"/>
      <c r="G350" s="20"/>
      <c r="H350" s="20"/>
      <c r="I350" s="70"/>
      <c r="J350" s="70"/>
      <c r="K350" s="70"/>
      <c r="L350" s="70"/>
      <c r="M350" s="20"/>
      <c r="N350" s="20"/>
      <c r="O350" s="20"/>
      <c r="P350" s="20"/>
      <c r="Q350" s="20"/>
      <c r="R350" s="20"/>
      <c r="S350" s="20"/>
      <c r="T350" s="20"/>
      <c r="U350" s="20"/>
      <c r="V350" s="20"/>
      <c r="W350" s="20"/>
      <c r="X350" s="20"/>
    </row>
    <row r="351">
      <c r="A351" s="20"/>
      <c r="B351" s="20"/>
      <c r="C351" s="20"/>
      <c r="D351" s="70"/>
      <c r="E351" s="70"/>
      <c r="F351" s="70"/>
      <c r="G351" s="20"/>
      <c r="H351" s="20"/>
      <c r="I351" s="70"/>
      <c r="J351" s="70"/>
      <c r="K351" s="70"/>
      <c r="L351" s="70"/>
      <c r="M351" s="20"/>
      <c r="N351" s="20"/>
      <c r="O351" s="20"/>
      <c r="P351" s="20"/>
      <c r="Q351" s="20"/>
      <c r="R351" s="20"/>
      <c r="S351" s="20"/>
      <c r="T351" s="20"/>
      <c r="U351" s="20"/>
      <c r="V351" s="20"/>
      <c r="W351" s="20"/>
      <c r="X351" s="20"/>
    </row>
    <row r="352">
      <c r="A352" s="20"/>
      <c r="B352" s="20"/>
      <c r="C352" s="20"/>
      <c r="D352" s="70"/>
      <c r="E352" s="70"/>
      <c r="F352" s="70"/>
      <c r="G352" s="20"/>
      <c r="H352" s="20"/>
      <c r="I352" s="70"/>
      <c r="J352" s="70"/>
      <c r="K352" s="70"/>
      <c r="L352" s="70"/>
      <c r="M352" s="20"/>
      <c r="N352" s="20"/>
      <c r="O352" s="20"/>
      <c r="P352" s="20"/>
      <c r="Q352" s="20"/>
      <c r="R352" s="20"/>
      <c r="S352" s="20"/>
      <c r="T352" s="20"/>
      <c r="U352" s="20"/>
      <c r="V352" s="20"/>
      <c r="W352" s="20"/>
      <c r="X352" s="20"/>
    </row>
    <row r="353">
      <c r="A353" s="20"/>
      <c r="B353" s="20"/>
      <c r="C353" s="20"/>
      <c r="D353" s="70"/>
      <c r="E353" s="70"/>
      <c r="F353" s="70"/>
      <c r="G353" s="20"/>
      <c r="H353" s="20"/>
      <c r="I353" s="70"/>
      <c r="J353" s="70"/>
      <c r="K353" s="70"/>
      <c r="L353" s="70"/>
      <c r="M353" s="20"/>
      <c r="N353" s="20"/>
      <c r="O353" s="20"/>
      <c r="P353" s="20"/>
      <c r="Q353" s="20"/>
      <c r="R353" s="20"/>
      <c r="S353" s="20"/>
      <c r="T353" s="20"/>
      <c r="U353" s="20"/>
      <c r="V353" s="20"/>
      <c r="W353" s="20"/>
      <c r="X353" s="20"/>
    </row>
    <row r="354">
      <c r="A354" s="20"/>
      <c r="B354" s="20"/>
      <c r="C354" s="20"/>
      <c r="D354" s="70"/>
      <c r="E354" s="70"/>
      <c r="F354" s="70"/>
      <c r="G354" s="20"/>
      <c r="H354" s="20"/>
      <c r="I354" s="70"/>
      <c r="J354" s="70"/>
      <c r="K354" s="70"/>
      <c r="L354" s="70"/>
      <c r="M354" s="20"/>
      <c r="N354" s="20"/>
      <c r="O354" s="20"/>
      <c r="P354" s="20"/>
      <c r="Q354" s="20"/>
      <c r="R354" s="20"/>
      <c r="S354" s="20"/>
      <c r="T354" s="20"/>
      <c r="U354" s="20"/>
      <c r="V354" s="20"/>
      <c r="W354" s="20"/>
      <c r="X354" s="20"/>
    </row>
    <row r="355">
      <c r="A355" s="20"/>
      <c r="B355" s="20"/>
      <c r="C355" s="20"/>
      <c r="D355" s="70"/>
      <c r="E355" s="70"/>
      <c r="F355" s="70"/>
      <c r="G355" s="20"/>
      <c r="H355" s="20"/>
      <c r="I355" s="70"/>
      <c r="J355" s="70"/>
      <c r="K355" s="70"/>
      <c r="L355" s="70"/>
      <c r="M355" s="20"/>
      <c r="N355" s="20"/>
      <c r="O355" s="20"/>
      <c r="P355" s="20"/>
      <c r="Q355" s="20"/>
      <c r="R355" s="20"/>
      <c r="S355" s="20"/>
      <c r="T355" s="20"/>
      <c r="U355" s="20"/>
      <c r="V355" s="20"/>
      <c r="W355" s="20"/>
      <c r="X355" s="20"/>
    </row>
    <row r="356">
      <c r="A356" s="20"/>
      <c r="B356" s="20"/>
      <c r="C356" s="20"/>
      <c r="D356" s="70"/>
      <c r="E356" s="70"/>
      <c r="F356" s="70"/>
      <c r="G356" s="20"/>
      <c r="H356" s="20"/>
      <c r="I356" s="70"/>
      <c r="J356" s="70"/>
      <c r="K356" s="70"/>
      <c r="L356" s="70"/>
      <c r="M356" s="20"/>
      <c r="N356" s="20"/>
      <c r="O356" s="20"/>
      <c r="P356" s="20"/>
      <c r="Q356" s="20"/>
      <c r="R356" s="20"/>
      <c r="S356" s="20"/>
      <c r="T356" s="20"/>
      <c r="U356" s="20"/>
      <c r="V356" s="20"/>
      <c r="W356" s="20"/>
      <c r="X356" s="20"/>
    </row>
    <row r="357">
      <c r="A357" s="20"/>
      <c r="B357" s="20"/>
      <c r="C357" s="20"/>
      <c r="D357" s="70"/>
      <c r="E357" s="70"/>
      <c r="F357" s="70"/>
      <c r="G357" s="20"/>
      <c r="H357" s="20"/>
      <c r="I357" s="70"/>
      <c r="J357" s="70"/>
      <c r="K357" s="70"/>
      <c r="L357" s="70"/>
      <c r="M357" s="20"/>
      <c r="N357" s="20"/>
      <c r="O357" s="20"/>
      <c r="P357" s="20"/>
      <c r="Q357" s="20"/>
      <c r="R357" s="20"/>
      <c r="S357" s="20"/>
      <c r="T357" s="20"/>
      <c r="U357" s="20"/>
      <c r="V357" s="20"/>
      <c r="W357" s="20"/>
      <c r="X357" s="20"/>
    </row>
    <row r="358">
      <c r="A358" s="20"/>
      <c r="B358" s="20"/>
      <c r="C358" s="20"/>
      <c r="D358" s="70"/>
      <c r="E358" s="70"/>
      <c r="F358" s="70"/>
      <c r="G358" s="20"/>
      <c r="H358" s="20"/>
      <c r="I358" s="70"/>
      <c r="J358" s="70"/>
      <c r="K358" s="70"/>
      <c r="L358" s="70"/>
      <c r="M358" s="20"/>
      <c r="N358" s="20"/>
      <c r="O358" s="20"/>
      <c r="P358" s="20"/>
      <c r="Q358" s="20"/>
      <c r="R358" s="20"/>
      <c r="S358" s="20"/>
      <c r="T358" s="20"/>
      <c r="U358" s="20"/>
      <c r="V358" s="20"/>
      <c r="W358" s="20"/>
      <c r="X358" s="20"/>
    </row>
    <row r="359">
      <c r="A359" s="20"/>
      <c r="B359" s="20"/>
      <c r="C359" s="20"/>
      <c r="D359" s="70"/>
      <c r="E359" s="70"/>
      <c r="F359" s="70"/>
      <c r="G359" s="20"/>
      <c r="H359" s="20"/>
      <c r="I359" s="70"/>
      <c r="J359" s="70"/>
      <c r="K359" s="70"/>
      <c r="L359" s="70"/>
      <c r="M359" s="20"/>
      <c r="N359" s="20"/>
      <c r="O359" s="20"/>
      <c r="P359" s="20"/>
      <c r="Q359" s="20"/>
      <c r="R359" s="20"/>
      <c r="S359" s="20"/>
      <c r="T359" s="20"/>
      <c r="U359" s="20"/>
      <c r="V359" s="20"/>
      <c r="W359" s="20"/>
      <c r="X359" s="20"/>
    </row>
    <row r="360">
      <c r="A360" s="20"/>
      <c r="B360" s="20"/>
      <c r="C360" s="20"/>
      <c r="D360" s="70"/>
      <c r="E360" s="70"/>
      <c r="F360" s="70"/>
      <c r="G360" s="20"/>
      <c r="H360" s="20"/>
      <c r="I360" s="70"/>
      <c r="J360" s="70"/>
      <c r="K360" s="70"/>
      <c r="L360" s="70"/>
      <c r="M360" s="20"/>
      <c r="N360" s="20"/>
      <c r="O360" s="20"/>
      <c r="P360" s="20"/>
      <c r="Q360" s="20"/>
      <c r="R360" s="20"/>
      <c r="S360" s="20"/>
      <c r="T360" s="20"/>
      <c r="U360" s="20"/>
      <c r="V360" s="20"/>
      <c r="W360" s="20"/>
      <c r="X360" s="20"/>
    </row>
    <row r="361">
      <c r="A361" s="20"/>
      <c r="B361" s="20"/>
      <c r="C361" s="20"/>
      <c r="D361" s="70"/>
      <c r="E361" s="70"/>
      <c r="F361" s="70"/>
      <c r="G361" s="20"/>
      <c r="H361" s="20"/>
      <c r="I361" s="70"/>
      <c r="J361" s="70"/>
      <c r="K361" s="70"/>
      <c r="L361" s="70"/>
      <c r="M361" s="20"/>
      <c r="N361" s="20"/>
      <c r="O361" s="20"/>
      <c r="P361" s="20"/>
      <c r="Q361" s="20"/>
      <c r="R361" s="20"/>
      <c r="S361" s="20"/>
      <c r="T361" s="20"/>
      <c r="U361" s="20"/>
      <c r="V361" s="20"/>
      <c r="W361" s="20"/>
      <c r="X361" s="20"/>
    </row>
    <row r="362">
      <c r="A362" s="20"/>
      <c r="B362" s="20"/>
      <c r="C362" s="20"/>
      <c r="D362" s="70"/>
      <c r="E362" s="70"/>
      <c r="F362" s="70"/>
      <c r="G362" s="20"/>
      <c r="H362" s="20"/>
      <c r="I362" s="70"/>
      <c r="J362" s="70"/>
      <c r="K362" s="70"/>
      <c r="L362" s="70"/>
      <c r="M362" s="20"/>
      <c r="N362" s="20"/>
      <c r="O362" s="20"/>
      <c r="P362" s="20"/>
      <c r="Q362" s="20"/>
      <c r="R362" s="20"/>
      <c r="S362" s="20"/>
      <c r="T362" s="20"/>
      <c r="U362" s="20"/>
      <c r="V362" s="20"/>
      <c r="W362" s="20"/>
      <c r="X362" s="20"/>
    </row>
    <row r="363">
      <c r="A363" s="20"/>
      <c r="B363" s="20"/>
      <c r="C363" s="20"/>
      <c r="D363" s="70"/>
      <c r="E363" s="70"/>
      <c r="F363" s="70"/>
      <c r="G363" s="20"/>
      <c r="H363" s="20"/>
      <c r="I363" s="70"/>
      <c r="J363" s="70"/>
      <c r="K363" s="70"/>
      <c r="L363" s="70"/>
      <c r="M363" s="20"/>
      <c r="N363" s="20"/>
      <c r="O363" s="20"/>
      <c r="P363" s="20"/>
      <c r="Q363" s="20"/>
      <c r="R363" s="20"/>
      <c r="S363" s="20"/>
      <c r="T363" s="20"/>
      <c r="U363" s="20"/>
      <c r="V363" s="20"/>
      <c r="W363" s="20"/>
      <c r="X363" s="20"/>
    </row>
    <row r="364">
      <c r="A364" s="20"/>
      <c r="B364" s="20"/>
      <c r="C364" s="20"/>
      <c r="D364" s="70"/>
      <c r="E364" s="70"/>
      <c r="F364" s="70"/>
      <c r="G364" s="20"/>
      <c r="H364" s="20"/>
      <c r="I364" s="70"/>
      <c r="J364" s="70"/>
      <c r="K364" s="70"/>
      <c r="L364" s="70"/>
      <c r="M364" s="20"/>
      <c r="N364" s="20"/>
      <c r="O364" s="20"/>
      <c r="P364" s="20"/>
      <c r="Q364" s="20"/>
      <c r="R364" s="20"/>
      <c r="S364" s="20"/>
      <c r="T364" s="20"/>
      <c r="U364" s="20"/>
      <c r="V364" s="20"/>
      <c r="W364" s="20"/>
      <c r="X364" s="20"/>
    </row>
    <row r="365">
      <c r="A365" s="20"/>
      <c r="B365" s="20"/>
      <c r="C365" s="20"/>
      <c r="D365" s="70"/>
      <c r="E365" s="70"/>
      <c r="F365" s="70"/>
      <c r="G365" s="20"/>
      <c r="H365" s="20"/>
      <c r="I365" s="70"/>
      <c r="J365" s="70"/>
      <c r="K365" s="70"/>
      <c r="L365" s="70"/>
      <c r="M365" s="20"/>
      <c r="N365" s="20"/>
      <c r="O365" s="20"/>
      <c r="P365" s="20"/>
      <c r="Q365" s="20"/>
      <c r="R365" s="20"/>
      <c r="S365" s="20"/>
      <c r="T365" s="20"/>
      <c r="U365" s="20"/>
      <c r="V365" s="20"/>
      <c r="W365" s="20"/>
      <c r="X365" s="20"/>
    </row>
    <row r="366">
      <c r="A366" s="20"/>
      <c r="B366" s="20"/>
      <c r="C366" s="20"/>
      <c r="D366" s="70"/>
      <c r="E366" s="70"/>
      <c r="F366" s="70"/>
      <c r="G366" s="20"/>
      <c r="H366" s="20"/>
      <c r="I366" s="70"/>
      <c r="J366" s="70"/>
      <c r="K366" s="70"/>
      <c r="L366" s="70"/>
      <c r="M366" s="20"/>
      <c r="N366" s="20"/>
      <c r="O366" s="20"/>
      <c r="P366" s="20"/>
      <c r="Q366" s="20"/>
      <c r="R366" s="20"/>
      <c r="S366" s="20"/>
      <c r="T366" s="20"/>
      <c r="U366" s="20"/>
      <c r="V366" s="20"/>
      <c r="W366" s="20"/>
      <c r="X366" s="20"/>
    </row>
    <row r="367">
      <c r="A367" s="20"/>
      <c r="B367" s="20"/>
      <c r="C367" s="20"/>
      <c r="D367" s="70"/>
      <c r="E367" s="70"/>
      <c r="F367" s="70"/>
      <c r="G367" s="20"/>
      <c r="H367" s="20"/>
      <c r="I367" s="70"/>
      <c r="J367" s="70"/>
      <c r="K367" s="70"/>
      <c r="L367" s="70"/>
      <c r="M367" s="20"/>
      <c r="N367" s="20"/>
      <c r="O367" s="20"/>
      <c r="P367" s="20"/>
      <c r="Q367" s="20"/>
      <c r="R367" s="20"/>
      <c r="S367" s="20"/>
      <c r="T367" s="20"/>
      <c r="U367" s="20"/>
      <c r="V367" s="20"/>
      <c r="W367" s="20"/>
      <c r="X367" s="20"/>
    </row>
    <row r="368">
      <c r="A368" s="20"/>
      <c r="B368" s="20"/>
      <c r="C368" s="20"/>
      <c r="D368" s="70"/>
      <c r="E368" s="70"/>
      <c r="F368" s="70"/>
      <c r="G368" s="20"/>
      <c r="H368" s="20"/>
      <c r="I368" s="70"/>
      <c r="J368" s="70"/>
      <c r="K368" s="70"/>
      <c r="L368" s="70"/>
      <c r="M368" s="20"/>
      <c r="N368" s="20"/>
      <c r="O368" s="20"/>
      <c r="P368" s="20"/>
      <c r="Q368" s="20"/>
      <c r="R368" s="20"/>
      <c r="S368" s="20"/>
      <c r="T368" s="20"/>
      <c r="U368" s="20"/>
      <c r="V368" s="20"/>
      <c r="W368" s="20"/>
      <c r="X368" s="20"/>
    </row>
    <row r="369">
      <c r="A369" s="20"/>
      <c r="B369" s="20"/>
      <c r="C369" s="20"/>
      <c r="D369" s="70"/>
      <c r="E369" s="70"/>
      <c r="F369" s="70"/>
      <c r="G369" s="20"/>
      <c r="H369" s="20"/>
      <c r="I369" s="70"/>
      <c r="J369" s="70"/>
      <c r="K369" s="70"/>
      <c r="L369" s="70"/>
      <c r="M369" s="20"/>
      <c r="N369" s="20"/>
      <c r="O369" s="20"/>
      <c r="P369" s="20"/>
      <c r="Q369" s="20"/>
      <c r="R369" s="20"/>
      <c r="S369" s="20"/>
      <c r="T369" s="20"/>
      <c r="U369" s="20"/>
      <c r="V369" s="20"/>
      <c r="W369" s="20"/>
      <c r="X369" s="20"/>
    </row>
    <row r="370">
      <c r="A370" s="20"/>
      <c r="B370" s="20"/>
      <c r="C370" s="20"/>
      <c r="D370" s="70"/>
      <c r="E370" s="70"/>
      <c r="F370" s="70"/>
      <c r="G370" s="20"/>
      <c r="H370" s="20"/>
      <c r="I370" s="70"/>
      <c r="J370" s="70"/>
      <c r="K370" s="70"/>
      <c r="L370" s="70"/>
      <c r="M370" s="20"/>
      <c r="N370" s="20"/>
      <c r="O370" s="20"/>
      <c r="P370" s="20"/>
      <c r="Q370" s="20"/>
      <c r="R370" s="20"/>
      <c r="S370" s="20"/>
      <c r="T370" s="20"/>
      <c r="U370" s="20"/>
      <c r="V370" s="20"/>
      <c r="W370" s="20"/>
      <c r="X370" s="20"/>
    </row>
    <row r="371">
      <c r="A371" s="20"/>
      <c r="B371" s="20"/>
      <c r="C371" s="20"/>
      <c r="D371" s="70"/>
      <c r="E371" s="70"/>
      <c r="F371" s="70"/>
      <c r="G371" s="20"/>
      <c r="H371" s="20"/>
      <c r="I371" s="70"/>
      <c r="J371" s="70"/>
      <c r="K371" s="70"/>
      <c r="L371" s="70"/>
      <c r="M371" s="20"/>
      <c r="N371" s="20"/>
      <c r="O371" s="20"/>
      <c r="P371" s="20"/>
      <c r="Q371" s="20"/>
      <c r="R371" s="20"/>
      <c r="S371" s="20"/>
      <c r="T371" s="20"/>
      <c r="U371" s="20"/>
      <c r="V371" s="20"/>
      <c r="W371" s="20"/>
      <c r="X371" s="20"/>
    </row>
    <row r="372">
      <c r="A372" s="20"/>
      <c r="B372" s="20"/>
      <c r="C372" s="20"/>
      <c r="D372" s="70"/>
      <c r="E372" s="70"/>
      <c r="F372" s="70"/>
      <c r="G372" s="20"/>
      <c r="H372" s="20"/>
      <c r="I372" s="70"/>
      <c r="J372" s="70"/>
      <c r="K372" s="70"/>
      <c r="L372" s="70"/>
      <c r="M372" s="20"/>
      <c r="N372" s="20"/>
      <c r="O372" s="20"/>
      <c r="P372" s="20"/>
      <c r="Q372" s="20"/>
      <c r="R372" s="20"/>
      <c r="S372" s="20"/>
      <c r="T372" s="20"/>
      <c r="U372" s="20"/>
      <c r="V372" s="20"/>
      <c r="W372" s="20"/>
      <c r="X372" s="20"/>
    </row>
    <row r="373">
      <c r="A373" s="20"/>
      <c r="B373" s="20"/>
      <c r="C373" s="20"/>
      <c r="D373" s="70"/>
      <c r="E373" s="70"/>
      <c r="F373" s="70"/>
      <c r="G373" s="20"/>
      <c r="H373" s="20"/>
      <c r="I373" s="70"/>
      <c r="J373" s="70"/>
      <c r="K373" s="70"/>
      <c r="L373" s="70"/>
      <c r="M373" s="20"/>
      <c r="N373" s="20"/>
      <c r="O373" s="20"/>
      <c r="P373" s="20"/>
      <c r="Q373" s="20"/>
      <c r="R373" s="20"/>
      <c r="S373" s="20"/>
      <c r="T373" s="20"/>
      <c r="U373" s="20"/>
      <c r="V373" s="20"/>
      <c r="W373" s="20"/>
      <c r="X373" s="20"/>
    </row>
    <row r="374">
      <c r="A374" s="20"/>
      <c r="B374" s="20"/>
      <c r="C374" s="20"/>
      <c r="D374" s="70"/>
      <c r="E374" s="70"/>
      <c r="F374" s="70"/>
      <c r="G374" s="20"/>
      <c r="H374" s="20"/>
      <c r="I374" s="70"/>
      <c r="J374" s="70"/>
      <c r="K374" s="70"/>
      <c r="L374" s="70"/>
      <c r="M374" s="20"/>
      <c r="N374" s="20"/>
      <c r="O374" s="20"/>
      <c r="P374" s="20"/>
      <c r="Q374" s="20"/>
      <c r="R374" s="20"/>
      <c r="S374" s="20"/>
      <c r="T374" s="20"/>
      <c r="U374" s="20"/>
      <c r="V374" s="20"/>
      <c r="W374" s="20"/>
      <c r="X374" s="20"/>
    </row>
    <row r="375">
      <c r="A375" s="20"/>
      <c r="B375" s="20"/>
      <c r="C375" s="20"/>
      <c r="D375" s="70"/>
      <c r="E375" s="70"/>
      <c r="F375" s="70"/>
      <c r="G375" s="20"/>
      <c r="H375" s="20"/>
      <c r="I375" s="70"/>
      <c r="J375" s="70"/>
      <c r="K375" s="70"/>
      <c r="L375" s="70"/>
      <c r="M375" s="20"/>
      <c r="N375" s="20"/>
      <c r="O375" s="20"/>
      <c r="P375" s="20"/>
      <c r="Q375" s="20"/>
      <c r="R375" s="20"/>
      <c r="S375" s="20"/>
      <c r="T375" s="20"/>
      <c r="U375" s="20"/>
      <c r="V375" s="20"/>
      <c r="W375" s="20"/>
      <c r="X375" s="20"/>
    </row>
    <row r="376">
      <c r="A376" s="20"/>
      <c r="B376" s="20"/>
      <c r="C376" s="20"/>
      <c r="D376" s="70"/>
      <c r="E376" s="70"/>
      <c r="F376" s="70"/>
      <c r="G376" s="20"/>
      <c r="H376" s="20"/>
      <c r="I376" s="70"/>
      <c r="J376" s="70"/>
      <c r="K376" s="70"/>
      <c r="L376" s="70"/>
      <c r="M376" s="20"/>
      <c r="N376" s="20"/>
      <c r="O376" s="20"/>
      <c r="P376" s="20"/>
      <c r="Q376" s="20"/>
      <c r="R376" s="20"/>
      <c r="S376" s="20"/>
      <c r="T376" s="20"/>
      <c r="U376" s="20"/>
      <c r="V376" s="20"/>
      <c r="W376" s="20"/>
      <c r="X376" s="20"/>
    </row>
    <row r="377">
      <c r="A377" s="20"/>
      <c r="B377" s="20"/>
      <c r="C377" s="20"/>
      <c r="D377" s="70"/>
      <c r="E377" s="70"/>
      <c r="F377" s="70"/>
      <c r="G377" s="20"/>
      <c r="H377" s="20"/>
      <c r="I377" s="70"/>
      <c r="J377" s="70"/>
      <c r="K377" s="70"/>
      <c r="L377" s="70"/>
      <c r="M377" s="20"/>
      <c r="N377" s="20"/>
      <c r="O377" s="20"/>
      <c r="P377" s="20"/>
      <c r="Q377" s="20"/>
      <c r="R377" s="20"/>
      <c r="S377" s="20"/>
      <c r="T377" s="20"/>
      <c r="U377" s="20"/>
      <c r="V377" s="20"/>
      <c r="W377" s="20"/>
      <c r="X377" s="20"/>
    </row>
    <row r="378">
      <c r="A378" s="20"/>
      <c r="B378" s="20"/>
      <c r="C378" s="20"/>
      <c r="D378" s="70"/>
      <c r="E378" s="70"/>
      <c r="F378" s="70"/>
      <c r="G378" s="20"/>
      <c r="H378" s="20"/>
      <c r="I378" s="70"/>
      <c r="J378" s="70"/>
      <c r="K378" s="70"/>
      <c r="L378" s="70"/>
      <c r="M378" s="20"/>
      <c r="N378" s="20"/>
      <c r="O378" s="20"/>
      <c r="P378" s="20"/>
      <c r="Q378" s="20"/>
      <c r="R378" s="20"/>
      <c r="S378" s="20"/>
      <c r="T378" s="20"/>
      <c r="U378" s="20"/>
      <c r="V378" s="20"/>
      <c r="W378" s="20"/>
      <c r="X378" s="20"/>
    </row>
    <row r="379">
      <c r="A379" s="20"/>
      <c r="B379" s="20"/>
      <c r="C379" s="20"/>
      <c r="D379" s="70"/>
      <c r="E379" s="70"/>
      <c r="F379" s="70"/>
      <c r="G379" s="20"/>
      <c r="H379" s="20"/>
      <c r="I379" s="70"/>
      <c r="J379" s="70"/>
      <c r="K379" s="70"/>
      <c r="L379" s="70"/>
      <c r="M379" s="20"/>
      <c r="N379" s="20"/>
      <c r="O379" s="20"/>
      <c r="P379" s="20"/>
      <c r="Q379" s="20"/>
      <c r="R379" s="20"/>
      <c r="S379" s="20"/>
      <c r="T379" s="20"/>
      <c r="U379" s="20"/>
      <c r="V379" s="20"/>
      <c r="W379" s="20"/>
      <c r="X379" s="20"/>
    </row>
    <row r="380">
      <c r="A380" s="20"/>
      <c r="B380" s="20"/>
      <c r="C380" s="20"/>
      <c r="D380" s="70"/>
      <c r="E380" s="70"/>
      <c r="F380" s="70"/>
      <c r="G380" s="20"/>
      <c r="H380" s="20"/>
      <c r="I380" s="70"/>
      <c r="J380" s="70"/>
      <c r="K380" s="70"/>
      <c r="L380" s="70"/>
      <c r="M380" s="20"/>
      <c r="N380" s="20"/>
      <c r="O380" s="20"/>
      <c r="P380" s="20"/>
      <c r="Q380" s="20"/>
      <c r="R380" s="20"/>
      <c r="S380" s="20"/>
      <c r="T380" s="20"/>
      <c r="U380" s="20"/>
      <c r="V380" s="20"/>
      <c r="W380" s="20"/>
      <c r="X380" s="20"/>
    </row>
    <row r="381">
      <c r="A381" s="20"/>
      <c r="B381" s="20"/>
      <c r="C381" s="20"/>
      <c r="D381" s="70"/>
      <c r="E381" s="70"/>
      <c r="F381" s="70"/>
      <c r="G381" s="20"/>
      <c r="H381" s="20"/>
      <c r="I381" s="70"/>
      <c r="J381" s="70"/>
      <c r="K381" s="70"/>
      <c r="L381" s="70"/>
      <c r="M381" s="20"/>
      <c r="N381" s="20"/>
      <c r="O381" s="20"/>
      <c r="P381" s="20"/>
      <c r="Q381" s="20"/>
      <c r="R381" s="20"/>
      <c r="S381" s="20"/>
      <c r="T381" s="20"/>
      <c r="U381" s="20"/>
      <c r="V381" s="20"/>
      <c r="W381" s="20"/>
      <c r="X381" s="20"/>
    </row>
    <row r="382">
      <c r="A382" s="20"/>
      <c r="B382" s="20"/>
      <c r="C382" s="20"/>
      <c r="D382" s="70"/>
      <c r="E382" s="70"/>
      <c r="F382" s="70"/>
      <c r="G382" s="20"/>
      <c r="H382" s="20"/>
      <c r="I382" s="70"/>
      <c r="J382" s="70"/>
      <c r="K382" s="70"/>
      <c r="L382" s="70"/>
      <c r="M382" s="20"/>
      <c r="N382" s="20"/>
      <c r="O382" s="20"/>
      <c r="P382" s="20"/>
      <c r="Q382" s="20"/>
      <c r="R382" s="20"/>
      <c r="S382" s="20"/>
      <c r="T382" s="20"/>
      <c r="U382" s="20"/>
      <c r="V382" s="20"/>
      <c r="W382" s="20"/>
      <c r="X382" s="20"/>
    </row>
    <row r="383">
      <c r="A383" s="20"/>
      <c r="B383" s="20"/>
      <c r="C383" s="20"/>
      <c r="D383" s="70"/>
      <c r="E383" s="70"/>
      <c r="F383" s="70"/>
      <c r="G383" s="20"/>
      <c r="H383" s="20"/>
      <c r="I383" s="70"/>
      <c r="J383" s="70"/>
      <c r="K383" s="70"/>
      <c r="L383" s="70"/>
      <c r="M383" s="20"/>
      <c r="N383" s="20"/>
      <c r="O383" s="20"/>
      <c r="P383" s="20"/>
      <c r="Q383" s="20"/>
      <c r="R383" s="20"/>
      <c r="S383" s="20"/>
      <c r="T383" s="20"/>
      <c r="U383" s="20"/>
      <c r="V383" s="20"/>
      <c r="W383" s="20"/>
      <c r="X383" s="20"/>
    </row>
    <row r="384">
      <c r="A384" s="20"/>
      <c r="B384" s="20"/>
      <c r="C384" s="20"/>
      <c r="D384" s="70"/>
      <c r="E384" s="70"/>
      <c r="F384" s="70"/>
      <c r="G384" s="20"/>
      <c r="H384" s="20"/>
      <c r="I384" s="70"/>
      <c r="J384" s="70"/>
      <c r="K384" s="70"/>
      <c r="L384" s="70"/>
      <c r="M384" s="20"/>
      <c r="N384" s="20"/>
      <c r="O384" s="20"/>
      <c r="P384" s="20"/>
      <c r="Q384" s="20"/>
      <c r="R384" s="20"/>
      <c r="S384" s="20"/>
      <c r="T384" s="20"/>
      <c r="U384" s="20"/>
      <c r="V384" s="20"/>
      <c r="W384" s="20"/>
      <c r="X384" s="20"/>
    </row>
    <row r="385">
      <c r="A385" s="20"/>
      <c r="B385" s="20"/>
      <c r="C385" s="20"/>
      <c r="D385" s="70"/>
      <c r="E385" s="70"/>
      <c r="F385" s="70"/>
      <c r="G385" s="20"/>
      <c r="H385" s="20"/>
      <c r="I385" s="70"/>
      <c r="J385" s="70"/>
      <c r="K385" s="70"/>
      <c r="L385" s="70"/>
      <c r="M385" s="20"/>
      <c r="N385" s="20"/>
      <c r="O385" s="20"/>
      <c r="P385" s="20"/>
      <c r="Q385" s="20"/>
      <c r="R385" s="20"/>
      <c r="S385" s="20"/>
      <c r="T385" s="20"/>
      <c r="U385" s="20"/>
      <c r="V385" s="20"/>
      <c r="W385" s="20"/>
      <c r="X385" s="20"/>
    </row>
    <row r="386">
      <c r="A386" s="20"/>
      <c r="B386" s="20"/>
      <c r="C386" s="20"/>
      <c r="D386" s="70"/>
      <c r="E386" s="70"/>
      <c r="F386" s="70"/>
      <c r="G386" s="20"/>
      <c r="H386" s="20"/>
      <c r="I386" s="70"/>
      <c r="J386" s="70"/>
      <c r="K386" s="70"/>
      <c r="L386" s="70"/>
      <c r="M386" s="20"/>
      <c r="N386" s="20"/>
      <c r="O386" s="20"/>
      <c r="P386" s="20"/>
      <c r="Q386" s="20"/>
      <c r="R386" s="20"/>
      <c r="S386" s="20"/>
      <c r="T386" s="20"/>
      <c r="U386" s="20"/>
      <c r="V386" s="20"/>
      <c r="W386" s="20"/>
      <c r="X386" s="20"/>
    </row>
    <row r="387">
      <c r="A387" s="20"/>
      <c r="B387" s="20"/>
      <c r="C387" s="20"/>
      <c r="D387" s="70"/>
      <c r="E387" s="70"/>
      <c r="F387" s="70"/>
      <c r="G387" s="20"/>
      <c r="H387" s="20"/>
      <c r="I387" s="70"/>
      <c r="J387" s="70"/>
      <c r="K387" s="70"/>
      <c r="L387" s="70"/>
      <c r="M387" s="20"/>
      <c r="N387" s="20"/>
      <c r="O387" s="20"/>
      <c r="P387" s="20"/>
      <c r="Q387" s="20"/>
      <c r="R387" s="20"/>
      <c r="S387" s="20"/>
      <c r="T387" s="20"/>
      <c r="U387" s="20"/>
      <c r="V387" s="20"/>
      <c r="W387" s="20"/>
      <c r="X387" s="20"/>
    </row>
    <row r="388">
      <c r="A388" s="20"/>
      <c r="B388" s="20"/>
      <c r="C388" s="20"/>
      <c r="D388" s="70"/>
      <c r="E388" s="70"/>
      <c r="F388" s="70"/>
      <c r="G388" s="20"/>
      <c r="H388" s="20"/>
      <c r="I388" s="70"/>
      <c r="J388" s="70"/>
      <c r="K388" s="70"/>
      <c r="L388" s="70"/>
      <c r="M388" s="20"/>
      <c r="N388" s="20"/>
      <c r="O388" s="20"/>
      <c r="P388" s="20"/>
      <c r="Q388" s="20"/>
      <c r="R388" s="20"/>
      <c r="S388" s="20"/>
      <c r="T388" s="20"/>
      <c r="U388" s="20"/>
      <c r="V388" s="20"/>
      <c r="W388" s="20"/>
      <c r="X388" s="20"/>
    </row>
    <row r="389">
      <c r="A389" s="20"/>
      <c r="B389" s="20"/>
      <c r="C389" s="20"/>
      <c r="D389" s="70"/>
      <c r="E389" s="70"/>
      <c r="F389" s="70"/>
      <c r="G389" s="20"/>
      <c r="H389" s="20"/>
      <c r="I389" s="70"/>
      <c r="J389" s="70"/>
      <c r="K389" s="70"/>
      <c r="L389" s="70"/>
      <c r="M389" s="20"/>
      <c r="N389" s="20"/>
      <c r="O389" s="20"/>
      <c r="P389" s="20"/>
      <c r="Q389" s="20"/>
      <c r="R389" s="20"/>
      <c r="S389" s="20"/>
      <c r="T389" s="20"/>
      <c r="U389" s="20"/>
      <c r="V389" s="20"/>
      <c r="W389" s="20"/>
      <c r="X389" s="20"/>
    </row>
    <row r="390">
      <c r="A390" s="20"/>
      <c r="B390" s="20"/>
      <c r="C390" s="20"/>
      <c r="D390" s="70"/>
      <c r="E390" s="70"/>
      <c r="F390" s="70"/>
      <c r="G390" s="20"/>
      <c r="H390" s="20"/>
      <c r="I390" s="70"/>
      <c r="J390" s="70"/>
      <c r="K390" s="70"/>
      <c r="L390" s="70"/>
      <c r="M390" s="20"/>
      <c r="N390" s="20"/>
      <c r="O390" s="20"/>
      <c r="P390" s="20"/>
      <c r="Q390" s="20"/>
      <c r="R390" s="20"/>
      <c r="S390" s="20"/>
      <c r="T390" s="20"/>
      <c r="U390" s="20"/>
      <c r="V390" s="20"/>
      <c r="W390" s="20"/>
      <c r="X390" s="20"/>
    </row>
    <row r="391">
      <c r="A391" s="20"/>
      <c r="B391" s="20"/>
      <c r="C391" s="20"/>
      <c r="D391" s="70"/>
      <c r="E391" s="70"/>
      <c r="F391" s="70"/>
      <c r="G391" s="20"/>
      <c r="H391" s="20"/>
      <c r="I391" s="70"/>
      <c r="J391" s="70"/>
      <c r="K391" s="70"/>
      <c r="L391" s="70"/>
      <c r="M391" s="20"/>
      <c r="N391" s="20"/>
      <c r="O391" s="20"/>
      <c r="P391" s="20"/>
      <c r="Q391" s="20"/>
      <c r="R391" s="20"/>
      <c r="S391" s="20"/>
      <c r="T391" s="20"/>
      <c r="U391" s="20"/>
      <c r="V391" s="20"/>
      <c r="W391" s="20"/>
      <c r="X391" s="20"/>
    </row>
    <row r="392">
      <c r="A392" s="20"/>
      <c r="B392" s="20"/>
      <c r="C392" s="20"/>
      <c r="D392" s="70"/>
      <c r="E392" s="70"/>
      <c r="F392" s="70"/>
      <c r="G392" s="20"/>
      <c r="H392" s="20"/>
      <c r="I392" s="70"/>
      <c r="J392" s="70"/>
      <c r="K392" s="70"/>
      <c r="L392" s="70"/>
      <c r="M392" s="20"/>
      <c r="N392" s="20"/>
      <c r="O392" s="20"/>
      <c r="P392" s="20"/>
      <c r="Q392" s="20"/>
      <c r="R392" s="20"/>
      <c r="S392" s="20"/>
      <c r="T392" s="20"/>
      <c r="U392" s="20"/>
      <c r="V392" s="20"/>
      <c r="W392" s="20"/>
      <c r="X392" s="20"/>
    </row>
    <row r="393">
      <c r="A393" s="20"/>
      <c r="B393" s="20"/>
      <c r="C393" s="20"/>
      <c r="D393" s="70"/>
      <c r="E393" s="70"/>
      <c r="F393" s="70"/>
      <c r="G393" s="20"/>
      <c r="H393" s="20"/>
      <c r="I393" s="70"/>
      <c r="J393" s="70"/>
      <c r="K393" s="70"/>
      <c r="L393" s="70"/>
      <c r="M393" s="20"/>
      <c r="N393" s="20"/>
      <c r="O393" s="20"/>
      <c r="P393" s="20"/>
      <c r="Q393" s="20"/>
      <c r="R393" s="20"/>
      <c r="S393" s="20"/>
      <c r="T393" s="20"/>
      <c r="U393" s="20"/>
      <c r="V393" s="20"/>
      <c r="W393" s="20"/>
      <c r="X393" s="20"/>
    </row>
    <row r="394">
      <c r="A394" s="20"/>
      <c r="B394" s="20"/>
      <c r="C394" s="20"/>
      <c r="D394" s="70"/>
      <c r="E394" s="70"/>
      <c r="F394" s="70"/>
      <c r="G394" s="20"/>
      <c r="H394" s="20"/>
      <c r="I394" s="70"/>
      <c r="J394" s="70"/>
      <c r="K394" s="70"/>
      <c r="L394" s="70"/>
      <c r="M394" s="20"/>
      <c r="N394" s="20"/>
      <c r="O394" s="20"/>
      <c r="P394" s="20"/>
      <c r="Q394" s="20"/>
      <c r="R394" s="20"/>
      <c r="S394" s="20"/>
      <c r="T394" s="20"/>
      <c r="U394" s="20"/>
      <c r="V394" s="20"/>
      <c r="W394" s="20"/>
      <c r="X394" s="20"/>
    </row>
    <row r="395">
      <c r="A395" s="20"/>
      <c r="B395" s="20"/>
      <c r="C395" s="20"/>
      <c r="D395" s="70"/>
      <c r="E395" s="70"/>
      <c r="F395" s="70"/>
      <c r="G395" s="20"/>
      <c r="H395" s="20"/>
      <c r="I395" s="70"/>
      <c r="J395" s="70"/>
      <c r="K395" s="70"/>
      <c r="L395" s="70"/>
      <c r="M395" s="20"/>
      <c r="N395" s="20"/>
      <c r="O395" s="20"/>
      <c r="P395" s="20"/>
      <c r="Q395" s="20"/>
      <c r="R395" s="20"/>
      <c r="S395" s="20"/>
      <c r="T395" s="20"/>
      <c r="U395" s="20"/>
      <c r="V395" s="20"/>
      <c r="W395" s="20"/>
      <c r="X395" s="20"/>
    </row>
    <row r="396">
      <c r="A396" s="20"/>
      <c r="B396" s="20"/>
      <c r="C396" s="20"/>
      <c r="D396" s="70"/>
      <c r="E396" s="70"/>
      <c r="F396" s="70"/>
      <c r="G396" s="20"/>
      <c r="H396" s="20"/>
      <c r="I396" s="70"/>
      <c r="J396" s="70"/>
      <c r="K396" s="70"/>
      <c r="L396" s="70"/>
      <c r="M396" s="20"/>
      <c r="N396" s="20"/>
      <c r="O396" s="20"/>
      <c r="P396" s="20"/>
      <c r="Q396" s="20"/>
      <c r="R396" s="20"/>
      <c r="S396" s="20"/>
      <c r="T396" s="20"/>
      <c r="U396" s="20"/>
      <c r="V396" s="20"/>
      <c r="W396" s="20"/>
      <c r="X396" s="20"/>
    </row>
    <row r="397">
      <c r="A397" s="20"/>
      <c r="B397" s="20"/>
      <c r="C397" s="20"/>
      <c r="D397" s="70"/>
      <c r="E397" s="70"/>
      <c r="F397" s="70"/>
      <c r="G397" s="20"/>
      <c r="H397" s="20"/>
      <c r="I397" s="70"/>
      <c r="J397" s="70"/>
      <c r="K397" s="70"/>
      <c r="L397" s="70"/>
      <c r="M397" s="20"/>
      <c r="N397" s="20"/>
      <c r="O397" s="20"/>
      <c r="P397" s="20"/>
      <c r="Q397" s="20"/>
      <c r="R397" s="20"/>
      <c r="S397" s="20"/>
      <c r="T397" s="20"/>
      <c r="U397" s="20"/>
      <c r="V397" s="20"/>
      <c r="W397" s="20"/>
      <c r="X397" s="20"/>
    </row>
    <row r="398">
      <c r="A398" s="20"/>
      <c r="B398" s="20"/>
      <c r="C398" s="20"/>
      <c r="D398" s="70"/>
      <c r="E398" s="70"/>
      <c r="F398" s="70"/>
      <c r="G398" s="20"/>
      <c r="H398" s="20"/>
      <c r="I398" s="70"/>
      <c r="J398" s="70"/>
      <c r="K398" s="70"/>
      <c r="L398" s="70"/>
      <c r="M398" s="20"/>
      <c r="N398" s="20"/>
      <c r="O398" s="20"/>
      <c r="P398" s="20"/>
      <c r="Q398" s="20"/>
      <c r="R398" s="20"/>
      <c r="S398" s="20"/>
      <c r="T398" s="20"/>
      <c r="U398" s="20"/>
      <c r="V398" s="20"/>
      <c r="W398" s="20"/>
      <c r="X398" s="20"/>
    </row>
    <row r="399">
      <c r="A399" s="20"/>
      <c r="B399" s="20"/>
      <c r="C399" s="20"/>
      <c r="D399" s="70"/>
      <c r="E399" s="70"/>
      <c r="F399" s="70"/>
      <c r="G399" s="20"/>
      <c r="H399" s="20"/>
      <c r="I399" s="70"/>
      <c r="J399" s="70"/>
      <c r="K399" s="70"/>
      <c r="L399" s="70"/>
      <c r="M399" s="20"/>
      <c r="N399" s="20"/>
      <c r="O399" s="20"/>
      <c r="P399" s="20"/>
      <c r="Q399" s="20"/>
      <c r="R399" s="20"/>
      <c r="S399" s="20"/>
      <c r="T399" s="20"/>
      <c r="U399" s="20"/>
      <c r="V399" s="20"/>
      <c r="W399" s="20"/>
      <c r="X399" s="20"/>
    </row>
    <row r="400">
      <c r="A400" s="20"/>
      <c r="B400" s="20"/>
      <c r="C400" s="20"/>
      <c r="D400" s="70"/>
      <c r="E400" s="70"/>
      <c r="F400" s="70"/>
      <c r="G400" s="20"/>
      <c r="H400" s="20"/>
      <c r="I400" s="70"/>
      <c r="J400" s="70"/>
      <c r="K400" s="70"/>
      <c r="L400" s="70"/>
      <c r="M400" s="20"/>
      <c r="N400" s="20"/>
      <c r="O400" s="20"/>
      <c r="P400" s="20"/>
      <c r="Q400" s="20"/>
      <c r="R400" s="20"/>
      <c r="S400" s="20"/>
      <c r="T400" s="20"/>
      <c r="U400" s="20"/>
      <c r="V400" s="20"/>
      <c r="W400" s="20"/>
      <c r="X400" s="20"/>
    </row>
    <row r="401">
      <c r="A401" s="20"/>
      <c r="B401" s="20"/>
      <c r="C401" s="20"/>
      <c r="D401" s="70"/>
      <c r="E401" s="70"/>
      <c r="F401" s="70"/>
      <c r="G401" s="20"/>
      <c r="H401" s="20"/>
      <c r="I401" s="70"/>
      <c r="J401" s="70"/>
      <c r="K401" s="70"/>
      <c r="L401" s="70"/>
      <c r="M401" s="20"/>
      <c r="N401" s="20"/>
      <c r="O401" s="20"/>
      <c r="P401" s="20"/>
      <c r="Q401" s="20"/>
      <c r="R401" s="20"/>
      <c r="S401" s="20"/>
      <c r="T401" s="20"/>
      <c r="U401" s="20"/>
      <c r="V401" s="20"/>
      <c r="W401" s="20"/>
      <c r="X401" s="20"/>
    </row>
    <row r="402">
      <c r="A402" s="20"/>
      <c r="B402" s="20"/>
      <c r="C402" s="20"/>
      <c r="D402" s="70"/>
      <c r="E402" s="70"/>
      <c r="F402" s="70"/>
      <c r="G402" s="20"/>
      <c r="H402" s="20"/>
      <c r="I402" s="70"/>
      <c r="J402" s="70"/>
      <c r="K402" s="70"/>
      <c r="L402" s="70"/>
      <c r="M402" s="20"/>
      <c r="N402" s="20"/>
      <c r="O402" s="20"/>
      <c r="P402" s="20"/>
      <c r="Q402" s="20"/>
      <c r="R402" s="20"/>
      <c r="S402" s="20"/>
      <c r="T402" s="20"/>
      <c r="U402" s="20"/>
      <c r="V402" s="20"/>
      <c r="W402" s="20"/>
      <c r="X402" s="20"/>
    </row>
    <row r="403">
      <c r="A403" s="20"/>
      <c r="B403" s="20"/>
      <c r="C403" s="20"/>
      <c r="D403" s="70"/>
      <c r="E403" s="70"/>
      <c r="F403" s="70"/>
      <c r="G403" s="20"/>
      <c r="H403" s="20"/>
      <c r="I403" s="70"/>
      <c r="J403" s="70"/>
      <c r="K403" s="70"/>
      <c r="L403" s="70"/>
      <c r="M403" s="20"/>
      <c r="N403" s="20"/>
      <c r="O403" s="20"/>
      <c r="P403" s="20"/>
      <c r="Q403" s="20"/>
      <c r="R403" s="20"/>
      <c r="S403" s="20"/>
      <c r="T403" s="20"/>
      <c r="U403" s="20"/>
      <c r="V403" s="20"/>
      <c r="W403" s="20"/>
      <c r="X403" s="20"/>
    </row>
    <row r="404">
      <c r="A404" s="20"/>
      <c r="B404" s="20"/>
      <c r="C404" s="20"/>
      <c r="D404" s="70"/>
      <c r="E404" s="70"/>
      <c r="F404" s="70"/>
      <c r="G404" s="20"/>
      <c r="H404" s="20"/>
      <c r="I404" s="70"/>
      <c r="J404" s="70"/>
      <c r="K404" s="70"/>
      <c r="L404" s="70"/>
      <c r="M404" s="20"/>
      <c r="N404" s="20"/>
      <c r="O404" s="20"/>
      <c r="P404" s="20"/>
      <c r="Q404" s="20"/>
      <c r="R404" s="20"/>
      <c r="S404" s="20"/>
      <c r="T404" s="20"/>
      <c r="U404" s="20"/>
      <c r="V404" s="20"/>
      <c r="W404" s="20"/>
      <c r="X404" s="20"/>
    </row>
    <row r="405">
      <c r="A405" s="20"/>
      <c r="B405" s="20"/>
      <c r="C405" s="20"/>
      <c r="D405" s="70"/>
      <c r="E405" s="70"/>
      <c r="F405" s="70"/>
      <c r="G405" s="20"/>
      <c r="H405" s="20"/>
      <c r="I405" s="70"/>
      <c r="J405" s="70"/>
      <c r="K405" s="70"/>
      <c r="L405" s="70"/>
      <c r="M405" s="20"/>
      <c r="N405" s="20"/>
      <c r="O405" s="20"/>
      <c r="P405" s="20"/>
      <c r="Q405" s="20"/>
      <c r="R405" s="20"/>
      <c r="S405" s="20"/>
      <c r="T405" s="20"/>
      <c r="U405" s="20"/>
      <c r="V405" s="20"/>
      <c r="W405" s="20"/>
      <c r="X405" s="20"/>
    </row>
    <row r="406">
      <c r="A406" s="20"/>
      <c r="B406" s="20"/>
      <c r="C406" s="20"/>
      <c r="D406" s="70"/>
      <c r="E406" s="70"/>
      <c r="F406" s="70"/>
      <c r="G406" s="20"/>
      <c r="H406" s="20"/>
      <c r="I406" s="70"/>
      <c r="J406" s="70"/>
      <c r="K406" s="70"/>
      <c r="L406" s="70"/>
      <c r="M406" s="20"/>
      <c r="N406" s="20"/>
      <c r="O406" s="20"/>
      <c r="P406" s="20"/>
      <c r="Q406" s="20"/>
      <c r="R406" s="20"/>
      <c r="S406" s="20"/>
      <c r="T406" s="20"/>
      <c r="U406" s="20"/>
      <c r="V406" s="20"/>
      <c r="W406" s="20"/>
      <c r="X406" s="20"/>
    </row>
    <row r="407">
      <c r="A407" s="20"/>
      <c r="B407" s="20"/>
      <c r="C407" s="20"/>
      <c r="D407" s="70"/>
      <c r="E407" s="70"/>
      <c r="F407" s="70"/>
      <c r="G407" s="20"/>
      <c r="H407" s="20"/>
      <c r="I407" s="70"/>
      <c r="J407" s="70"/>
      <c r="K407" s="70"/>
      <c r="L407" s="70"/>
      <c r="M407" s="20"/>
      <c r="N407" s="20"/>
      <c r="O407" s="20"/>
      <c r="P407" s="20"/>
      <c r="Q407" s="20"/>
      <c r="R407" s="20"/>
      <c r="S407" s="20"/>
      <c r="T407" s="20"/>
      <c r="U407" s="20"/>
      <c r="V407" s="20"/>
      <c r="W407" s="20"/>
      <c r="X407" s="20"/>
    </row>
    <row r="408">
      <c r="A408" s="20"/>
      <c r="B408" s="20"/>
      <c r="C408" s="20"/>
      <c r="D408" s="70"/>
      <c r="E408" s="70"/>
      <c r="F408" s="70"/>
      <c r="G408" s="20"/>
      <c r="H408" s="20"/>
      <c r="I408" s="70"/>
      <c r="J408" s="70"/>
      <c r="K408" s="70"/>
      <c r="L408" s="70"/>
      <c r="M408" s="20"/>
      <c r="N408" s="20"/>
      <c r="O408" s="20"/>
      <c r="P408" s="20"/>
      <c r="Q408" s="20"/>
      <c r="R408" s="20"/>
      <c r="S408" s="20"/>
      <c r="T408" s="20"/>
      <c r="U408" s="20"/>
      <c r="V408" s="20"/>
      <c r="W408" s="20"/>
      <c r="X408" s="20"/>
    </row>
    <row r="409">
      <c r="A409" s="20"/>
      <c r="B409" s="20"/>
      <c r="C409" s="20"/>
      <c r="D409" s="70"/>
      <c r="E409" s="70"/>
      <c r="F409" s="70"/>
      <c r="G409" s="20"/>
      <c r="H409" s="20"/>
      <c r="I409" s="70"/>
      <c r="J409" s="70"/>
      <c r="K409" s="70"/>
      <c r="L409" s="70"/>
      <c r="M409" s="20"/>
      <c r="N409" s="20"/>
      <c r="O409" s="20"/>
      <c r="P409" s="20"/>
      <c r="Q409" s="20"/>
      <c r="R409" s="20"/>
      <c r="S409" s="20"/>
      <c r="T409" s="20"/>
      <c r="U409" s="20"/>
      <c r="V409" s="20"/>
      <c r="W409" s="20"/>
      <c r="X409" s="20"/>
    </row>
    <row r="410">
      <c r="A410" s="20"/>
      <c r="B410" s="20"/>
      <c r="C410" s="20"/>
      <c r="D410" s="70"/>
      <c r="E410" s="70"/>
      <c r="F410" s="70"/>
      <c r="G410" s="20"/>
      <c r="H410" s="20"/>
      <c r="I410" s="70"/>
      <c r="J410" s="70"/>
      <c r="K410" s="70"/>
      <c r="L410" s="70"/>
      <c r="M410" s="20"/>
      <c r="N410" s="20"/>
      <c r="O410" s="20"/>
      <c r="P410" s="20"/>
      <c r="Q410" s="20"/>
      <c r="R410" s="20"/>
      <c r="S410" s="20"/>
      <c r="T410" s="20"/>
      <c r="U410" s="20"/>
      <c r="V410" s="20"/>
      <c r="W410" s="20"/>
      <c r="X410" s="20"/>
    </row>
    <row r="411">
      <c r="A411" s="20"/>
      <c r="B411" s="20"/>
      <c r="C411" s="20"/>
      <c r="D411" s="70"/>
      <c r="E411" s="70"/>
      <c r="F411" s="70"/>
      <c r="G411" s="20"/>
      <c r="H411" s="20"/>
      <c r="I411" s="70"/>
      <c r="J411" s="70"/>
      <c r="K411" s="70"/>
      <c r="L411" s="70"/>
      <c r="M411" s="20"/>
      <c r="N411" s="20"/>
      <c r="O411" s="20"/>
      <c r="P411" s="20"/>
      <c r="Q411" s="20"/>
      <c r="R411" s="20"/>
      <c r="S411" s="20"/>
      <c r="T411" s="20"/>
      <c r="U411" s="20"/>
      <c r="V411" s="20"/>
      <c r="W411" s="20"/>
      <c r="X411" s="20"/>
    </row>
    <row r="412">
      <c r="A412" s="20"/>
      <c r="B412" s="20"/>
      <c r="C412" s="20"/>
      <c r="D412" s="70"/>
      <c r="E412" s="70"/>
      <c r="F412" s="70"/>
      <c r="G412" s="20"/>
      <c r="H412" s="20"/>
      <c r="I412" s="70"/>
      <c r="J412" s="70"/>
      <c r="K412" s="70"/>
      <c r="L412" s="70"/>
      <c r="M412" s="20"/>
      <c r="N412" s="20"/>
      <c r="O412" s="20"/>
      <c r="P412" s="20"/>
      <c r="Q412" s="20"/>
      <c r="R412" s="20"/>
      <c r="S412" s="20"/>
      <c r="T412" s="20"/>
      <c r="U412" s="20"/>
      <c r="V412" s="20"/>
      <c r="W412" s="20"/>
      <c r="X412" s="20"/>
    </row>
    <row r="413">
      <c r="A413" s="20"/>
      <c r="B413" s="20"/>
      <c r="C413" s="20"/>
      <c r="D413" s="70"/>
      <c r="E413" s="70"/>
      <c r="F413" s="70"/>
      <c r="G413" s="20"/>
      <c r="H413" s="20"/>
      <c r="I413" s="70"/>
      <c r="J413" s="70"/>
      <c r="K413" s="70"/>
      <c r="L413" s="70"/>
      <c r="M413" s="20"/>
      <c r="N413" s="20"/>
      <c r="O413" s="20"/>
      <c r="P413" s="20"/>
      <c r="Q413" s="20"/>
      <c r="R413" s="20"/>
      <c r="S413" s="20"/>
      <c r="T413" s="20"/>
      <c r="U413" s="20"/>
      <c r="V413" s="20"/>
      <c r="W413" s="20"/>
      <c r="X413" s="20"/>
    </row>
    <row r="414">
      <c r="A414" s="20"/>
      <c r="B414" s="20"/>
      <c r="C414" s="20"/>
      <c r="D414" s="70"/>
      <c r="E414" s="70"/>
      <c r="F414" s="70"/>
      <c r="G414" s="20"/>
      <c r="H414" s="20"/>
      <c r="I414" s="70"/>
      <c r="J414" s="70"/>
      <c r="K414" s="70"/>
      <c r="L414" s="70"/>
      <c r="M414" s="20"/>
      <c r="N414" s="20"/>
      <c r="O414" s="20"/>
      <c r="P414" s="20"/>
      <c r="Q414" s="20"/>
      <c r="R414" s="20"/>
      <c r="S414" s="20"/>
      <c r="T414" s="20"/>
      <c r="U414" s="20"/>
      <c r="V414" s="20"/>
      <c r="W414" s="20"/>
      <c r="X414" s="20"/>
    </row>
    <row r="415">
      <c r="A415" s="20"/>
      <c r="B415" s="20"/>
      <c r="C415" s="20"/>
      <c r="D415" s="70"/>
      <c r="E415" s="70"/>
      <c r="F415" s="70"/>
      <c r="G415" s="20"/>
      <c r="H415" s="20"/>
      <c r="I415" s="70"/>
      <c r="J415" s="70"/>
      <c r="K415" s="70"/>
      <c r="L415" s="70"/>
      <c r="M415" s="20"/>
      <c r="N415" s="20"/>
      <c r="O415" s="20"/>
      <c r="P415" s="20"/>
      <c r="Q415" s="20"/>
      <c r="R415" s="20"/>
      <c r="S415" s="20"/>
      <c r="T415" s="20"/>
      <c r="U415" s="20"/>
      <c r="V415" s="20"/>
      <c r="W415" s="20"/>
      <c r="X415" s="20"/>
    </row>
    <row r="416">
      <c r="A416" s="20"/>
      <c r="B416" s="20"/>
      <c r="C416" s="20"/>
      <c r="D416" s="70"/>
      <c r="E416" s="70"/>
      <c r="F416" s="70"/>
      <c r="G416" s="20"/>
      <c r="H416" s="20"/>
      <c r="I416" s="70"/>
      <c r="J416" s="70"/>
      <c r="K416" s="70"/>
      <c r="L416" s="70"/>
      <c r="M416" s="20"/>
      <c r="N416" s="20"/>
      <c r="O416" s="20"/>
      <c r="P416" s="20"/>
      <c r="Q416" s="20"/>
      <c r="R416" s="20"/>
      <c r="S416" s="20"/>
      <c r="T416" s="20"/>
      <c r="U416" s="20"/>
      <c r="V416" s="20"/>
      <c r="W416" s="20"/>
      <c r="X416" s="20"/>
    </row>
    <row r="417">
      <c r="A417" s="20"/>
      <c r="B417" s="20"/>
      <c r="C417" s="20"/>
      <c r="D417" s="70"/>
      <c r="E417" s="70"/>
      <c r="F417" s="70"/>
      <c r="G417" s="20"/>
      <c r="H417" s="20"/>
      <c r="I417" s="70"/>
      <c r="J417" s="70"/>
      <c r="K417" s="70"/>
      <c r="L417" s="70"/>
      <c r="M417" s="20"/>
      <c r="N417" s="20"/>
      <c r="O417" s="20"/>
      <c r="P417" s="20"/>
      <c r="Q417" s="20"/>
      <c r="R417" s="20"/>
      <c r="S417" s="20"/>
      <c r="T417" s="20"/>
      <c r="U417" s="20"/>
      <c r="V417" s="20"/>
      <c r="W417" s="20"/>
      <c r="X417" s="20"/>
    </row>
    <row r="418">
      <c r="A418" s="20"/>
      <c r="B418" s="20"/>
      <c r="C418" s="20"/>
      <c r="D418" s="70"/>
      <c r="E418" s="70"/>
      <c r="F418" s="70"/>
      <c r="G418" s="20"/>
      <c r="H418" s="20"/>
      <c r="I418" s="70"/>
      <c r="J418" s="70"/>
      <c r="K418" s="70"/>
      <c r="L418" s="70"/>
      <c r="M418" s="20"/>
      <c r="N418" s="20"/>
      <c r="O418" s="20"/>
      <c r="P418" s="20"/>
      <c r="Q418" s="20"/>
      <c r="R418" s="20"/>
      <c r="S418" s="20"/>
      <c r="T418" s="20"/>
      <c r="U418" s="20"/>
      <c r="V418" s="20"/>
      <c r="W418" s="20"/>
      <c r="X418" s="20"/>
    </row>
    <row r="419">
      <c r="A419" s="20"/>
      <c r="B419" s="20"/>
      <c r="C419" s="20"/>
      <c r="D419" s="70"/>
      <c r="E419" s="70"/>
      <c r="F419" s="70"/>
      <c r="G419" s="20"/>
      <c r="H419" s="20"/>
      <c r="I419" s="70"/>
      <c r="J419" s="70"/>
      <c r="K419" s="70"/>
      <c r="L419" s="70"/>
      <c r="M419" s="20"/>
      <c r="N419" s="20"/>
      <c r="O419" s="20"/>
      <c r="P419" s="20"/>
      <c r="Q419" s="20"/>
      <c r="R419" s="20"/>
      <c r="S419" s="20"/>
      <c r="T419" s="20"/>
      <c r="U419" s="20"/>
      <c r="V419" s="20"/>
      <c r="W419" s="20"/>
      <c r="X419" s="20"/>
    </row>
    <row r="420">
      <c r="A420" s="20"/>
      <c r="B420" s="20"/>
      <c r="C420" s="20"/>
      <c r="D420" s="70"/>
      <c r="E420" s="70"/>
      <c r="F420" s="70"/>
      <c r="G420" s="20"/>
      <c r="H420" s="20"/>
      <c r="I420" s="70"/>
      <c r="J420" s="70"/>
      <c r="K420" s="70"/>
      <c r="L420" s="70"/>
      <c r="M420" s="20"/>
      <c r="N420" s="20"/>
      <c r="O420" s="20"/>
      <c r="P420" s="20"/>
      <c r="Q420" s="20"/>
      <c r="R420" s="20"/>
      <c r="S420" s="20"/>
      <c r="T420" s="20"/>
      <c r="U420" s="20"/>
      <c r="V420" s="20"/>
      <c r="W420" s="20"/>
      <c r="X420" s="20"/>
    </row>
    <row r="421">
      <c r="A421" s="20"/>
      <c r="B421" s="20"/>
      <c r="C421" s="20"/>
      <c r="D421" s="70"/>
      <c r="E421" s="70"/>
      <c r="F421" s="70"/>
      <c r="G421" s="20"/>
      <c r="H421" s="20"/>
      <c r="I421" s="70"/>
      <c r="J421" s="70"/>
      <c r="K421" s="70"/>
      <c r="L421" s="70"/>
      <c r="M421" s="20"/>
      <c r="N421" s="20"/>
      <c r="O421" s="20"/>
      <c r="P421" s="20"/>
      <c r="Q421" s="20"/>
      <c r="R421" s="20"/>
      <c r="S421" s="20"/>
      <c r="T421" s="20"/>
      <c r="U421" s="20"/>
      <c r="V421" s="20"/>
      <c r="W421" s="20"/>
      <c r="X421" s="20"/>
    </row>
    <row r="422">
      <c r="A422" s="20"/>
      <c r="B422" s="20"/>
      <c r="C422" s="20"/>
      <c r="D422" s="70"/>
      <c r="E422" s="70"/>
      <c r="F422" s="70"/>
      <c r="G422" s="20"/>
      <c r="H422" s="20"/>
      <c r="I422" s="70"/>
      <c r="J422" s="70"/>
      <c r="K422" s="70"/>
      <c r="L422" s="70"/>
      <c r="M422" s="20"/>
      <c r="N422" s="20"/>
      <c r="O422" s="20"/>
      <c r="P422" s="20"/>
      <c r="Q422" s="20"/>
      <c r="R422" s="20"/>
      <c r="S422" s="20"/>
      <c r="T422" s="20"/>
      <c r="U422" s="20"/>
      <c r="V422" s="20"/>
      <c r="W422" s="20"/>
      <c r="X422" s="20"/>
    </row>
    <row r="423">
      <c r="A423" s="20"/>
      <c r="B423" s="20"/>
      <c r="C423" s="20"/>
      <c r="D423" s="70"/>
      <c r="E423" s="70"/>
      <c r="F423" s="70"/>
      <c r="G423" s="20"/>
      <c r="H423" s="20"/>
      <c r="I423" s="70"/>
      <c r="J423" s="70"/>
      <c r="K423" s="70"/>
      <c r="L423" s="70"/>
      <c r="M423" s="20"/>
      <c r="N423" s="20"/>
      <c r="O423" s="20"/>
      <c r="P423" s="20"/>
      <c r="Q423" s="20"/>
      <c r="R423" s="20"/>
      <c r="S423" s="20"/>
      <c r="T423" s="20"/>
      <c r="U423" s="20"/>
      <c r="V423" s="20"/>
      <c r="W423" s="20"/>
      <c r="X423" s="20"/>
    </row>
    <row r="424">
      <c r="A424" s="20"/>
      <c r="B424" s="20"/>
      <c r="C424" s="20"/>
      <c r="D424" s="70"/>
      <c r="E424" s="70"/>
      <c r="F424" s="70"/>
      <c r="G424" s="20"/>
      <c r="H424" s="20"/>
      <c r="I424" s="70"/>
      <c r="J424" s="70"/>
      <c r="K424" s="70"/>
      <c r="L424" s="70"/>
      <c r="M424" s="20"/>
      <c r="N424" s="20"/>
      <c r="O424" s="20"/>
      <c r="P424" s="20"/>
      <c r="Q424" s="20"/>
      <c r="R424" s="20"/>
      <c r="S424" s="20"/>
      <c r="T424" s="20"/>
      <c r="U424" s="20"/>
      <c r="V424" s="20"/>
      <c r="W424" s="20"/>
      <c r="X424" s="20"/>
    </row>
    <row r="425">
      <c r="A425" s="20"/>
      <c r="B425" s="20"/>
      <c r="C425" s="20"/>
      <c r="D425" s="70"/>
      <c r="E425" s="70"/>
      <c r="F425" s="70"/>
      <c r="G425" s="20"/>
      <c r="H425" s="20"/>
      <c r="I425" s="70"/>
      <c r="J425" s="70"/>
      <c r="K425" s="70"/>
      <c r="L425" s="70"/>
      <c r="M425" s="20"/>
      <c r="N425" s="20"/>
      <c r="O425" s="20"/>
      <c r="P425" s="20"/>
      <c r="Q425" s="20"/>
      <c r="R425" s="20"/>
      <c r="S425" s="20"/>
      <c r="T425" s="20"/>
      <c r="U425" s="20"/>
      <c r="V425" s="20"/>
      <c r="W425" s="20"/>
      <c r="X425" s="20"/>
    </row>
    <row r="426">
      <c r="A426" s="20"/>
      <c r="B426" s="20"/>
      <c r="C426" s="20"/>
      <c r="D426" s="70"/>
      <c r="E426" s="70"/>
      <c r="F426" s="70"/>
      <c r="G426" s="20"/>
      <c r="H426" s="20"/>
      <c r="I426" s="70"/>
      <c r="J426" s="70"/>
      <c r="K426" s="70"/>
      <c r="L426" s="70"/>
      <c r="M426" s="20"/>
      <c r="N426" s="20"/>
      <c r="O426" s="20"/>
      <c r="P426" s="20"/>
      <c r="Q426" s="20"/>
      <c r="R426" s="20"/>
      <c r="S426" s="20"/>
      <c r="T426" s="20"/>
      <c r="U426" s="20"/>
      <c r="V426" s="20"/>
      <c r="W426" s="20"/>
      <c r="X426" s="20"/>
    </row>
    <row r="427">
      <c r="A427" s="20"/>
      <c r="B427" s="20"/>
      <c r="C427" s="20"/>
      <c r="D427" s="70"/>
      <c r="E427" s="70"/>
      <c r="F427" s="70"/>
      <c r="G427" s="20"/>
      <c r="H427" s="20"/>
      <c r="I427" s="70"/>
      <c r="J427" s="70"/>
      <c r="K427" s="70"/>
      <c r="L427" s="70"/>
      <c r="M427" s="20"/>
      <c r="N427" s="20"/>
      <c r="O427" s="20"/>
      <c r="P427" s="20"/>
      <c r="Q427" s="20"/>
      <c r="R427" s="20"/>
      <c r="S427" s="20"/>
      <c r="T427" s="20"/>
      <c r="U427" s="20"/>
      <c r="V427" s="20"/>
      <c r="W427" s="20"/>
      <c r="X427" s="20"/>
    </row>
    <row r="428">
      <c r="A428" s="20"/>
      <c r="B428" s="20"/>
      <c r="C428" s="20"/>
      <c r="D428" s="70"/>
      <c r="E428" s="70"/>
      <c r="F428" s="70"/>
      <c r="G428" s="20"/>
      <c r="H428" s="20"/>
      <c r="I428" s="70"/>
      <c r="J428" s="70"/>
      <c r="K428" s="70"/>
      <c r="L428" s="70"/>
      <c r="M428" s="20"/>
      <c r="N428" s="20"/>
      <c r="O428" s="20"/>
      <c r="P428" s="20"/>
      <c r="Q428" s="20"/>
      <c r="R428" s="20"/>
      <c r="S428" s="20"/>
      <c r="T428" s="20"/>
      <c r="U428" s="20"/>
      <c r="V428" s="20"/>
      <c r="W428" s="20"/>
      <c r="X428" s="20"/>
    </row>
    <row r="429">
      <c r="A429" s="20"/>
      <c r="B429" s="20"/>
      <c r="C429" s="20"/>
      <c r="D429" s="70"/>
      <c r="E429" s="70"/>
      <c r="F429" s="70"/>
      <c r="G429" s="20"/>
      <c r="H429" s="20"/>
      <c r="I429" s="70"/>
      <c r="J429" s="70"/>
      <c r="K429" s="70"/>
      <c r="L429" s="70"/>
      <c r="M429" s="20"/>
      <c r="N429" s="20"/>
      <c r="O429" s="20"/>
      <c r="P429" s="20"/>
      <c r="Q429" s="20"/>
      <c r="R429" s="20"/>
      <c r="S429" s="20"/>
      <c r="T429" s="20"/>
      <c r="U429" s="20"/>
      <c r="V429" s="20"/>
      <c r="W429" s="20"/>
      <c r="X429" s="20"/>
    </row>
    <row r="430">
      <c r="A430" s="20"/>
      <c r="B430" s="20"/>
      <c r="C430" s="20"/>
      <c r="D430" s="70"/>
      <c r="E430" s="70"/>
      <c r="F430" s="70"/>
      <c r="G430" s="20"/>
      <c r="H430" s="20"/>
      <c r="I430" s="70"/>
      <c r="J430" s="70"/>
      <c r="K430" s="70"/>
      <c r="L430" s="70"/>
      <c r="M430" s="20"/>
      <c r="N430" s="20"/>
      <c r="O430" s="20"/>
      <c r="P430" s="20"/>
      <c r="Q430" s="20"/>
      <c r="R430" s="20"/>
      <c r="S430" s="20"/>
      <c r="T430" s="20"/>
      <c r="U430" s="20"/>
      <c r="V430" s="20"/>
      <c r="W430" s="20"/>
      <c r="X430" s="20"/>
    </row>
    <row r="431">
      <c r="A431" s="20"/>
      <c r="B431" s="20"/>
      <c r="C431" s="20"/>
      <c r="D431" s="70"/>
      <c r="E431" s="70"/>
      <c r="F431" s="70"/>
      <c r="G431" s="20"/>
      <c r="H431" s="20"/>
      <c r="I431" s="70"/>
      <c r="J431" s="70"/>
      <c r="K431" s="70"/>
      <c r="L431" s="70"/>
      <c r="M431" s="20"/>
      <c r="N431" s="20"/>
      <c r="O431" s="20"/>
      <c r="P431" s="20"/>
      <c r="Q431" s="20"/>
      <c r="R431" s="20"/>
      <c r="S431" s="20"/>
      <c r="T431" s="20"/>
      <c r="U431" s="20"/>
      <c r="V431" s="20"/>
      <c r="W431" s="20"/>
      <c r="X431" s="20"/>
    </row>
    <row r="432">
      <c r="A432" s="20"/>
      <c r="B432" s="20"/>
      <c r="C432" s="20"/>
      <c r="D432" s="70"/>
      <c r="E432" s="70"/>
      <c r="F432" s="70"/>
      <c r="G432" s="20"/>
      <c r="H432" s="20"/>
      <c r="I432" s="70"/>
      <c r="J432" s="70"/>
      <c r="K432" s="70"/>
      <c r="L432" s="70"/>
      <c r="M432" s="20"/>
      <c r="N432" s="20"/>
      <c r="O432" s="20"/>
      <c r="P432" s="20"/>
      <c r="Q432" s="20"/>
      <c r="R432" s="20"/>
      <c r="S432" s="20"/>
      <c r="T432" s="20"/>
      <c r="U432" s="20"/>
      <c r="V432" s="20"/>
      <c r="W432" s="20"/>
      <c r="X432" s="20"/>
    </row>
    <row r="433">
      <c r="A433" s="20"/>
      <c r="B433" s="20"/>
      <c r="C433" s="20"/>
      <c r="D433" s="70"/>
      <c r="E433" s="70"/>
      <c r="F433" s="70"/>
      <c r="G433" s="20"/>
      <c r="H433" s="20"/>
      <c r="I433" s="70"/>
      <c r="J433" s="70"/>
      <c r="K433" s="70"/>
      <c r="L433" s="70"/>
      <c r="M433" s="20"/>
      <c r="N433" s="20"/>
      <c r="O433" s="20"/>
      <c r="P433" s="20"/>
      <c r="Q433" s="20"/>
      <c r="R433" s="20"/>
      <c r="S433" s="20"/>
      <c r="T433" s="20"/>
      <c r="U433" s="20"/>
      <c r="V433" s="20"/>
      <c r="W433" s="20"/>
      <c r="X433" s="20"/>
    </row>
    <row r="434">
      <c r="A434" s="20"/>
      <c r="B434" s="20"/>
      <c r="C434" s="20"/>
      <c r="D434" s="70"/>
      <c r="E434" s="70"/>
      <c r="F434" s="70"/>
      <c r="G434" s="20"/>
      <c r="H434" s="20"/>
      <c r="I434" s="70"/>
      <c r="J434" s="70"/>
      <c r="K434" s="70"/>
      <c r="L434" s="70"/>
      <c r="M434" s="20"/>
      <c r="N434" s="20"/>
      <c r="O434" s="20"/>
      <c r="P434" s="20"/>
      <c r="Q434" s="20"/>
      <c r="R434" s="20"/>
      <c r="S434" s="20"/>
      <c r="T434" s="20"/>
      <c r="U434" s="20"/>
      <c r="V434" s="20"/>
      <c r="W434" s="20"/>
      <c r="X434" s="20"/>
    </row>
    <row r="435">
      <c r="A435" s="20"/>
      <c r="B435" s="20"/>
      <c r="C435" s="20"/>
      <c r="D435" s="70"/>
      <c r="E435" s="70"/>
      <c r="F435" s="70"/>
      <c r="G435" s="20"/>
      <c r="H435" s="20"/>
      <c r="I435" s="70"/>
      <c r="J435" s="70"/>
      <c r="K435" s="70"/>
      <c r="L435" s="70"/>
      <c r="M435" s="20"/>
      <c r="N435" s="20"/>
      <c r="O435" s="20"/>
      <c r="P435" s="20"/>
      <c r="Q435" s="20"/>
      <c r="R435" s="20"/>
      <c r="S435" s="20"/>
      <c r="T435" s="20"/>
      <c r="U435" s="20"/>
      <c r="V435" s="20"/>
      <c r="W435" s="20"/>
      <c r="X435" s="20"/>
    </row>
    <row r="436">
      <c r="A436" s="20"/>
      <c r="B436" s="20"/>
      <c r="C436" s="20"/>
      <c r="D436" s="70"/>
      <c r="E436" s="70"/>
      <c r="F436" s="70"/>
      <c r="G436" s="20"/>
      <c r="H436" s="20"/>
      <c r="I436" s="70"/>
      <c r="J436" s="70"/>
      <c r="K436" s="70"/>
      <c r="L436" s="70"/>
      <c r="M436" s="20"/>
      <c r="N436" s="20"/>
      <c r="O436" s="20"/>
      <c r="P436" s="20"/>
      <c r="Q436" s="20"/>
      <c r="R436" s="20"/>
      <c r="S436" s="20"/>
      <c r="T436" s="20"/>
      <c r="U436" s="20"/>
      <c r="V436" s="20"/>
      <c r="W436" s="20"/>
      <c r="X436" s="20"/>
    </row>
    <row r="437">
      <c r="A437" s="20"/>
      <c r="B437" s="20"/>
      <c r="C437" s="20"/>
      <c r="D437" s="70"/>
      <c r="E437" s="70"/>
      <c r="F437" s="70"/>
      <c r="G437" s="20"/>
      <c r="H437" s="20"/>
      <c r="I437" s="70"/>
      <c r="J437" s="70"/>
      <c r="K437" s="70"/>
      <c r="L437" s="70"/>
      <c r="M437" s="20"/>
      <c r="N437" s="20"/>
      <c r="O437" s="20"/>
      <c r="P437" s="20"/>
      <c r="Q437" s="20"/>
      <c r="R437" s="20"/>
      <c r="S437" s="20"/>
      <c r="T437" s="20"/>
      <c r="U437" s="20"/>
      <c r="V437" s="20"/>
      <c r="W437" s="20"/>
      <c r="X437" s="20"/>
    </row>
    <row r="438">
      <c r="A438" s="20"/>
      <c r="B438" s="20"/>
      <c r="C438" s="20"/>
      <c r="D438" s="70"/>
      <c r="E438" s="70"/>
      <c r="F438" s="70"/>
      <c r="G438" s="20"/>
      <c r="H438" s="20"/>
      <c r="I438" s="70"/>
      <c r="J438" s="70"/>
      <c r="K438" s="70"/>
      <c r="L438" s="70"/>
      <c r="M438" s="20"/>
      <c r="N438" s="20"/>
      <c r="O438" s="20"/>
      <c r="P438" s="20"/>
      <c r="Q438" s="20"/>
      <c r="R438" s="20"/>
      <c r="S438" s="20"/>
      <c r="T438" s="20"/>
      <c r="U438" s="20"/>
      <c r="V438" s="20"/>
      <c r="W438" s="20"/>
      <c r="X438" s="20"/>
    </row>
    <row r="439">
      <c r="A439" s="20"/>
      <c r="B439" s="20"/>
      <c r="C439" s="20"/>
      <c r="D439" s="70"/>
      <c r="E439" s="70"/>
      <c r="F439" s="70"/>
      <c r="G439" s="20"/>
      <c r="H439" s="20"/>
      <c r="I439" s="70"/>
      <c r="J439" s="70"/>
      <c r="K439" s="70"/>
      <c r="L439" s="70"/>
      <c r="M439" s="20"/>
      <c r="N439" s="20"/>
      <c r="O439" s="20"/>
      <c r="P439" s="20"/>
      <c r="Q439" s="20"/>
      <c r="R439" s="20"/>
      <c r="S439" s="20"/>
      <c r="T439" s="20"/>
      <c r="U439" s="20"/>
      <c r="V439" s="20"/>
      <c r="W439" s="20"/>
      <c r="X439" s="20"/>
    </row>
    <row r="440">
      <c r="A440" s="20"/>
      <c r="B440" s="20"/>
      <c r="C440" s="20"/>
      <c r="D440" s="70"/>
      <c r="E440" s="70"/>
      <c r="F440" s="70"/>
      <c r="G440" s="20"/>
      <c r="H440" s="20"/>
      <c r="I440" s="70"/>
      <c r="J440" s="70"/>
      <c r="K440" s="70"/>
      <c r="L440" s="70"/>
      <c r="M440" s="20"/>
      <c r="N440" s="20"/>
      <c r="O440" s="20"/>
      <c r="P440" s="20"/>
      <c r="Q440" s="20"/>
      <c r="R440" s="20"/>
      <c r="S440" s="20"/>
      <c r="T440" s="20"/>
      <c r="U440" s="20"/>
      <c r="V440" s="20"/>
      <c r="W440" s="20"/>
      <c r="X440" s="20"/>
    </row>
    <row r="441">
      <c r="A441" s="20"/>
      <c r="B441" s="20"/>
      <c r="C441" s="20"/>
      <c r="D441" s="70"/>
      <c r="E441" s="70"/>
      <c r="F441" s="70"/>
      <c r="G441" s="20"/>
      <c r="H441" s="20"/>
      <c r="I441" s="70"/>
      <c r="J441" s="70"/>
      <c r="K441" s="70"/>
      <c r="L441" s="70"/>
      <c r="M441" s="20"/>
      <c r="N441" s="20"/>
      <c r="O441" s="20"/>
      <c r="P441" s="20"/>
      <c r="Q441" s="20"/>
      <c r="R441" s="20"/>
      <c r="S441" s="20"/>
      <c r="T441" s="20"/>
      <c r="U441" s="20"/>
      <c r="V441" s="20"/>
      <c r="W441" s="20"/>
      <c r="X441" s="20"/>
    </row>
    <row r="442">
      <c r="A442" s="20"/>
      <c r="B442" s="20"/>
      <c r="C442" s="20"/>
      <c r="D442" s="70"/>
      <c r="E442" s="70"/>
      <c r="F442" s="70"/>
      <c r="G442" s="20"/>
      <c r="H442" s="20"/>
      <c r="I442" s="70"/>
      <c r="J442" s="70"/>
      <c r="K442" s="70"/>
      <c r="L442" s="70"/>
      <c r="M442" s="20"/>
      <c r="N442" s="20"/>
      <c r="O442" s="20"/>
      <c r="P442" s="20"/>
      <c r="Q442" s="20"/>
      <c r="R442" s="20"/>
      <c r="S442" s="20"/>
      <c r="T442" s="20"/>
      <c r="U442" s="20"/>
      <c r="V442" s="20"/>
      <c r="W442" s="20"/>
      <c r="X442" s="20"/>
    </row>
    <row r="443">
      <c r="A443" s="20"/>
      <c r="B443" s="20"/>
      <c r="C443" s="20"/>
      <c r="D443" s="70"/>
      <c r="E443" s="70"/>
      <c r="F443" s="70"/>
      <c r="G443" s="20"/>
      <c r="H443" s="20"/>
      <c r="I443" s="70"/>
      <c r="J443" s="70"/>
      <c r="K443" s="70"/>
      <c r="L443" s="70"/>
      <c r="M443" s="20"/>
      <c r="N443" s="20"/>
      <c r="O443" s="20"/>
      <c r="P443" s="20"/>
      <c r="Q443" s="20"/>
      <c r="R443" s="20"/>
      <c r="S443" s="20"/>
      <c r="T443" s="20"/>
      <c r="U443" s="20"/>
      <c r="V443" s="20"/>
      <c r="W443" s="20"/>
      <c r="X443" s="20"/>
    </row>
    <row r="444">
      <c r="A444" s="20"/>
      <c r="B444" s="20"/>
      <c r="C444" s="20"/>
      <c r="D444" s="70"/>
      <c r="E444" s="70"/>
      <c r="F444" s="70"/>
      <c r="G444" s="20"/>
      <c r="H444" s="20"/>
      <c r="I444" s="70"/>
      <c r="J444" s="70"/>
      <c r="K444" s="70"/>
      <c r="L444" s="70"/>
      <c r="M444" s="20"/>
      <c r="N444" s="20"/>
      <c r="O444" s="20"/>
      <c r="P444" s="20"/>
      <c r="Q444" s="20"/>
      <c r="R444" s="20"/>
      <c r="S444" s="20"/>
      <c r="T444" s="20"/>
      <c r="U444" s="20"/>
      <c r="V444" s="20"/>
      <c r="W444" s="20"/>
      <c r="X444" s="20"/>
    </row>
    <row r="445">
      <c r="A445" s="20"/>
      <c r="B445" s="20"/>
      <c r="C445" s="20"/>
      <c r="D445" s="70"/>
      <c r="E445" s="70"/>
      <c r="F445" s="70"/>
      <c r="G445" s="20"/>
      <c r="H445" s="20"/>
      <c r="I445" s="70"/>
      <c r="J445" s="70"/>
      <c r="K445" s="70"/>
      <c r="L445" s="70"/>
      <c r="M445" s="20"/>
      <c r="N445" s="20"/>
      <c r="O445" s="20"/>
      <c r="P445" s="20"/>
      <c r="Q445" s="20"/>
      <c r="R445" s="20"/>
      <c r="S445" s="20"/>
      <c r="T445" s="20"/>
      <c r="U445" s="20"/>
      <c r="V445" s="20"/>
      <c r="W445" s="20"/>
      <c r="X445" s="20"/>
    </row>
    <row r="446">
      <c r="A446" s="20"/>
      <c r="B446" s="20"/>
      <c r="C446" s="20"/>
      <c r="D446" s="70"/>
      <c r="E446" s="70"/>
      <c r="F446" s="70"/>
      <c r="G446" s="20"/>
      <c r="H446" s="20"/>
      <c r="I446" s="70"/>
      <c r="J446" s="70"/>
      <c r="K446" s="70"/>
      <c r="L446" s="70"/>
      <c r="M446" s="20"/>
      <c r="N446" s="20"/>
      <c r="O446" s="20"/>
      <c r="P446" s="20"/>
      <c r="Q446" s="20"/>
      <c r="R446" s="20"/>
      <c r="S446" s="20"/>
      <c r="T446" s="20"/>
      <c r="U446" s="20"/>
      <c r="V446" s="20"/>
      <c r="W446" s="20"/>
      <c r="X446" s="20"/>
    </row>
    <row r="447">
      <c r="A447" s="20"/>
      <c r="B447" s="20"/>
      <c r="C447" s="20"/>
      <c r="D447" s="70"/>
      <c r="E447" s="70"/>
      <c r="F447" s="70"/>
      <c r="G447" s="20"/>
      <c r="H447" s="20"/>
      <c r="I447" s="70"/>
      <c r="J447" s="70"/>
      <c r="K447" s="70"/>
      <c r="L447" s="70"/>
      <c r="M447" s="20"/>
      <c r="N447" s="20"/>
      <c r="O447" s="20"/>
      <c r="P447" s="20"/>
      <c r="Q447" s="20"/>
      <c r="R447" s="20"/>
      <c r="S447" s="20"/>
      <c r="T447" s="20"/>
      <c r="U447" s="20"/>
      <c r="V447" s="20"/>
      <c r="W447" s="20"/>
      <c r="X447" s="20"/>
    </row>
    <row r="448">
      <c r="A448" s="20"/>
      <c r="B448" s="20"/>
      <c r="C448" s="20"/>
      <c r="D448" s="70"/>
      <c r="E448" s="70"/>
      <c r="F448" s="70"/>
      <c r="G448" s="20"/>
      <c r="H448" s="20"/>
      <c r="I448" s="70"/>
      <c r="J448" s="70"/>
      <c r="K448" s="70"/>
      <c r="L448" s="70"/>
      <c r="M448" s="20"/>
      <c r="N448" s="20"/>
      <c r="O448" s="20"/>
      <c r="P448" s="20"/>
      <c r="Q448" s="20"/>
      <c r="R448" s="20"/>
      <c r="S448" s="20"/>
      <c r="T448" s="20"/>
      <c r="U448" s="20"/>
      <c r="V448" s="20"/>
      <c r="W448" s="20"/>
      <c r="X448" s="20"/>
    </row>
    <row r="449">
      <c r="A449" s="20"/>
      <c r="B449" s="20"/>
      <c r="C449" s="20"/>
      <c r="D449" s="70"/>
      <c r="E449" s="70"/>
      <c r="F449" s="70"/>
      <c r="G449" s="20"/>
      <c r="H449" s="20"/>
      <c r="I449" s="70"/>
      <c r="J449" s="70"/>
      <c r="K449" s="70"/>
      <c r="L449" s="70"/>
      <c r="M449" s="20"/>
      <c r="N449" s="20"/>
      <c r="O449" s="20"/>
      <c r="P449" s="20"/>
      <c r="Q449" s="20"/>
      <c r="R449" s="20"/>
      <c r="S449" s="20"/>
      <c r="T449" s="20"/>
      <c r="U449" s="20"/>
      <c r="V449" s="20"/>
      <c r="W449" s="20"/>
      <c r="X449" s="20"/>
    </row>
    <row r="450">
      <c r="A450" s="20"/>
      <c r="B450" s="20"/>
      <c r="C450" s="20"/>
      <c r="D450" s="70"/>
      <c r="E450" s="70"/>
      <c r="F450" s="70"/>
      <c r="G450" s="20"/>
      <c r="H450" s="20"/>
      <c r="I450" s="70"/>
      <c r="J450" s="70"/>
      <c r="K450" s="70"/>
      <c r="L450" s="70"/>
      <c r="M450" s="20"/>
      <c r="N450" s="20"/>
      <c r="O450" s="20"/>
      <c r="P450" s="20"/>
      <c r="Q450" s="20"/>
      <c r="R450" s="20"/>
      <c r="S450" s="20"/>
      <c r="T450" s="20"/>
      <c r="U450" s="20"/>
      <c r="V450" s="20"/>
      <c r="W450" s="20"/>
      <c r="X450" s="20"/>
    </row>
    <row r="451">
      <c r="A451" s="20"/>
      <c r="B451" s="20"/>
      <c r="C451" s="20"/>
      <c r="D451" s="70"/>
      <c r="E451" s="70"/>
      <c r="F451" s="70"/>
      <c r="G451" s="20"/>
      <c r="H451" s="20"/>
      <c r="I451" s="70"/>
      <c r="J451" s="70"/>
      <c r="K451" s="70"/>
      <c r="L451" s="70"/>
      <c r="M451" s="20"/>
      <c r="N451" s="20"/>
      <c r="O451" s="20"/>
      <c r="P451" s="20"/>
      <c r="Q451" s="20"/>
      <c r="R451" s="20"/>
      <c r="S451" s="20"/>
      <c r="T451" s="20"/>
      <c r="U451" s="20"/>
      <c r="V451" s="20"/>
      <c r="W451" s="20"/>
      <c r="X451" s="20"/>
    </row>
    <row r="452">
      <c r="A452" s="20"/>
      <c r="B452" s="20"/>
      <c r="C452" s="20"/>
      <c r="D452" s="70"/>
      <c r="E452" s="70"/>
      <c r="F452" s="70"/>
      <c r="G452" s="20"/>
      <c r="H452" s="20"/>
      <c r="I452" s="70"/>
      <c r="J452" s="70"/>
      <c r="K452" s="70"/>
      <c r="L452" s="70"/>
      <c r="M452" s="20"/>
      <c r="N452" s="20"/>
      <c r="O452" s="20"/>
      <c r="P452" s="20"/>
      <c r="Q452" s="20"/>
      <c r="R452" s="20"/>
      <c r="S452" s="20"/>
      <c r="T452" s="20"/>
      <c r="U452" s="20"/>
      <c r="V452" s="20"/>
      <c r="W452" s="20"/>
      <c r="X452" s="20"/>
    </row>
    <row r="453">
      <c r="A453" s="20"/>
      <c r="B453" s="20"/>
      <c r="C453" s="20"/>
      <c r="D453" s="70"/>
      <c r="E453" s="70"/>
      <c r="F453" s="70"/>
      <c r="G453" s="20"/>
      <c r="H453" s="20"/>
      <c r="I453" s="70"/>
      <c r="J453" s="70"/>
      <c r="K453" s="70"/>
      <c r="L453" s="70"/>
      <c r="M453" s="20"/>
      <c r="N453" s="20"/>
      <c r="O453" s="20"/>
      <c r="P453" s="20"/>
      <c r="Q453" s="20"/>
      <c r="R453" s="20"/>
      <c r="S453" s="20"/>
      <c r="T453" s="20"/>
      <c r="U453" s="20"/>
      <c r="V453" s="20"/>
      <c r="W453" s="20"/>
      <c r="X453" s="20"/>
    </row>
    <row r="454">
      <c r="A454" s="20"/>
      <c r="B454" s="20"/>
      <c r="C454" s="20"/>
      <c r="D454" s="70"/>
      <c r="E454" s="70"/>
      <c r="F454" s="70"/>
      <c r="G454" s="20"/>
      <c r="H454" s="20"/>
      <c r="I454" s="70"/>
      <c r="J454" s="70"/>
      <c r="K454" s="70"/>
      <c r="L454" s="70"/>
      <c r="M454" s="20"/>
      <c r="N454" s="20"/>
      <c r="O454" s="20"/>
      <c r="P454" s="20"/>
      <c r="Q454" s="20"/>
      <c r="R454" s="20"/>
      <c r="S454" s="20"/>
      <c r="T454" s="20"/>
      <c r="U454" s="20"/>
      <c r="V454" s="20"/>
      <c r="W454" s="20"/>
      <c r="X454" s="20"/>
    </row>
    <row r="455">
      <c r="A455" s="20"/>
      <c r="B455" s="20"/>
      <c r="C455" s="20"/>
      <c r="D455" s="70"/>
      <c r="E455" s="70"/>
      <c r="F455" s="70"/>
      <c r="G455" s="20"/>
      <c r="H455" s="20"/>
      <c r="I455" s="70"/>
      <c r="J455" s="70"/>
      <c r="K455" s="70"/>
      <c r="L455" s="70"/>
      <c r="M455" s="20"/>
      <c r="N455" s="20"/>
      <c r="O455" s="20"/>
      <c r="P455" s="20"/>
      <c r="Q455" s="20"/>
      <c r="R455" s="20"/>
      <c r="S455" s="20"/>
      <c r="T455" s="20"/>
      <c r="U455" s="20"/>
      <c r="V455" s="20"/>
      <c r="W455" s="20"/>
      <c r="X455" s="20"/>
    </row>
    <row r="456">
      <c r="A456" s="20"/>
      <c r="B456" s="20"/>
      <c r="C456" s="20"/>
      <c r="D456" s="70"/>
      <c r="E456" s="70"/>
      <c r="F456" s="70"/>
      <c r="G456" s="20"/>
      <c r="H456" s="20"/>
      <c r="I456" s="70"/>
      <c r="J456" s="70"/>
      <c r="K456" s="70"/>
      <c r="L456" s="70"/>
      <c r="M456" s="20"/>
      <c r="N456" s="20"/>
      <c r="O456" s="20"/>
      <c r="P456" s="20"/>
      <c r="Q456" s="20"/>
      <c r="R456" s="20"/>
      <c r="S456" s="20"/>
      <c r="T456" s="20"/>
      <c r="U456" s="20"/>
      <c r="V456" s="20"/>
      <c r="W456" s="20"/>
      <c r="X456" s="20"/>
    </row>
    <row r="457">
      <c r="A457" s="20"/>
      <c r="B457" s="20"/>
      <c r="C457" s="20"/>
      <c r="D457" s="70"/>
      <c r="E457" s="70"/>
      <c r="F457" s="70"/>
      <c r="G457" s="20"/>
      <c r="H457" s="20"/>
      <c r="I457" s="70"/>
      <c r="J457" s="70"/>
      <c r="K457" s="70"/>
      <c r="L457" s="70"/>
      <c r="M457" s="20"/>
      <c r="N457" s="20"/>
      <c r="O457" s="20"/>
      <c r="P457" s="20"/>
      <c r="Q457" s="20"/>
      <c r="R457" s="20"/>
      <c r="S457" s="20"/>
      <c r="T457" s="20"/>
      <c r="U457" s="20"/>
      <c r="V457" s="20"/>
      <c r="W457" s="20"/>
      <c r="X457" s="20"/>
    </row>
    <row r="458">
      <c r="A458" s="20"/>
      <c r="B458" s="20"/>
      <c r="C458" s="20"/>
      <c r="D458" s="70"/>
      <c r="E458" s="70"/>
      <c r="F458" s="70"/>
      <c r="G458" s="20"/>
      <c r="H458" s="20"/>
      <c r="I458" s="70"/>
      <c r="J458" s="70"/>
      <c r="K458" s="70"/>
      <c r="L458" s="70"/>
      <c r="M458" s="20"/>
      <c r="N458" s="20"/>
      <c r="O458" s="20"/>
      <c r="P458" s="20"/>
      <c r="Q458" s="20"/>
      <c r="R458" s="20"/>
      <c r="S458" s="20"/>
      <c r="T458" s="20"/>
      <c r="U458" s="20"/>
      <c r="V458" s="20"/>
      <c r="W458" s="20"/>
      <c r="X458" s="20"/>
    </row>
    <row r="459">
      <c r="A459" s="20"/>
      <c r="B459" s="20"/>
      <c r="C459" s="20"/>
      <c r="D459" s="70"/>
      <c r="E459" s="70"/>
      <c r="F459" s="70"/>
      <c r="G459" s="20"/>
      <c r="H459" s="20"/>
      <c r="I459" s="70"/>
      <c r="J459" s="70"/>
      <c r="K459" s="70"/>
      <c r="L459" s="70"/>
      <c r="M459" s="20"/>
      <c r="N459" s="20"/>
      <c r="O459" s="20"/>
      <c r="P459" s="20"/>
      <c r="Q459" s="20"/>
      <c r="R459" s="20"/>
      <c r="S459" s="20"/>
      <c r="T459" s="20"/>
      <c r="U459" s="20"/>
      <c r="V459" s="20"/>
      <c r="W459" s="20"/>
      <c r="X459" s="20"/>
    </row>
    <row r="460">
      <c r="A460" s="20"/>
      <c r="B460" s="20"/>
      <c r="C460" s="20"/>
      <c r="D460" s="70"/>
      <c r="E460" s="70"/>
      <c r="F460" s="70"/>
      <c r="G460" s="20"/>
      <c r="H460" s="20"/>
      <c r="I460" s="70"/>
      <c r="J460" s="70"/>
      <c r="K460" s="70"/>
      <c r="L460" s="70"/>
      <c r="M460" s="20"/>
      <c r="N460" s="20"/>
      <c r="O460" s="20"/>
      <c r="P460" s="20"/>
      <c r="Q460" s="20"/>
      <c r="R460" s="20"/>
      <c r="S460" s="20"/>
      <c r="T460" s="20"/>
      <c r="U460" s="20"/>
      <c r="V460" s="20"/>
      <c r="W460" s="20"/>
      <c r="X460" s="20"/>
    </row>
    <row r="461">
      <c r="A461" s="20"/>
      <c r="B461" s="20"/>
      <c r="C461" s="20"/>
      <c r="D461" s="70"/>
      <c r="E461" s="70"/>
      <c r="F461" s="70"/>
      <c r="G461" s="20"/>
      <c r="H461" s="20"/>
      <c r="I461" s="70"/>
      <c r="J461" s="70"/>
      <c r="K461" s="70"/>
      <c r="L461" s="70"/>
      <c r="M461" s="20"/>
      <c r="N461" s="20"/>
      <c r="O461" s="20"/>
      <c r="P461" s="20"/>
      <c r="Q461" s="20"/>
      <c r="R461" s="20"/>
      <c r="S461" s="20"/>
      <c r="T461" s="20"/>
      <c r="U461" s="20"/>
      <c r="V461" s="20"/>
      <c r="W461" s="20"/>
      <c r="X461" s="20"/>
    </row>
    <row r="462">
      <c r="A462" s="20"/>
      <c r="B462" s="20"/>
      <c r="C462" s="20"/>
      <c r="D462" s="70"/>
      <c r="E462" s="70"/>
      <c r="F462" s="70"/>
      <c r="G462" s="20"/>
      <c r="H462" s="20"/>
      <c r="I462" s="70"/>
      <c r="J462" s="70"/>
      <c r="K462" s="70"/>
      <c r="L462" s="70"/>
      <c r="M462" s="20"/>
      <c r="N462" s="20"/>
      <c r="O462" s="20"/>
      <c r="P462" s="20"/>
      <c r="Q462" s="20"/>
      <c r="R462" s="20"/>
      <c r="S462" s="20"/>
      <c r="T462" s="20"/>
      <c r="U462" s="20"/>
      <c r="V462" s="20"/>
      <c r="W462" s="20"/>
      <c r="X462" s="20"/>
    </row>
    <row r="463">
      <c r="A463" s="20"/>
      <c r="B463" s="20"/>
      <c r="C463" s="20"/>
      <c r="D463" s="70"/>
      <c r="E463" s="70"/>
      <c r="F463" s="70"/>
      <c r="G463" s="20"/>
      <c r="H463" s="20"/>
      <c r="I463" s="70"/>
      <c r="J463" s="70"/>
      <c r="K463" s="70"/>
      <c r="L463" s="70"/>
      <c r="M463" s="20"/>
      <c r="N463" s="20"/>
      <c r="O463" s="20"/>
      <c r="P463" s="20"/>
      <c r="Q463" s="20"/>
      <c r="R463" s="20"/>
      <c r="S463" s="20"/>
      <c r="T463" s="20"/>
      <c r="U463" s="20"/>
      <c r="V463" s="20"/>
      <c r="W463" s="20"/>
      <c r="X463" s="20"/>
    </row>
    <row r="464">
      <c r="A464" s="20"/>
      <c r="B464" s="20"/>
      <c r="C464" s="20"/>
      <c r="D464" s="70"/>
      <c r="E464" s="70"/>
      <c r="F464" s="70"/>
      <c r="G464" s="20"/>
      <c r="H464" s="20"/>
      <c r="I464" s="70"/>
      <c r="J464" s="70"/>
      <c r="K464" s="70"/>
      <c r="L464" s="70"/>
      <c r="M464" s="20"/>
      <c r="N464" s="20"/>
      <c r="O464" s="20"/>
      <c r="P464" s="20"/>
      <c r="Q464" s="20"/>
      <c r="R464" s="20"/>
      <c r="S464" s="20"/>
      <c r="T464" s="20"/>
      <c r="U464" s="20"/>
      <c r="V464" s="20"/>
      <c r="W464" s="20"/>
      <c r="X464" s="20"/>
    </row>
    <row r="465">
      <c r="A465" s="20"/>
      <c r="B465" s="20"/>
      <c r="C465" s="20"/>
      <c r="D465" s="70"/>
      <c r="E465" s="70"/>
      <c r="F465" s="70"/>
      <c r="G465" s="20"/>
      <c r="H465" s="20"/>
      <c r="I465" s="70"/>
      <c r="J465" s="70"/>
      <c r="K465" s="70"/>
      <c r="L465" s="70"/>
      <c r="M465" s="20"/>
      <c r="N465" s="20"/>
      <c r="O465" s="20"/>
      <c r="P465" s="20"/>
      <c r="Q465" s="20"/>
      <c r="R465" s="20"/>
      <c r="S465" s="20"/>
      <c r="T465" s="20"/>
      <c r="U465" s="20"/>
      <c r="V465" s="20"/>
      <c r="W465" s="20"/>
      <c r="X465" s="20"/>
    </row>
    <row r="466">
      <c r="A466" s="20"/>
      <c r="B466" s="20"/>
      <c r="C466" s="20"/>
      <c r="D466" s="70"/>
      <c r="E466" s="70"/>
      <c r="F466" s="70"/>
      <c r="G466" s="20"/>
      <c r="H466" s="20"/>
      <c r="I466" s="70"/>
      <c r="J466" s="70"/>
      <c r="K466" s="70"/>
      <c r="L466" s="70"/>
      <c r="M466" s="20"/>
      <c r="N466" s="20"/>
      <c r="O466" s="20"/>
      <c r="P466" s="20"/>
      <c r="Q466" s="20"/>
      <c r="R466" s="20"/>
      <c r="S466" s="20"/>
      <c r="T466" s="20"/>
      <c r="U466" s="20"/>
      <c r="V466" s="20"/>
      <c r="W466" s="20"/>
      <c r="X466" s="20"/>
    </row>
    <row r="467">
      <c r="A467" s="20"/>
      <c r="B467" s="20"/>
      <c r="C467" s="20"/>
      <c r="D467" s="70"/>
      <c r="E467" s="70"/>
      <c r="F467" s="70"/>
      <c r="G467" s="20"/>
      <c r="H467" s="20"/>
      <c r="I467" s="70"/>
      <c r="J467" s="70"/>
      <c r="K467" s="70"/>
      <c r="L467" s="70"/>
      <c r="M467" s="20"/>
      <c r="N467" s="20"/>
      <c r="O467" s="20"/>
      <c r="P467" s="20"/>
      <c r="Q467" s="20"/>
      <c r="R467" s="20"/>
      <c r="S467" s="20"/>
      <c r="T467" s="20"/>
      <c r="U467" s="20"/>
      <c r="V467" s="20"/>
      <c r="W467" s="20"/>
      <c r="X467" s="20"/>
    </row>
    <row r="468">
      <c r="A468" s="20"/>
      <c r="B468" s="20"/>
      <c r="C468" s="20"/>
      <c r="D468" s="70"/>
      <c r="E468" s="70"/>
      <c r="F468" s="70"/>
      <c r="G468" s="20"/>
      <c r="H468" s="20"/>
      <c r="I468" s="70"/>
      <c r="J468" s="70"/>
      <c r="K468" s="70"/>
      <c r="L468" s="70"/>
      <c r="M468" s="20"/>
      <c r="N468" s="20"/>
      <c r="O468" s="20"/>
      <c r="P468" s="20"/>
      <c r="Q468" s="20"/>
      <c r="R468" s="20"/>
      <c r="S468" s="20"/>
      <c r="T468" s="20"/>
      <c r="U468" s="20"/>
      <c r="V468" s="20"/>
      <c r="W468" s="20"/>
      <c r="X468" s="20"/>
    </row>
    <row r="469">
      <c r="A469" s="20"/>
      <c r="B469" s="20"/>
      <c r="C469" s="20"/>
      <c r="D469" s="70"/>
      <c r="E469" s="70"/>
      <c r="F469" s="70"/>
      <c r="G469" s="20"/>
      <c r="H469" s="20"/>
      <c r="I469" s="70"/>
      <c r="J469" s="70"/>
      <c r="K469" s="70"/>
      <c r="L469" s="70"/>
      <c r="M469" s="20"/>
      <c r="N469" s="20"/>
      <c r="O469" s="20"/>
      <c r="P469" s="20"/>
      <c r="Q469" s="20"/>
      <c r="R469" s="20"/>
      <c r="S469" s="20"/>
      <c r="T469" s="20"/>
      <c r="U469" s="20"/>
      <c r="V469" s="20"/>
      <c r="W469" s="20"/>
      <c r="X469" s="20"/>
    </row>
    <row r="470">
      <c r="A470" s="20"/>
      <c r="B470" s="20"/>
      <c r="C470" s="20"/>
      <c r="D470" s="70"/>
      <c r="E470" s="70"/>
      <c r="F470" s="70"/>
      <c r="G470" s="20"/>
      <c r="H470" s="20"/>
      <c r="I470" s="70"/>
      <c r="J470" s="70"/>
      <c r="K470" s="70"/>
      <c r="L470" s="70"/>
      <c r="M470" s="20"/>
      <c r="N470" s="20"/>
      <c r="O470" s="20"/>
      <c r="P470" s="20"/>
      <c r="Q470" s="20"/>
      <c r="R470" s="20"/>
      <c r="S470" s="20"/>
      <c r="T470" s="20"/>
      <c r="U470" s="20"/>
      <c r="V470" s="20"/>
      <c r="W470" s="20"/>
      <c r="X470" s="20"/>
    </row>
    <row r="471">
      <c r="A471" s="20"/>
      <c r="B471" s="20"/>
      <c r="C471" s="20"/>
      <c r="D471" s="70"/>
      <c r="E471" s="70"/>
      <c r="F471" s="70"/>
      <c r="G471" s="20"/>
      <c r="H471" s="20"/>
      <c r="I471" s="70"/>
      <c r="J471" s="70"/>
      <c r="K471" s="70"/>
      <c r="L471" s="70"/>
      <c r="M471" s="20"/>
      <c r="N471" s="20"/>
      <c r="O471" s="20"/>
      <c r="P471" s="20"/>
      <c r="Q471" s="20"/>
      <c r="R471" s="20"/>
      <c r="S471" s="20"/>
      <c r="T471" s="20"/>
      <c r="U471" s="20"/>
      <c r="V471" s="20"/>
      <c r="W471" s="20"/>
      <c r="X471" s="20"/>
    </row>
    <row r="472">
      <c r="A472" s="20"/>
      <c r="B472" s="20"/>
      <c r="C472" s="20"/>
      <c r="D472" s="70"/>
      <c r="E472" s="70"/>
      <c r="F472" s="70"/>
      <c r="G472" s="20"/>
      <c r="H472" s="20"/>
      <c r="I472" s="70"/>
      <c r="J472" s="70"/>
      <c r="K472" s="70"/>
      <c r="L472" s="70"/>
      <c r="M472" s="20"/>
      <c r="N472" s="20"/>
      <c r="O472" s="20"/>
      <c r="P472" s="20"/>
      <c r="Q472" s="20"/>
      <c r="R472" s="20"/>
      <c r="S472" s="20"/>
      <c r="T472" s="20"/>
      <c r="U472" s="20"/>
      <c r="V472" s="20"/>
      <c r="W472" s="20"/>
      <c r="X472" s="20"/>
    </row>
    <row r="473">
      <c r="A473" s="20"/>
      <c r="B473" s="20"/>
      <c r="C473" s="20"/>
      <c r="D473" s="70"/>
      <c r="E473" s="70"/>
      <c r="F473" s="70"/>
      <c r="G473" s="20"/>
      <c r="H473" s="20"/>
      <c r="I473" s="70"/>
      <c r="J473" s="70"/>
      <c r="K473" s="70"/>
      <c r="L473" s="70"/>
      <c r="M473" s="20"/>
      <c r="N473" s="20"/>
      <c r="O473" s="20"/>
      <c r="P473" s="20"/>
      <c r="Q473" s="20"/>
      <c r="R473" s="20"/>
      <c r="S473" s="20"/>
      <c r="T473" s="20"/>
      <c r="U473" s="20"/>
      <c r="V473" s="20"/>
      <c r="W473" s="20"/>
      <c r="X473" s="20"/>
    </row>
    <row r="474">
      <c r="A474" s="20"/>
      <c r="B474" s="20"/>
      <c r="C474" s="20"/>
      <c r="D474" s="70"/>
      <c r="E474" s="70"/>
      <c r="F474" s="70"/>
      <c r="G474" s="20"/>
      <c r="H474" s="20"/>
      <c r="I474" s="70"/>
      <c r="J474" s="70"/>
      <c r="K474" s="70"/>
      <c r="L474" s="70"/>
      <c r="M474" s="20"/>
      <c r="N474" s="20"/>
      <c r="O474" s="20"/>
      <c r="P474" s="20"/>
      <c r="Q474" s="20"/>
      <c r="R474" s="20"/>
      <c r="S474" s="20"/>
      <c r="T474" s="20"/>
      <c r="U474" s="20"/>
      <c r="V474" s="20"/>
      <c r="W474" s="20"/>
      <c r="X474" s="20"/>
    </row>
    <row r="475">
      <c r="A475" s="20"/>
      <c r="B475" s="20"/>
      <c r="C475" s="20"/>
      <c r="D475" s="70"/>
      <c r="E475" s="70"/>
      <c r="F475" s="70"/>
      <c r="G475" s="20"/>
      <c r="H475" s="20"/>
      <c r="I475" s="70"/>
      <c r="J475" s="70"/>
      <c r="K475" s="70"/>
      <c r="L475" s="70"/>
      <c r="M475" s="20"/>
      <c r="N475" s="20"/>
      <c r="O475" s="20"/>
      <c r="P475" s="20"/>
      <c r="Q475" s="20"/>
      <c r="R475" s="20"/>
      <c r="S475" s="20"/>
      <c r="T475" s="20"/>
      <c r="U475" s="20"/>
      <c r="V475" s="20"/>
      <c r="W475" s="20"/>
      <c r="X475" s="20"/>
    </row>
    <row r="476">
      <c r="A476" s="20"/>
      <c r="B476" s="20"/>
      <c r="C476" s="20"/>
      <c r="D476" s="70"/>
      <c r="E476" s="70"/>
      <c r="F476" s="70"/>
      <c r="G476" s="20"/>
      <c r="H476" s="20"/>
      <c r="I476" s="70"/>
      <c r="J476" s="70"/>
      <c r="K476" s="70"/>
      <c r="L476" s="70"/>
      <c r="M476" s="20"/>
      <c r="N476" s="20"/>
      <c r="O476" s="20"/>
      <c r="P476" s="20"/>
      <c r="Q476" s="20"/>
      <c r="R476" s="20"/>
      <c r="S476" s="20"/>
      <c r="T476" s="20"/>
      <c r="U476" s="20"/>
      <c r="V476" s="20"/>
      <c r="W476" s="20"/>
      <c r="X476" s="20"/>
    </row>
    <row r="477">
      <c r="A477" s="20"/>
      <c r="B477" s="20"/>
      <c r="C477" s="20"/>
      <c r="D477" s="70"/>
      <c r="E477" s="70"/>
      <c r="F477" s="70"/>
      <c r="G477" s="20"/>
      <c r="H477" s="20"/>
      <c r="I477" s="70"/>
      <c r="J477" s="70"/>
      <c r="K477" s="70"/>
      <c r="L477" s="70"/>
      <c r="M477" s="20"/>
      <c r="N477" s="20"/>
      <c r="O477" s="20"/>
      <c r="P477" s="20"/>
      <c r="Q477" s="20"/>
      <c r="R477" s="20"/>
      <c r="S477" s="20"/>
      <c r="T477" s="20"/>
      <c r="U477" s="20"/>
      <c r="V477" s="20"/>
      <c r="W477" s="20"/>
      <c r="X477" s="20"/>
    </row>
    <row r="478">
      <c r="A478" s="20"/>
      <c r="B478" s="20"/>
      <c r="C478" s="20"/>
      <c r="D478" s="70"/>
      <c r="E478" s="70"/>
      <c r="F478" s="70"/>
      <c r="G478" s="20"/>
      <c r="H478" s="20"/>
      <c r="I478" s="70"/>
      <c r="J478" s="70"/>
      <c r="K478" s="70"/>
      <c r="L478" s="70"/>
      <c r="M478" s="20"/>
      <c r="N478" s="20"/>
      <c r="O478" s="20"/>
      <c r="P478" s="20"/>
      <c r="Q478" s="20"/>
      <c r="R478" s="20"/>
      <c r="S478" s="20"/>
      <c r="T478" s="20"/>
      <c r="U478" s="20"/>
      <c r="V478" s="20"/>
      <c r="W478" s="20"/>
      <c r="X478" s="20"/>
    </row>
    <row r="479">
      <c r="A479" s="20"/>
      <c r="B479" s="20"/>
      <c r="C479" s="20"/>
      <c r="D479" s="70"/>
      <c r="E479" s="70"/>
      <c r="F479" s="70"/>
      <c r="G479" s="20"/>
      <c r="H479" s="20"/>
      <c r="I479" s="70"/>
      <c r="J479" s="70"/>
      <c r="K479" s="70"/>
      <c r="L479" s="70"/>
      <c r="M479" s="20"/>
      <c r="N479" s="20"/>
      <c r="O479" s="20"/>
      <c r="P479" s="20"/>
      <c r="Q479" s="20"/>
      <c r="R479" s="20"/>
      <c r="S479" s="20"/>
      <c r="T479" s="20"/>
      <c r="U479" s="20"/>
      <c r="V479" s="20"/>
      <c r="W479" s="20"/>
      <c r="X479" s="20"/>
    </row>
    <row r="480">
      <c r="A480" s="20"/>
      <c r="B480" s="20"/>
      <c r="C480" s="20"/>
      <c r="D480" s="70"/>
      <c r="E480" s="70"/>
      <c r="F480" s="70"/>
      <c r="G480" s="20"/>
      <c r="H480" s="20"/>
      <c r="I480" s="70"/>
      <c r="J480" s="70"/>
      <c r="K480" s="70"/>
      <c r="L480" s="70"/>
      <c r="M480" s="20"/>
      <c r="N480" s="20"/>
      <c r="O480" s="20"/>
      <c r="P480" s="20"/>
      <c r="Q480" s="20"/>
      <c r="R480" s="20"/>
      <c r="S480" s="20"/>
      <c r="T480" s="20"/>
      <c r="U480" s="20"/>
      <c r="V480" s="20"/>
      <c r="W480" s="20"/>
      <c r="X480" s="20"/>
    </row>
    <row r="481">
      <c r="A481" s="20"/>
      <c r="B481" s="20"/>
      <c r="C481" s="20"/>
      <c r="D481" s="70"/>
      <c r="E481" s="70"/>
      <c r="F481" s="70"/>
      <c r="G481" s="20"/>
      <c r="H481" s="20"/>
      <c r="I481" s="70"/>
      <c r="J481" s="70"/>
      <c r="K481" s="70"/>
      <c r="L481" s="70"/>
      <c r="M481" s="20"/>
      <c r="N481" s="20"/>
      <c r="O481" s="20"/>
      <c r="P481" s="20"/>
      <c r="Q481" s="20"/>
      <c r="R481" s="20"/>
      <c r="S481" s="20"/>
      <c r="T481" s="20"/>
      <c r="U481" s="20"/>
      <c r="V481" s="20"/>
      <c r="W481" s="20"/>
      <c r="X481" s="20"/>
    </row>
    <row r="482">
      <c r="A482" s="20"/>
      <c r="B482" s="20"/>
      <c r="C482" s="20"/>
      <c r="D482" s="70"/>
      <c r="E482" s="70"/>
      <c r="F482" s="70"/>
      <c r="G482" s="20"/>
      <c r="H482" s="20"/>
      <c r="I482" s="70"/>
      <c r="J482" s="70"/>
      <c r="K482" s="70"/>
      <c r="L482" s="70"/>
      <c r="M482" s="20"/>
      <c r="N482" s="20"/>
      <c r="O482" s="20"/>
      <c r="P482" s="20"/>
      <c r="Q482" s="20"/>
      <c r="R482" s="20"/>
      <c r="S482" s="20"/>
      <c r="T482" s="20"/>
      <c r="U482" s="20"/>
      <c r="V482" s="20"/>
      <c r="W482" s="20"/>
      <c r="X482" s="20"/>
    </row>
    <row r="483">
      <c r="A483" s="20"/>
      <c r="B483" s="20"/>
      <c r="C483" s="20"/>
      <c r="D483" s="70"/>
      <c r="E483" s="70"/>
      <c r="F483" s="70"/>
      <c r="G483" s="20"/>
      <c r="H483" s="20"/>
      <c r="I483" s="70"/>
      <c r="J483" s="70"/>
      <c r="K483" s="70"/>
      <c r="L483" s="70"/>
      <c r="M483" s="20"/>
      <c r="N483" s="20"/>
      <c r="O483" s="20"/>
      <c r="P483" s="20"/>
      <c r="Q483" s="20"/>
      <c r="R483" s="20"/>
      <c r="S483" s="20"/>
      <c r="T483" s="20"/>
      <c r="U483" s="20"/>
      <c r="V483" s="20"/>
      <c r="W483" s="20"/>
      <c r="X483" s="20"/>
    </row>
    <row r="484">
      <c r="A484" s="20"/>
      <c r="B484" s="20"/>
      <c r="C484" s="20"/>
      <c r="D484" s="70"/>
      <c r="E484" s="70"/>
      <c r="F484" s="70"/>
      <c r="G484" s="20"/>
      <c r="H484" s="20"/>
      <c r="I484" s="70"/>
      <c r="J484" s="70"/>
      <c r="K484" s="70"/>
      <c r="L484" s="70"/>
      <c r="M484" s="20"/>
      <c r="N484" s="20"/>
      <c r="O484" s="20"/>
      <c r="P484" s="20"/>
      <c r="Q484" s="20"/>
      <c r="R484" s="20"/>
      <c r="S484" s="20"/>
      <c r="T484" s="20"/>
      <c r="U484" s="20"/>
      <c r="V484" s="20"/>
      <c r="W484" s="20"/>
      <c r="X484" s="20"/>
    </row>
    <row r="485">
      <c r="A485" s="20"/>
      <c r="B485" s="20"/>
      <c r="C485" s="20"/>
      <c r="D485" s="70"/>
      <c r="E485" s="70"/>
      <c r="F485" s="70"/>
      <c r="G485" s="20"/>
      <c r="H485" s="20"/>
      <c r="I485" s="70"/>
      <c r="J485" s="70"/>
      <c r="K485" s="70"/>
      <c r="L485" s="70"/>
      <c r="M485" s="20"/>
      <c r="N485" s="20"/>
      <c r="O485" s="20"/>
      <c r="P485" s="20"/>
      <c r="Q485" s="20"/>
      <c r="R485" s="20"/>
      <c r="S485" s="20"/>
      <c r="T485" s="20"/>
      <c r="U485" s="20"/>
      <c r="V485" s="20"/>
      <c r="W485" s="20"/>
      <c r="X485" s="20"/>
    </row>
    <row r="486">
      <c r="A486" s="20"/>
      <c r="B486" s="20"/>
      <c r="C486" s="20"/>
      <c r="D486" s="70"/>
      <c r="E486" s="70"/>
      <c r="F486" s="70"/>
      <c r="G486" s="20"/>
      <c r="H486" s="20"/>
      <c r="I486" s="70"/>
      <c r="J486" s="70"/>
      <c r="K486" s="70"/>
      <c r="L486" s="70"/>
      <c r="M486" s="20"/>
      <c r="N486" s="20"/>
      <c r="O486" s="20"/>
      <c r="P486" s="20"/>
      <c r="Q486" s="20"/>
      <c r="R486" s="20"/>
      <c r="S486" s="20"/>
      <c r="T486" s="20"/>
      <c r="U486" s="20"/>
      <c r="V486" s="20"/>
      <c r="W486" s="20"/>
      <c r="X486" s="20"/>
    </row>
    <row r="487">
      <c r="A487" s="20"/>
      <c r="B487" s="20"/>
      <c r="C487" s="20"/>
      <c r="D487" s="70"/>
      <c r="E487" s="70"/>
      <c r="F487" s="70"/>
      <c r="G487" s="20"/>
      <c r="H487" s="20"/>
      <c r="I487" s="70"/>
      <c r="J487" s="70"/>
      <c r="K487" s="70"/>
      <c r="L487" s="70"/>
      <c r="M487" s="20"/>
      <c r="N487" s="20"/>
      <c r="O487" s="20"/>
      <c r="P487" s="20"/>
      <c r="Q487" s="20"/>
      <c r="R487" s="20"/>
      <c r="S487" s="20"/>
      <c r="T487" s="20"/>
      <c r="U487" s="20"/>
      <c r="V487" s="20"/>
      <c r="W487" s="20"/>
      <c r="X487" s="20"/>
    </row>
    <row r="488">
      <c r="A488" s="20"/>
      <c r="B488" s="20"/>
      <c r="C488" s="20"/>
      <c r="D488" s="70"/>
      <c r="E488" s="70"/>
      <c r="F488" s="70"/>
      <c r="G488" s="20"/>
      <c r="H488" s="20"/>
      <c r="I488" s="70"/>
      <c r="J488" s="70"/>
      <c r="K488" s="70"/>
      <c r="L488" s="70"/>
      <c r="M488" s="20"/>
      <c r="N488" s="20"/>
      <c r="O488" s="20"/>
      <c r="P488" s="20"/>
      <c r="Q488" s="20"/>
      <c r="R488" s="20"/>
      <c r="S488" s="20"/>
      <c r="T488" s="20"/>
      <c r="U488" s="20"/>
      <c r="V488" s="20"/>
      <c r="W488" s="20"/>
      <c r="X488" s="20"/>
    </row>
    <row r="489">
      <c r="A489" s="20"/>
      <c r="B489" s="20"/>
      <c r="C489" s="20"/>
      <c r="D489" s="70"/>
      <c r="E489" s="70"/>
      <c r="F489" s="70"/>
      <c r="G489" s="20"/>
      <c r="H489" s="20"/>
      <c r="I489" s="70"/>
      <c r="J489" s="70"/>
      <c r="K489" s="70"/>
      <c r="L489" s="70"/>
      <c r="M489" s="20"/>
      <c r="N489" s="20"/>
      <c r="O489" s="20"/>
      <c r="P489" s="20"/>
      <c r="Q489" s="20"/>
      <c r="R489" s="20"/>
      <c r="S489" s="20"/>
      <c r="T489" s="20"/>
      <c r="U489" s="20"/>
      <c r="V489" s="20"/>
      <c r="W489" s="20"/>
      <c r="X489" s="20"/>
    </row>
    <row r="490">
      <c r="A490" s="20"/>
      <c r="B490" s="20"/>
      <c r="C490" s="20"/>
      <c r="D490" s="70"/>
      <c r="E490" s="70"/>
      <c r="F490" s="70"/>
      <c r="G490" s="20"/>
      <c r="H490" s="20"/>
      <c r="I490" s="70"/>
      <c r="J490" s="70"/>
      <c r="K490" s="70"/>
      <c r="L490" s="70"/>
      <c r="M490" s="20"/>
      <c r="N490" s="20"/>
      <c r="O490" s="20"/>
      <c r="P490" s="20"/>
      <c r="Q490" s="20"/>
      <c r="R490" s="20"/>
      <c r="S490" s="20"/>
      <c r="T490" s="20"/>
      <c r="U490" s="20"/>
      <c r="V490" s="20"/>
      <c r="W490" s="20"/>
      <c r="X490" s="20"/>
    </row>
    <row r="491">
      <c r="A491" s="20"/>
      <c r="B491" s="20"/>
      <c r="C491" s="20"/>
      <c r="D491" s="70"/>
      <c r="E491" s="70"/>
      <c r="F491" s="70"/>
      <c r="G491" s="20"/>
      <c r="H491" s="20"/>
      <c r="I491" s="70"/>
      <c r="J491" s="70"/>
      <c r="K491" s="70"/>
      <c r="L491" s="70"/>
      <c r="M491" s="20"/>
      <c r="N491" s="20"/>
      <c r="O491" s="20"/>
      <c r="P491" s="20"/>
      <c r="Q491" s="20"/>
      <c r="R491" s="20"/>
      <c r="S491" s="20"/>
      <c r="T491" s="20"/>
      <c r="U491" s="20"/>
      <c r="V491" s="20"/>
      <c r="W491" s="20"/>
      <c r="X491" s="20"/>
    </row>
    <row r="492">
      <c r="A492" s="20"/>
      <c r="B492" s="20"/>
      <c r="C492" s="20"/>
      <c r="D492" s="70"/>
      <c r="E492" s="70"/>
      <c r="F492" s="70"/>
      <c r="G492" s="20"/>
      <c r="H492" s="20"/>
      <c r="I492" s="70"/>
      <c r="J492" s="70"/>
      <c r="K492" s="70"/>
      <c r="L492" s="70"/>
      <c r="M492" s="20"/>
      <c r="N492" s="20"/>
      <c r="O492" s="20"/>
      <c r="P492" s="20"/>
      <c r="Q492" s="20"/>
      <c r="R492" s="20"/>
      <c r="S492" s="20"/>
      <c r="T492" s="20"/>
      <c r="U492" s="20"/>
      <c r="V492" s="20"/>
      <c r="W492" s="20"/>
      <c r="X492" s="20"/>
    </row>
    <row r="493">
      <c r="A493" s="20"/>
      <c r="B493" s="20"/>
      <c r="C493" s="20"/>
      <c r="D493" s="70"/>
      <c r="E493" s="70"/>
      <c r="F493" s="70"/>
      <c r="G493" s="20"/>
      <c r="H493" s="20"/>
      <c r="I493" s="70"/>
      <c r="J493" s="70"/>
      <c r="K493" s="70"/>
      <c r="L493" s="70"/>
      <c r="M493" s="20"/>
      <c r="N493" s="20"/>
      <c r="O493" s="20"/>
      <c r="P493" s="20"/>
      <c r="Q493" s="20"/>
      <c r="R493" s="20"/>
      <c r="S493" s="20"/>
      <c r="T493" s="20"/>
      <c r="U493" s="20"/>
      <c r="V493" s="20"/>
      <c r="W493" s="20"/>
      <c r="X493" s="20"/>
    </row>
    <row r="494">
      <c r="A494" s="20"/>
      <c r="B494" s="20"/>
      <c r="C494" s="20"/>
      <c r="D494" s="70"/>
      <c r="E494" s="70"/>
      <c r="F494" s="70"/>
      <c r="G494" s="20"/>
      <c r="H494" s="20"/>
      <c r="I494" s="70"/>
      <c r="J494" s="70"/>
      <c r="K494" s="70"/>
      <c r="L494" s="70"/>
      <c r="M494" s="20"/>
      <c r="N494" s="20"/>
      <c r="O494" s="20"/>
      <c r="P494" s="20"/>
      <c r="Q494" s="20"/>
      <c r="R494" s="20"/>
      <c r="S494" s="20"/>
      <c r="T494" s="20"/>
      <c r="U494" s="20"/>
      <c r="V494" s="20"/>
      <c r="W494" s="20"/>
      <c r="X494" s="20"/>
    </row>
    <row r="495">
      <c r="A495" s="20"/>
      <c r="B495" s="20"/>
      <c r="C495" s="20"/>
      <c r="D495" s="70"/>
      <c r="E495" s="70"/>
      <c r="F495" s="70"/>
      <c r="G495" s="20"/>
      <c r="H495" s="20"/>
      <c r="I495" s="70"/>
      <c r="J495" s="70"/>
      <c r="K495" s="70"/>
      <c r="L495" s="70"/>
      <c r="M495" s="20"/>
      <c r="N495" s="20"/>
      <c r="O495" s="20"/>
      <c r="P495" s="20"/>
      <c r="Q495" s="20"/>
      <c r="R495" s="20"/>
      <c r="S495" s="20"/>
      <c r="T495" s="20"/>
      <c r="U495" s="20"/>
      <c r="V495" s="20"/>
      <c r="W495" s="20"/>
      <c r="X495" s="20"/>
    </row>
    <row r="496">
      <c r="A496" s="20"/>
      <c r="B496" s="20"/>
      <c r="C496" s="20"/>
      <c r="D496" s="70"/>
      <c r="E496" s="70"/>
      <c r="F496" s="70"/>
      <c r="G496" s="20"/>
      <c r="H496" s="20"/>
      <c r="I496" s="70"/>
      <c r="J496" s="70"/>
      <c r="K496" s="70"/>
      <c r="L496" s="70"/>
      <c r="M496" s="20"/>
      <c r="N496" s="20"/>
      <c r="O496" s="20"/>
      <c r="P496" s="20"/>
      <c r="Q496" s="20"/>
      <c r="R496" s="20"/>
      <c r="S496" s="20"/>
      <c r="T496" s="20"/>
      <c r="U496" s="20"/>
      <c r="V496" s="20"/>
      <c r="W496" s="20"/>
      <c r="X496" s="20"/>
    </row>
    <row r="497">
      <c r="A497" s="20"/>
      <c r="B497" s="20"/>
      <c r="C497" s="20"/>
      <c r="D497" s="70"/>
      <c r="E497" s="70"/>
      <c r="F497" s="70"/>
      <c r="G497" s="20"/>
      <c r="H497" s="20"/>
      <c r="I497" s="70"/>
      <c r="J497" s="70"/>
      <c r="K497" s="70"/>
      <c r="L497" s="70"/>
      <c r="M497" s="20"/>
      <c r="N497" s="20"/>
      <c r="O497" s="20"/>
      <c r="P497" s="20"/>
      <c r="Q497" s="20"/>
      <c r="R497" s="20"/>
      <c r="S497" s="20"/>
      <c r="T497" s="20"/>
      <c r="U497" s="20"/>
      <c r="V497" s="20"/>
      <c r="W497" s="20"/>
      <c r="X497" s="20"/>
    </row>
    <row r="498">
      <c r="A498" s="20"/>
      <c r="B498" s="20"/>
      <c r="C498" s="20"/>
      <c r="D498" s="70"/>
      <c r="E498" s="70"/>
      <c r="F498" s="70"/>
      <c r="G498" s="20"/>
      <c r="H498" s="20"/>
      <c r="I498" s="70"/>
      <c r="J498" s="70"/>
      <c r="K498" s="70"/>
      <c r="L498" s="70"/>
      <c r="M498" s="20"/>
      <c r="N498" s="20"/>
      <c r="O498" s="20"/>
      <c r="P498" s="20"/>
      <c r="Q498" s="20"/>
      <c r="R498" s="20"/>
      <c r="S498" s="20"/>
      <c r="T498" s="20"/>
      <c r="U498" s="20"/>
      <c r="V498" s="20"/>
      <c r="W498" s="20"/>
      <c r="X498" s="20"/>
    </row>
    <row r="499">
      <c r="A499" s="20"/>
      <c r="B499" s="20"/>
      <c r="C499" s="20"/>
      <c r="D499" s="70"/>
      <c r="E499" s="70"/>
      <c r="F499" s="70"/>
      <c r="G499" s="20"/>
      <c r="H499" s="20"/>
      <c r="I499" s="70"/>
      <c r="J499" s="70"/>
      <c r="K499" s="70"/>
      <c r="L499" s="70"/>
      <c r="M499" s="20"/>
      <c r="N499" s="20"/>
      <c r="O499" s="20"/>
      <c r="P499" s="20"/>
      <c r="Q499" s="20"/>
      <c r="R499" s="20"/>
      <c r="S499" s="20"/>
      <c r="T499" s="20"/>
      <c r="U499" s="20"/>
      <c r="V499" s="20"/>
      <c r="W499" s="20"/>
      <c r="X499" s="20"/>
    </row>
    <row r="500">
      <c r="A500" s="20"/>
      <c r="B500" s="20"/>
      <c r="C500" s="20"/>
      <c r="D500" s="70"/>
      <c r="E500" s="70"/>
      <c r="F500" s="70"/>
      <c r="G500" s="20"/>
      <c r="H500" s="20"/>
      <c r="I500" s="70"/>
      <c r="J500" s="70"/>
      <c r="K500" s="70"/>
      <c r="L500" s="70"/>
      <c r="M500" s="20"/>
      <c r="N500" s="20"/>
      <c r="O500" s="20"/>
      <c r="P500" s="20"/>
      <c r="Q500" s="20"/>
      <c r="R500" s="20"/>
      <c r="S500" s="20"/>
      <c r="T500" s="20"/>
      <c r="U500" s="20"/>
      <c r="V500" s="20"/>
      <c r="W500" s="20"/>
      <c r="X500" s="20"/>
    </row>
    <row r="501">
      <c r="A501" s="20"/>
      <c r="B501" s="20"/>
      <c r="C501" s="20"/>
      <c r="D501" s="70"/>
      <c r="E501" s="70"/>
      <c r="F501" s="70"/>
      <c r="G501" s="20"/>
      <c r="H501" s="20"/>
      <c r="I501" s="70"/>
      <c r="J501" s="70"/>
      <c r="K501" s="70"/>
      <c r="L501" s="70"/>
      <c r="M501" s="20"/>
      <c r="N501" s="20"/>
      <c r="O501" s="20"/>
      <c r="P501" s="20"/>
      <c r="Q501" s="20"/>
      <c r="R501" s="20"/>
      <c r="S501" s="20"/>
      <c r="T501" s="20"/>
      <c r="U501" s="20"/>
      <c r="V501" s="20"/>
      <c r="W501" s="20"/>
      <c r="X501" s="20"/>
    </row>
    <row r="502">
      <c r="A502" s="20"/>
      <c r="B502" s="20"/>
      <c r="C502" s="20"/>
      <c r="D502" s="70"/>
      <c r="E502" s="70"/>
      <c r="F502" s="70"/>
      <c r="G502" s="20"/>
      <c r="H502" s="20"/>
      <c r="I502" s="70"/>
      <c r="J502" s="70"/>
      <c r="K502" s="70"/>
      <c r="L502" s="70"/>
      <c r="M502" s="20"/>
      <c r="N502" s="20"/>
      <c r="O502" s="20"/>
      <c r="P502" s="20"/>
      <c r="Q502" s="20"/>
      <c r="R502" s="20"/>
      <c r="S502" s="20"/>
      <c r="T502" s="20"/>
      <c r="U502" s="20"/>
      <c r="V502" s="20"/>
      <c r="W502" s="20"/>
      <c r="X502" s="20"/>
    </row>
    <row r="503">
      <c r="A503" s="20"/>
      <c r="B503" s="20"/>
      <c r="C503" s="20"/>
      <c r="D503" s="70"/>
      <c r="E503" s="70"/>
      <c r="F503" s="70"/>
      <c r="G503" s="20"/>
      <c r="H503" s="20"/>
      <c r="I503" s="70"/>
      <c r="J503" s="70"/>
      <c r="K503" s="70"/>
      <c r="L503" s="70"/>
      <c r="M503" s="20"/>
      <c r="N503" s="20"/>
      <c r="O503" s="20"/>
      <c r="P503" s="20"/>
      <c r="Q503" s="20"/>
      <c r="R503" s="20"/>
      <c r="S503" s="20"/>
      <c r="T503" s="20"/>
      <c r="U503" s="20"/>
      <c r="V503" s="20"/>
      <c r="W503" s="20"/>
      <c r="X503" s="20"/>
    </row>
    <row r="504">
      <c r="A504" s="20"/>
      <c r="B504" s="20"/>
      <c r="C504" s="20"/>
      <c r="D504" s="70"/>
      <c r="E504" s="70"/>
      <c r="F504" s="70"/>
      <c r="G504" s="20"/>
      <c r="H504" s="20"/>
      <c r="I504" s="70"/>
      <c r="J504" s="70"/>
      <c r="K504" s="70"/>
      <c r="L504" s="70"/>
      <c r="M504" s="20"/>
      <c r="N504" s="20"/>
      <c r="O504" s="20"/>
      <c r="P504" s="20"/>
      <c r="Q504" s="20"/>
      <c r="R504" s="20"/>
      <c r="S504" s="20"/>
      <c r="T504" s="20"/>
      <c r="U504" s="20"/>
      <c r="V504" s="20"/>
      <c r="W504" s="20"/>
      <c r="X504" s="20"/>
    </row>
    <row r="505">
      <c r="A505" s="20"/>
      <c r="B505" s="20"/>
      <c r="C505" s="20"/>
      <c r="D505" s="70"/>
      <c r="E505" s="70"/>
      <c r="F505" s="70"/>
      <c r="G505" s="20"/>
      <c r="H505" s="20"/>
      <c r="I505" s="70"/>
      <c r="J505" s="70"/>
      <c r="K505" s="70"/>
      <c r="L505" s="70"/>
      <c r="M505" s="20"/>
      <c r="N505" s="20"/>
      <c r="O505" s="20"/>
      <c r="P505" s="20"/>
      <c r="Q505" s="20"/>
      <c r="R505" s="20"/>
      <c r="S505" s="20"/>
      <c r="T505" s="20"/>
      <c r="U505" s="20"/>
      <c r="V505" s="20"/>
      <c r="W505" s="20"/>
      <c r="X505" s="20"/>
    </row>
    <row r="506">
      <c r="A506" s="20"/>
      <c r="B506" s="20"/>
      <c r="C506" s="20"/>
      <c r="D506" s="70"/>
      <c r="E506" s="70"/>
      <c r="F506" s="70"/>
      <c r="G506" s="20"/>
      <c r="H506" s="20"/>
      <c r="I506" s="70"/>
      <c r="J506" s="70"/>
      <c r="K506" s="70"/>
      <c r="L506" s="70"/>
      <c r="M506" s="20"/>
      <c r="N506" s="20"/>
      <c r="O506" s="20"/>
      <c r="P506" s="20"/>
      <c r="Q506" s="20"/>
      <c r="R506" s="20"/>
      <c r="S506" s="20"/>
      <c r="T506" s="20"/>
      <c r="U506" s="20"/>
      <c r="V506" s="20"/>
      <c r="W506" s="20"/>
      <c r="X506" s="20"/>
    </row>
    <row r="507">
      <c r="A507" s="20"/>
      <c r="B507" s="20"/>
      <c r="C507" s="20"/>
      <c r="D507" s="70"/>
      <c r="E507" s="70"/>
      <c r="F507" s="70"/>
      <c r="G507" s="20"/>
      <c r="H507" s="20"/>
      <c r="I507" s="70"/>
      <c r="J507" s="70"/>
      <c r="K507" s="70"/>
      <c r="L507" s="70"/>
      <c r="M507" s="20"/>
      <c r="N507" s="20"/>
      <c r="O507" s="20"/>
      <c r="P507" s="20"/>
      <c r="Q507" s="20"/>
      <c r="R507" s="20"/>
      <c r="S507" s="20"/>
      <c r="T507" s="20"/>
      <c r="U507" s="20"/>
      <c r="V507" s="20"/>
      <c r="W507" s="20"/>
      <c r="X507" s="20"/>
    </row>
    <row r="508">
      <c r="A508" s="20"/>
      <c r="B508" s="20"/>
      <c r="C508" s="20"/>
      <c r="D508" s="70"/>
      <c r="E508" s="70"/>
      <c r="F508" s="70"/>
      <c r="G508" s="20"/>
      <c r="H508" s="20"/>
      <c r="I508" s="70"/>
      <c r="J508" s="70"/>
      <c r="K508" s="70"/>
      <c r="L508" s="70"/>
      <c r="M508" s="20"/>
      <c r="N508" s="20"/>
      <c r="O508" s="20"/>
      <c r="P508" s="20"/>
      <c r="Q508" s="20"/>
      <c r="R508" s="20"/>
      <c r="S508" s="20"/>
      <c r="T508" s="20"/>
      <c r="U508" s="20"/>
      <c r="V508" s="20"/>
      <c r="W508" s="20"/>
      <c r="X508" s="20"/>
    </row>
    <row r="509">
      <c r="A509" s="20"/>
      <c r="B509" s="20"/>
      <c r="C509" s="20"/>
      <c r="D509" s="70"/>
      <c r="E509" s="70"/>
      <c r="F509" s="70"/>
      <c r="G509" s="20"/>
      <c r="H509" s="20"/>
      <c r="I509" s="70"/>
      <c r="J509" s="70"/>
      <c r="K509" s="70"/>
      <c r="L509" s="70"/>
      <c r="M509" s="20"/>
      <c r="N509" s="20"/>
      <c r="O509" s="20"/>
      <c r="P509" s="20"/>
      <c r="Q509" s="20"/>
      <c r="R509" s="20"/>
      <c r="S509" s="20"/>
      <c r="T509" s="20"/>
      <c r="U509" s="20"/>
      <c r="V509" s="20"/>
      <c r="W509" s="20"/>
      <c r="X509" s="20"/>
    </row>
    <row r="510">
      <c r="A510" s="20"/>
      <c r="B510" s="20"/>
      <c r="C510" s="20"/>
      <c r="D510" s="70"/>
      <c r="E510" s="70"/>
      <c r="F510" s="70"/>
      <c r="G510" s="20"/>
      <c r="H510" s="20"/>
      <c r="I510" s="70"/>
      <c r="J510" s="70"/>
      <c r="K510" s="70"/>
      <c r="L510" s="70"/>
      <c r="M510" s="20"/>
      <c r="N510" s="20"/>
      <c r="O510" s="20"/>
      <c r="P510" s="20"/>
      <c r="Q510" s="20"/>
      <c r="R510" s="20"/>
      <c r="S510" s="20"/>
      <c r="T510" s="20"/>
      <c r="U510" s="20"/>
      <c r="V510" s="20"/>
      <c r="W510" s="20"/>
      <c r="X510" s="20"/>
    </row>
    <row r="511">
      <c r="A511" s="20"/>
      <c r="B511" s="20"/>
      <c r="C511" s="20"/>
      <c r="D511" s="70"/>
      <c r="E511" s="70"/>
      <c r="F511" s="70"/>
      <c r="G511" s="20"/>
      <c r="H511" s="20"/>
      <c r="I511" s="70"/>
      <c r="J511" s="70"/>
      <c r="K511" s="70"/>
      <c r="L511" s="70"/>
      <c r="M511" s="20"/>
      <c r="N511" s="20"/>
      <c r="O511" s="20"/>
      <c r="P511" s="20"/>
      <c r="Q511" s="20"/>
      <c r="R511" s="20"/>
      <c r="S511" s="20"/>
      <c r="T511" s="20"/>
      <c r="U511" s="20"/>
      <c r="V511" s="20"/>
      <c r="W511" s="20"/>
      <c r="X511" s="20"/>
    </row>
    <row r="512">
      <c r="A512" s="20"/>
      <c r="B512" s="20"/>
      <c r="C512" s="20"/>
      <c r="D512" s="70"/>
      <c r="E512" s="70"/>
      <c r="F512" s="70"/>
      <c r="G512" s="20"/>
      <c r="H512" s="20"/>
      <c r="I512" s="70"/>
      <c r="J512" s="70"/>
      <c r="K512" s="70"/>
      <c r="L512" s="70"/>
      <c r="M512" s="20"/>
      <c r="N512" s="20"/>
      <c r="O512" s="20"/>
      <c r="P512" s="20"/>
      <c r="Q512" s="20"/>
      <c r="R512" s="20"/>
      <c r="S512" s="20"/>
      <c r="T512" s="20"/>
      <c r="U512" s="20"/>
      <c r="V512" s="20"/>
      <c r="W512" s="20"/>
      <c r="X512" s="20"/>
    </row>
    <row r="513">
      <c r="A513" s="20"/>
      <c r="B513" s="20"/>
      <c r="C513" s="20"/>
      <c r="D513" s="70"/>
      <c r="E513" s="70"/>
      <c r="F513" s="70"/>
      <c r="G513" s="20"/>
      <c r="H513" s="20"/>
      <c r="I513" s="70"/>
      <c r="J513" s="70"/>
      <c r="K513" s="70"/>
      <c r="L513" s="70"/>
      <c r="M513" s="20"/>
      <c r="N513" s="20"/>
      <c r="O513" s="20"/>
      <c r="P513" s="20"/>
      <c r="Q513" s="20"/>
      <c r="R513" s="20"/>
      <c r="S513" s="20"/>
      <c r="T513" s="20"/>
      <c r="U513" s="20"/>
      <c r="V513" s="20"/>
      <c r="W513" s="20"/>
      <c r="X513" s="20"/>
    </row>
    <row r="514">
      <c r="A514" s="20"/>
      <c r="B514" s="20"/>
      <c r="C514" s="20"/>
      <c r="D514" s="70"/>
      <c r="E514" s="70"/>
      <c r="F514" s="70"/>
      <c r="G514" s="20"/>
      <c r="H514" s="20"/>
      <c r="I514" s="70"/>
      <c r="J514" s="70"/>
      <c r="K514" s="70"/>
      <c r="L514" s="70"/>
      <c r="M514" s="20"/>
      <c r="N514" s="20"/>
      <c r="O514" s="20"/>
      <c r="P514" s="20"/>
      <c r="Q514" s="20"/>
      <c r="R514" s="20"/>
      <c r="S514" s="20"/>
      <c r="T514" s="20"/>
      <c r="U514" s="20"/>
      <c r="V514" s="20"/>
      <c r="W514" s="20"/>
      <c r="X514" s="20"/>
    </row>
    <row r="515">
      <c r="A515" s="20"/>
      <c r="B515" s="20"/>
      <c r="C515" s="20"/>
      <c r="D515" s="70"/>
      <c r="E515" s="70"/>
      <c r="F515" s="70"/>
      <c r="G515" s="20"/>
      <c r="H515" s="20"/>
      <c r="I515" s="70"/>
      <c r="J515" s="70"/>
      <c r="K515" s="70"/>
      <c r="L515" s="70"/>
      <c r="M515" s="20"/>
      <c r="N515" s="20"/>
      <c r="O515" s="20"/>
      <c r="P515" s="20"/>
      <c r="Q515" s="20"/>
      <c r="R515" s="20"/>
      <c r="S515" s="20"/>
      <c r="T515" s="20"/>
      <c r="U515" s="20"/>
      <c r="V515" s="20"/>
      <c r="W515" s="20"/>
      <c r="X515" s="20"/>
    </row>
    <row r="516">
      <c r="A516" s="20"/>
      <c r="B516" s="20"/>
      <c r="C516" s="20"/>
      <c r="D516" s="70"/>
      <c r="E516" s="70"/>
      <c r="F516" s="70"/>
      <c r="G516" s="20"/>
      <c r="H516" s="20"/>
      <c r="I516" s="70"/>
      <c r="J516" s="70"/>
      <c r="K516" s="70"/>
      <c r="L516" s="70"/>
      <c r="M516" s="20"/>
      <c r="N516" s="20"/>
      <c r="O516" s="20"/>
      <c r="P516" s="20"/>
      <c r="Q516" s="20"/>
      <c r="R516" s="20"/>
      <c r="S516" s="20"/>
      <c r="T516" s="20"/>
      <c r="U516" s="20"/>
      <c r="V516" s="20"/>
      <c r="W516" s="20"/>
      <c r="X516" s="20"/>
    </row>
    <row r="517">
      <c r="A517" s="20"/>
      <c r="B517" s="20"/>
      <c r="C517" s="20"/>
      <c r="D517" s="70"/>
      <c r="E517" s="70"/>
      <c r="F517" s="70"/>
      <c r="G517" s="20"/>
      <c r="H517" s="20"/>
      <c r="I517" s="70"/>
      <c r="J517" s="70"/>
      <c r="K517" s="70"/>
      <c r="L517" s="70"/>
      <c r="M517" s="20"/>
      <c r="N517" s="20"/>
      <c r="O517" s="20"/>
      <c r="P517" s="20"/>
      <c r="Q517" s="20"/>
      <c r="R517" s="20"/>
      <c r="S517" s="20"/>
      <c r="T517" s="20"/>
      <c r="U517" s="20"/>
      <c r="V517" s="20"/>
      <c r="W517" s="20"/>
      <c r="X517" s="20"/>
    </row>
    <row r="518">
      <c r="A518" s="20"/>
      <c r="B518" s="20"/>
      <c r="C518" s="20"/>
      <c r="D518" s="70"/>
      <c r="E518" s="70"/>
      <c r="F518" s="70"/>
      <c r="G518" s="20"/>
      <c r="H518" s="20"/>
      <c r="I518" s="70"/>
      <c r="J518" s="70"/>
      <c r="K518" s="70"/>
      <c r="L518" s="70"/>
      <c r="M518" s="20"/>
      <c r="N518" s="20"/>
      <c r="O518" s="20"/>
      <c r="P518" s="20"/>
      <c r="Q518" s="20"/>
      <c r="R518" s="20"/>
      <c r="S518" s="20"/>
      <c r="T518" s="20"/>
      <c r="U518" s="20"/>
      <c r="V518" s="20"/>
      <c r="W518" s="20"/>
      <c r="X518" s="20"/>
    </row>
    <row r="519">
      <c r="A519" s="20"/>
      <c r="B519" s="20"/>
      <c r="C519" s="20"/>
      <c r="D519" s="70"/>
      <c r="E519" s="70"/>
      <c r="F519" s="70"/>
      <c r="G519" s="20"/>
      <c r="H519" s="20"/>
      <c r="I519" s="70"/>
      <c r="J519" s="70"/>
      <c r="K519" s="70"/>
      <c r="L519" s="70"/>
      <c r="M519" s="20"/>
      <c r="N519" s="20"/>
      <c r="O519" s="20"/>
      <c r="P519" s="20"/>
      <c r="Q519" s="20"/>
      <c r="R519" s="20"/>
      <c r="S519" s="20"/>
      <c r="T519" s="20"/>
      <c r="U519" s="20"/>
      <c r="V519" s="20"/>
      <c r="W519" s="20"/>
      <c r="X519" s="20"/>
    </row>
    <row r="520">
      <c r="A520" s="20"/>
      <c r="B520" s="20"/>
      <c r="C520" s="20"/>
      <c r="D520" s="70"/>
      <c r="E520" s="70"/>
      <c r="F520" s="70"/>
      <c r="G520" s="20"/>
      <c r="H520" s="20"/>
      <c r="I520" s="70"/>
      <c r="J520" s="70"/>
      <c r="K520" s="70"/>
      <c r="L520" s="70"/>
      <c r="M520" s="20"/>
      <c r="N520" s="20"/>
      <c r="O520" s="20"/>
      <c r="P520" s="20"/>
      <c r="Q520" s="20"/>
      <c r="R520" s="20"/>
      <c r="S520" s="20"/>
      <c r="T520" s="20"/>
      <c r="U520" s="20"/>
      <c r="V520" s="20"/>
      <c r="W520" s="20"/>
      <c r="X520" s="20"/>
    </row>
    <row r="521">
      <c r="A521" s="20"/>
      <c r="B521" s="20"/>
      <c r="C521" s="20"/>
      <c r="D521" s="70"/>
      <c r="E521" s="70"/>
      <c r="F521" s="70"/>
      <c r="G521" s="20"/>
      <c r="H521" s="20"/>
      <c r="I521" s="70"/>
      <c r="J521" s="70"/>
      <c r="K521" s="70"/>
      <c r="L521" s="70"/>
      <c r="M521" s="20"/>
      <c r="N521" s="20"/>
      <c r="O521" s="20"/>
      <c r="P521" s="20"/>
      <c r="Q521" s="20"/>
      <c r="R521" s="20"/>
      <c r="S521" s="20"/>
      <c r="T521" s="20"/>
      <c r="U521" s="20"/>
      <c r="V521" s="20"/>
      <c r="W521" s="20"/>
      <c r="X521" s="20"/>
    </row>
    <row r="522">
      <c r="A522" s="20"/>
      <c r="B522" s="20"/>
      <c r="C522" s="20"/>
      <c r="D522" s="70"/>
      <c r="E522" s="70"/>
      <c r="F522" s="70"/>
      <c r="G522" s="20"/>
      <c r="H522" s="20"/>
      <c r="I522" s="70"/>
      <c r="J522" s="70"/>
      <c r="K522" s="70"/>
      <c r="L522" s="70"/>
      <c r="M522" s="20"/>
      <c r="N522" s="20"/>
      <c r="O522" s="20"/>
      <c r="P522" s="20"/>
      <c r="Q522" s="20"/>
      <c r="R522" s="20"/>
      <c r="S522" s="20"/>
      <c r="T522" s="20"/>
      <c r="U522" s="20"/>
      <c r="V522" s="20"/>
      <c r="W522" s="20"/>
      <c r="X522" s="20"/>
    </row>
    <row r="523">
      <c r="A523" s="20"/>
      <c r="B523" s="20"/>
      <c r="C523" s="20"/>
      <c r="D523" s="70"/>
      <c r="E523" s="70"/>
      <c r="F523" s="70"/>
      <c r="G523" s="20"/>
      <c r="H523" s="20"/>
      <c r="I523" s="70"/>
      <c r="J523" s="70"/>
      <c r="K523" s="70"/>
      <c r="L523" s="70"/>
      <c r="M523" s="20"/>
      <c r="N523" s="20"/>
      <c r="O523" s="20"/>
      <c r="P523" s="20"/>
      <c r="Q523" s="20"/>
      <c r="R523" s="20"/>
      <c r="S523" s="20"/>
      <c r="T523" s="20"/>
      <c r="U523" s="20"/>
      <c r="V523" s="20"/>
      <c r="W523" s="20"/>
      <c r="X523" s="20"/>
    </row>
    <row r="524">
      <c r="A524" s="20"/>
      <c r="B524" s="20"/>
      <c r="C524" s="20"/>
      <c r="D524" s="70"/>
      <c r="E524" s="70"/>
      <c r="F524" s="70"/>
      <c r="G524" s="20"/>
      <c r="H524" s="20"/>
      <c r="I524" s="70"/>
      <c r="J524" s="70"/>
      <c r="K524" s="70"/>
      <c r="L524" s="70"/>
      <c r="M524" s="20"/>
      <c r="N524" s="20"/>
      <c r="O524" s="20"/>
      <c r="P524" s="20"/>
      <c r="Q524" s="20"/>
      <c r="R524" s="20"/>
      <c r="S524" s="20"/>
      <c r="T524" s="20"/>
      <c r="U524" s="20"/>
      <c r="V524" s="20"/>
      <c r="W524" s="20"/>
      <c r="X524" s="20"/>
    </row>
    <row r="525">
      <c r="A525" s="20"/>
      <c r="B525" s="20"/>
      <c r="C525" s="20"/>
      <c r="D525" s="70"/>
      <c r="E525" s="70"/>
      <c r="F525" s="70"/>
      <c r="G525" s="20"/>
      <c r="H525" s="20"/>
      <c r="I525" s="70"/>
      <c r="J525" s="70"/>
      <c r="K525" s="70"/>
      <c r="L525" s="70"/>
      <c r="M525" s="20"/>
      <c r="N525" s="20"/>
      <c r="O525" s="20"/>
      <c r="P525" s="20"/>
      <c r="Q525" s="20"/>
      <c r="R525" s="20"/>
      <c r="S525" s="20"/>
      <c r="T525" s="20"/>
      <c r="U525" s="20"/>
      <c r="V525" s="20"/>
      <c r="W525" s="20"/>
      <c r="X525" s="20"/>
    </row>
    <row r="526">
      <c r="A526" s="20"/>
      <c r="B526" s="20"/>
      <c r="C526" s="20"/>
      <c r="D526" s="70"/>
      <c r="E526" s="70"/>
      <c r="F526" s="70"/>
      <c r="G526" s="20"/>
      <c r="H526" s="20"/>
      <c r="I526" s="70"/>
      <c r="J526" s="70"/>
      <c r="K526" s="70"/>
      <c r="L526" s="70"/>
      <c r="M526" s="20"/>
      <c r="N526" s="20"/>
      <c r="O526" s="20"/>
      <c r="P526" s="20"/>
      <c r="Q526" s="20"/>
      <c r="R526" s="20"/>
      <c r="S526" s="20"/>
      <c r="T526" s="20"/>
      <c r="U526" s="20"/>
      <c r="V526" s="20"/>
      <c r="W526" s="20"/>
      <c r="X526" s="20"/>
    </row>
    <row r="527">
      <c r="A527" s="20"/>
      <c r="B527" s="20"/>
      <c r="C527" s="20"/>
      <c r="D527" s="70"/>
      <c r="E527" s="70"/>
      <c r="F527" s="70"/>
      <c r="G527" s="20"/>
      <c r="H527" s="20"/>
      <c r="I527" s="70"/>
      <c r="J527" s="70"/>
      <c r="K527" s="70"/>
      <c r="L527" s="70"/>
      <c r="M527" s="20"/>
      <c r="N527" s="20"/>
      <c r="O527" s="20"/>
      <c r="P527" s="20"/>
      <c r="Q527" s="20"/>
      <c r="R527" s="20"/>
      <c r="S527" s="20"/>
      <c r="T527" s="20"/>
      <c r="U527" s="20"/>
      <c r="V527" s="20"/>
      <c r="W527" s="20"/>
      <c r="X527" s="20"/>
    </row>
    <row r="528">
      <c r="A528" s="20"/>
      <c r="B528" s="20"/>
      <c r="C528" s="20"/>
      <c r="D528" s="70"/>
      <c r="E528" s="70"/>
      <c r="F528" s="70"/>
      <c r="G528" s="20"/>
      <c r="H528" s="20"/>
      <c r="I528" s="70"/>
      <c r="J528" s="70"/>
      <c r="K528" s="70"/>
      <c r="L528" s="70"/>
      <c r="M528" s="20"/>
      <c r="N528" s="20"/>
      <c r="O528" s="20"/>
      <c r="P528" s="20"/>
      <c r="Q528" s="20"/>
      <c r="R528" s="20"/>
      <c r="S528" s="20"/>
      <c r="T528" s="20"/>
      <c r="U528" s="20"/>
      <c r="V528" s="20"/>
      <c r="W528" s="20"/>
      <c r="X528" s="20"/>
    </row>
    <row r="529">
      <c r="A529" s="20"/>
      <c r="B529" s="20"/>
      <c r="C529" s="20"/>
      <c r="D529" s="70"/>
      <c r="E529" s="70"/>
      <c r="F529" s="70"/>
      <c r="G529" s="20"/>
      <c r="H529" s="20"/>
      <c r="I529" s="70"/>
      <c r="J529" s="70"/>
      <c r="K529" s="70"/>
      <c r="L529" s="70"/>
      <c r="M529" s="20"/>
      <c r="N529" s="20"/>
      <c r="O529" s="20"/>
      <c r="P529" s="20"/>
      <c r="Q529" s="20"/>
      <c r="R529" s="20"/>
      <c r="S529" s="20"/>
      <c r="T529" s="20"/>
      <c r="U529" s="20"/>
      <c r="V529" s="20"/>
      <c r="W529" s="20"/>
      <c r="X529" s="20"/>
    </row>
    <row r="530">
      <c r="A530" s="20"/>
      <c r="B530" s="20"/>
      <c r="C530" s="20"/>
      <c r="D530" s="70"/>
      <c r="E530" s="70"/>
      <c r="F530" s="70"/>
      <c r="G530" s="20"/>
      <c r="H530" s="20"/>
      <c r="I530" s="70"/>
      <c r="J530" s="70"/>
      <c r="K530" s="70"/>
      <c r="L530" s="70"/>
      <c r="M530" s="20"/>
      <c r="N530" s="20"/>
      <c r="O530" s="20"/>
      <c r="P530" s="20"/>
      <c r="Q530" s="20"/>
      <c r="R530" s="20"/>
      <c r="S530" s="20"/>
      <c r="T530" s="20"/>
      <c r="U530" s="20"/>
      <c r="V530" s="20"/>
      <c r="W530" s="20"/>
      <c r="X530" s="20"/>
    </row>
    <row r="531">
      <c r="A531" s="20"/>
      <c r="B531" s="20"/>
      <c r="C531" s="20"/>
      <c r="D531" s="70"/>
      <c r="E531" s="70"/>
      <c r="F531" s="70"/>
      <c r="G531" s="20"/>
      <c r="H531" s="20"/>
      <c r="I531" s="70"/>
      <c r="J531" s="70"/>
      <c r="K531" s="70"/>
      <c r="L531" s="70"/>
      <c r="M531" s="20"/>
      <c r="N531" s="20"/>
      <c r="O531" s="20"/>
      <c r="P531" s="20"/>
      <c r="Q531" s="20"/>
      <c r="R531" s="20"/>
      <c r="S531" s="20"/>
      <c r="T531" s="20"/>
      <c r="U531" s="20"/>
      <c r="V531" s="20"/>
      <c r="W531" s="20"/>
      <c r="X531" s="20"/>
    </row>
    <row r="532">
      <c r="A532" s="20"/>
      <c r="B532" s="20"/>
      <c r="C532" s="20"/>
      <c r="D532" s="70"/>
      <c r="E532" s="70"/>
      <c r="F532" s="70"/>
      <c r="G532" s="20"/>
      <c r="H532" s="20"/>
      <c r="I532" s="70"/>
      <c r="J532" s="70"/>
      <c r="K532" s="70"/>
      <c r="L532" s="70"/>
      <c r="M532" s="20"/>
      <c r="N532" s="20"/>
      <c r="O532" s="20"/>
      <c r="P532" s="20"/>
      <c r="Q532" s="20"/>
      <c r="R532" s="20"/>
      <c r="S532" s="20"/>
      <c r="T532" s="20"/>
      <c r="U532" s="20"/>
      <c r="V532" s="20"/>
      <c r="W532" s="20"/>
      <c r="X532" s="20"/>
    </row>
    <row r="533">
      <c r="A533" s="20"/>
      <c r="B533" s="20"/>
      <c r="C533" s="20"/>
      <c r="D533" s="70"/>
      <c r="E533" s="70"/>
      <c r="F533" s="70"/>
      <c r="G533" s="20"/>
      <c r="H533" s="20"/>
      <c r="I533" s="70"/>
      <c r="J533" s="70"/>
      <c r="K533" s="70"/>
      <c r="L533" s="70"/>
      <c r="M533" s="20"/>
      <c r="N533" s="20"/>
      <c r="O533" s="20"/>
      <c r="P533" s="20"/>
      <c r="Q533" s="20"/>
      <c r="R533" s="20"/>
      <c r="S533" s="20"/>
      <c r="T533" s="20"/>
      <c r="U533" s="20"/>
      <c r="V533" s="20"/>
      <c r="W533" s="20"/>
      <c r="X533" s="20"/>
    </row>
    <row r="534">
      <c r="A534" s="20"/>
      <c r="B534" s="20"/>
      <c r="C534" s="20"/>
      <c r="D534" s="70"/>
      <c r="E534" s="70"/>
      <c r="F534" s="70"/>
      <c r="G534" s="20"/>
      <c r="H534" s="20"/>
      <c r="I534" s="70"/>
      <c r="J534" s="70"/>
      <c r="K534" s="70"/>
      <c r="L534" s="70"/>
      <c r="M534" s="20"/>
      <c r="N534" s="20"/>
      <c r="O534" s="20"/>
      <c r="P534" s="20"/>
      <c r="Q534" s="20"/>
      <c r="R534" s="20"/>
      <c r="S534" s="20"/>
      <c r="T534" s="20"/>
      <c r="U534" s="20"/>
      <c r="V534" s="20"/>
      <c r="W534" s="20"/>
      <c r="X534" s="20"/>
    </row>
    <row r="535">
      <c r="A535" s="20"/>
      <c r="B535" s="20"/>
      <c r="C535" s="20"/>
      <c r="D535" s="70"/>
      <c r="E535" s="70"/>
      <c r="F535" s="70"/>
      <c r="G535" s="20"/>
      <c r="H535" s="20"/>
      <c r="I535" s="70"/>
      <c r="J535" s="70"/>
      <c r="K535" s="70"/>
      <c r="L535" s="70"/>
      <c r="M535" s="20"/>
      <c r="N535" s="20"/>
      <c r="O535" s="20"/>
      <c r="P535" s="20"/>
      <c r="Q535" s="20"/>
      <c r="R535" s="20"/>
      <c r="S535" s="20"/>
      <c r="T535" s="20"/>
      <c r="U535" s="20"/>
      <c r="V535" s="20"/>
      <c r="W535" s="20"/>
      <c r="X535" s="20"/>
    </row>
    <row r="536">
      <c r="A536" s="20"/>
      <c r="B536" s="20"/>
      <c r="C536" s="20"/>
      <c r="D536" s="70"/>
      <c r="E536" s="70"/>
      <c r="F536" s="70"/>
      <c r="G536" s="20"/>
      <c r="H536" s="20"/>
      <c r="I536" s="70"/>
      <c r="J536" s="70"/>
      <c r="K536" s="70"/>
      <c r="L536" s="70"/>
      <c r="M536" s="20"/>
      <c r="N536" s="20"/>
      <c r="O536" s="20"/>
      <c r="P536" s="20"/>
      <c r="Q536" s="20"/>
      <c r="R536" s="20"/>
      <c r="S536" s="20"/>
      <c r="T536" s="20"/>
      <c r="U536" s="20"/>
      <c r="V536" s="20"/>
      <c r="W536" s="20"/>
      <c r="X536" s="20"/>
    </row>
    <row r="537">
      <c r="A537" s="20"/>
      <c r="B537" s="20"/>
      <c r="C537" s="20"/>
      <c r="D537" s="70"/>
      <c r="E537" s="70"/>
      <c r="F537" s="70"/>
      <c r="G537" s="20"/>
      <c r="H537" s="20"/>
      <c r="I537" s="70"/>
      <c r="J537" s="70"/>
      <c r="K537" s="70"/>
      <c r="L537" s="70"/>
      <c r="M537" s="20"/>
      <c r="N537" s="20"/>
      <c r="O537" s="20"/>
      <c r="P537" s="20"/>
      <c r="Q537" s="20"/>
      <c r="R537" s="20"/>
      <c r="S537" s="20"/>
      <c r="T537" s="20"/>
      <c r="U537" s="20"/>
      <c r="V537" s="20"/>
      <c r="W537" s="20"/>
      <c r="X537" s="20"/>
    </row>
    <row r="538">
      <c r="A538" s="20"/>
      <c r="B538" s="20"/>
      <c r="C538" s="20"/>
      <c r="D538" s="70"/>
      <c r="E538" s="70"/>
      <c r="F538" s="70"/>
      <c r="G538" s="20"/>
      <c r="H538" s="20"/>
      <c r="I538" s="70"/>
      <c r="J538" s="70"/>
      <c r="K538" s="70"/>
      <c r="L538" s="70"/>
      <c r="M538" s="20"/>
      <c r="N538" s="20"/>
      <c r="O538" s="20"/>
      <c r="P538" s="20"/>
      <c r="Q538" s="20"/>
      <c r="R538" s="20"/>
      <c r="S538" s="20"/>
      <c r="T538" s="20"/>
      <c r="U538" s="20"/>
      <c r="V538" s="20"/>
      <c r="W538" s="20"/>
      <c r="X538" s="20"/>
    </row>
    <row r="539">
      <c r="A539" s="20"/>
      <c r="B539" s="20"/>
      <c r="C539" s="20"/>
      <c r="D539" s="70"/>
      <c r="E539" s="70"/>
      <c r="F539" s="70"/>
      <c r="G539" s="20"/>
      <c r="H539" s="20"/>
      <c r="I539" s="70"/>
      <c r="J539" s="70"/>
      <c r="K539" s="70"/>
      <c r="L539" s="70"/>
      <c r="M539" s="20"/>
      <c r="N539" s="20"/>
      <c r="O539" s="20"/>
      <c r="P539" s="20"/>
      <c r="Q539" s="20"/>
      <c r="R539" s="20"/>
      <c r="S539" s="20"/>
      <c r="T539" s="20"/>
      <c r="U539" s="20"/>
      <c r="V539" s="20"/>
      <c r="W539" s="20"/>
      <c r="X539" s="20"/>
    </row>
    <row r="540">
      <c r="A540" s="20"/>
      <c r="B540" s="20"/>
      <c r="C540" s="20"/>
      <c r="D540" s="70"/>
      <c r="E540" s="70"/>
      <c r="F540" s="70"/>
      <c r="G540" s="20"/>
      <c r="H540" s="20"/>
      <c r="I540" s="70"/>
      <c r="J540" s="70"/>
      <c r="K540" s="70"/>
      <c r="L540" s="70"/>
      <c r="M540" s="20"/>
      <c r="N540" s="20"/>
      <c r="O540" s="20"/>
      <c r="P540" s="20"/>
      <c r="Q540" s="20"/>
      <c r="R540" s="20"/>
      <c r="S540" s="20"/>
      <c r="T540" s="20"/>
      <c r="U540" s="20"/>
      <c r="V540" s="20"/>
      <c r="W540" s="20"/>
      <c r="X540" s="20"/>
    </row>
    <row r="541">
      <c r="A541" s="20"/>
      <c r="B541" s="20"/>
      <c r="C541" s="20"/>
      <c r="D541" s="70"/>
      <c r="E541" s="70"/>
      <c r="F541" s="70"/>
      <c r="G541" s="20"/>
      <c r="H541" s="20"/>
      <c r="I541" s="70"/>
      <c r="J541" s="70"/>
      <c r="K541" s="70"/>
      <c r="L541" s="70"/>
      <c r="M541" s="20"/>
      <c r="N541" s="20"/>
      <c r="O541" s="20"/>
      <c r="P541" s="20"/>
      <c r="Q541" s="20"/>
      <c r="R541" s="20"/>
      <c r="S541" s="20"/>
      <c r="T541" s="20"/>
      <c r="U541" s="20"/>
      <c r="V541" s="20"/>
      <c r="W541" s="20"/>
      <c r="X541" s="20"/>
    </row>
    <row r="542">
      <c r="A542" s="20"/>
      <c r="B542" s="20"/>
      <c r="C542" s="20"/>
      <c r="D542" s="70"/>
      <c r="E542" s="70"/>
      <c r="F542" s="70"/>
      <c r="G542" s="20"/>
      <c r="H542" s="20"/>
      <c r="I542" s="70"/>
      <c r="J542" s="70"/>
      <c r="K542" s="70"/>
      <c r="L542" s="70"/>
      <c r="M542" s="20"/>
      <c r="N542" s="20"/>
      <c r="O542" s="20"/>
      <c r="P542" s="20"/>
      <c r="Q542" s="20"/>
      <c r="R542" s="20"/>
      <c r="S542" s="20"/>
      <c r="T542" s="20"/>
      <c r="U542" s="20"/>
      <c r="V542" s="20"/>
      <c r="W542" s="20"/>
      <c r="X542" s="20"/>
    </row>
    <row r="543">
      <c r="A543" s="20"/>
      <c r="B543" s="20"/>
      <c r="C543" s="20"/>
      <c r="D543" s="70"/>
      <c r="E543" s="70"/>
      <c r="F543" s="70"/>
      <c r="G543" s="20"/>
      <c r="H543" s="20"/>
      <c r="I543" s="70"/>
      <c r="J543" s="70"/>
      <c r="K543" s="70"/>
      <c r="L543" s="70"/>
      <c r="M543" s="20"/>
      <c r="N543" s="20"/>
      <c r="O543" s="20"/>
      <c r="P543" s="20"/>
      <c r="Q543" s="20"/>
      <c r="R543" s="20"/>
      <c r="S543" s="20"/>
      <c r="T543" s="20"/>
      <c r="U543" s="20"/>
      <c r="V543" s="20"/>
      <c r="W543" s="20"/>
      <c r="X543" s="20"/>
    </row>
    <row r="544">
      <c r="A544" s="20"/>
      <c r="B544" s="20"/>
      <c r="C544" s="20"/>
      <c r="D544" s="70"/>
      <c r="E544" s="70"/>
      <c r="F544" s="70"/>
      <c r="G544" s="20"/>
      <c r="H544" s="20"/>
      <c r="I544" s="70"/>
      <c r="J544" s="70"/>
      <c r="K544" s="70"/>
      <c r="L544" s="70"/>
      <c r="M544" s="20"/>
      <c r="N544" s="20"/>
      <c r="O544" s="20"/>
      <c r="P544" s="20"/>
      <c r="Q544" s="20"/>
      <c r="R544" s="20"/>
      <c r="S544" s="20"/>
      <c r="T544" s="20"/>
      <c r="U544" s="20"/>
      <c r="V544" s="20"/>
      <c r="W544" s="20"/>
      <c r="X544" s="20"/>
    </row>
    <row r="545">
      <c r="A545" s="20"/>
      <c r="B545" s="20"/>
      <c r="C545" s="20"/>
      <c r="D545" s="70"/>
      <c r="E545" s="70"/>
      <c r="F545" s="70"/>
      <c r="G545" s="20"/>
      <c r="H545" s="20"/>
      <c r="I545" s="70"/>
      <c r="J545" s="70"/>
      <c r="K545" s="70"/>
      <c r="L545" s="70"/>
      <c r="M545" s="20"/>
      <c r="N545" s="20"/>
      <c r="O545" s="20"/>
      <c r="P545" s="20"/>
      <c r="Q545" s="20"/>
      <c r="R545" s="20"/>
      <c r="S545" s="20"/>
      <c r="T545" s="20"/>
      <c r="U545" s="20"/>
      <c r="V545" s="20"/>
      <c r="W545" s="20"/>
      <c r="X545" s="20"/>
    </row>
    <row r="546">
      <c r="A546" s="20"/>
      <c r="B546" s="20"/>
      <c r="C546" s="20"/>
      <c r="D546" s="70"/>
      <c r="E546" s="70"/>
      <c r="F546" s="70"/>
      <c r="G546" s="20"/>
      <c r="H546" s="20"/>
      <c r="I546" s="70"/>
      <c r="J546" s="70"/>
      <c r="K546" s="70"/>
      <c r="L546" s="70"/>
      <c r="M546" s="20"/>
      <c r="N546" s="20"/>
      <c r="O546" s="20"/>
      <c r="P546" s="20"/>
      <c r="Q546" s="20"/>
      <c r="R546" s="20"/>
      <c r="S546" s="20"/>
      <c r="T546" s="20"/>
      <c r="U546" s="20"/>
      <c r="V546" s="20"/>
      <c r="W546" s="20"/>
      <c r="X546" s="20"/>
    </row>
    <row r="547">
      <c r="A547" s="20"/>
      <c r="B547" s="20"/>
      <c r="C547" s="20"/>
      <c r="D547" s="70"/>
      <c r="E547" s="70"/>
      <c r="F547" s="70"/>
      <c r="G547" s="20"/>
      <c r="H547" s="20"/>
      <c r="I547" s="70"/>
      <c r="J547" s="70"/>
      <c r="K547" s="70"/>
      <c r="L547" s="70"/>
      <c r="M547" s="20"/>
      <c r="N547" s="20"/>
      <c r="O547" s="20"/>
      <c r="P547" s="20"/>
      <c r="Q547" s="20"/>
      <c r="R547" s="20"/>
      <c r="S547" s="20"/>
      <c r="T547" s="20"/>
      <c r="U547" s="20"/>
      <c r="V547" s="20"/>
      <c r="W547" s="20"/>
      <c r="X547" s="20"/>
    </row>
    <row r="548">
      <c r="A548" s="20"/>
      <c r="B548" s="20"/>
      <c r="C548" s="20"/>
      <c r="D548" s="70"/>
      <c r="E548" s="70"/>
      <c r="F548" s="70"/>
      <c r="G548" s="20"/>
      <c r="H548" s="20"/>
      <c r="I548" s="70"/>
      <c r="J548" s="70"/>
      <c r="K548" s="70"/>
      <c r="L548" s="70"/>
      <c r="M548" s="20"/>
      <c r="N548" s="20"/>
      <c r="O548" s="20"/>
      <c r="P548" s="20"/>
      <c r="Q548" s="20"/>
      <c r="R548" s="20"/>
      <c r="S548" s="20"/>
      <c r="T548" s="20"/>
      <c r="U548" s="20"/>
      <c r="V548" s="20"/>
      <c r="W548" s="20"/>
      <c r="X548" s="20"/>
    </row>
    <row r="549">
      <c r="A549" s="20"/>
      <c r="B549" s="20"/>
      <c r="C549" s="20"/>
      <c r="D549" s="70"/>
      <c r="E549" s="70"/>
      <c r="F549" s="70"/>
      <c r="G549" s="20"/>
      <c r="H549" s="20"/>
      <c r="I549" s="70"/>
      <c r="J549" s="70"/>
      <c r="K549" s="70"/>
      <c r="L549" s="70"/>
      <c r="M549" s="20"/>
      <c r="N549" s="20"/>
      <c r="O549" s="20"/>
      <c r="P549" s="20"/>
      <c r="Q549" s="20"/>
      <c r="R549" s="20"/>
      <c r="S549" s="20"/>
      <c r="T549" s="20"/>
      <c r="U549" s="20"/>
      <c r="V549" s="20"/>
      <c r="W549" s="20"/>
      <c r="X549" s="20"/>
    </row>
    <row r="550">
      <c r="A550" s="20"/>
      <c r="B550" s="20"/>
      <c r="C550" s="20"/>
      <c r="D550" s="70"/>
      <c r="E550" s="70"/>
      <c r="F550" s="70"/>
      <c r="G550" s="20"/>
      <c r="H550" s="20"/>
      <c r="I550" s="70"/>
      <c r="J550" s="70"/>
      <c r="K550" s="70"/>
      <c r="L550" s="70"/>
      <c r="M550" s="20"/>
      <c r="N550" s="20"/>
      <c r="O550" s="20"/>
      <c r="P550" s="20"/>
      <c r="Q550" s="20"/>
      <c r="R550" s="20"/>
      <c r="S550" s="20"/>
      <c r="T550" s="20"/>
      <c r="U550" s="20"/>
      <c r="V550" s="20"/>
      <c r="W550" s="20"/>
      <c r="X550" s="20"/>
    </row>
    <row r="551">
      <c r="A551" s="20"/>
      <c r="B551" s="20"/>
      <c r="C551" s="20"/>
      <c r="D551" s="70"/>
      <c r="E551" s="70"/>
      <c r="F551" s="70"/>
      <c r="G551" s="20"/>
      <c r="H551" s="20"/>
      <c r="I551" s="70"/>
      <c r="J551" s="70"/>
      <c r="K551" s="70"/>
      <c r="L551" s="70"/>
      <c r="M551" s="20"/>
      <c r="N551" s="20"/>
      <c r="O551" s="20"/>
      <c r="P551" s="20"/>
      <c r="Q551" s="20"/>
      <c r="R551" s="20"/>
      <c r="S551" s="20"/>
      <c r="T551" s="20"/>
      <c r="U551" s="20"/>
      <c r="V551" s="20"/>
      <c r="W551" s="20"/>
      <c r="X551" s="20"/>
    </row>
    <row r="552">
      <c r="A552" s="20"/>
      <c r="B552" s="20"/>
      <c r="C552" s="20"/>
      <c r="D552" s="70"/>
      <c r="E552" s="70"/>
      <c r="F552" s="70"/>
      <c r="G552" s="20"/>
      <c r="H552" s="20"/>
      <c r="I552" s="70"/>
      <c r="J552" s="70"/>
      <c r="K552" s="70"/>
      <c r="L552" s="70"/>
      <c r="M552" s="20"/>
      <c r="N552" s="20"/>
      <c r="O552" s="20"/>
      <c r="P552" s="20"/>
      <c r="Q552" s="20"/>
      <c r="R552" s="20"/>
      <c r="S552" s="20"/>
      <c r="T552" s="20"/>
      <c r="U552" s="20"/>
      <c r="V552" s="20"/>
      <c r="W552" s="20"/>
      <c r="X552" s="20"/>
    </row>
    <row r="553">
      <c r="A553" s="20"/>
      <c r="B553" s="20"/>
      <c r="C553" s="20"/>
      <c r="D553" s="70"/>
      <c r="E553" s="70"/>
      <c r="F553" s="70"/>
      <c r="G553" s="20"/>
      <c r="H553" s="20"/>
      <c r="I553" s="70"/>
      <c r="J553" s="70"/>
      <c r="K553" s="70"/>
      <c r="L553" s="70"/>
      <c r="M553" s="20"/>
      <c r="N553" s="20"/>
      <c r="O553" s="20"/>
      <c r="P553" s="20"/>
      <c r="Q553" s="20"/>
      <c r="R553" s="20"/>
      <c r="S553" s="20"/>
      <c r="T553" s="20"/>
      <c r="U553" s="20"/>
      <c r="V553" s="20"/>
      <c r="W553" s="20"/>
      <c r="X553" s="20"/>
    </row>
    <row r="554">
      <c r="A554" s="20"/>
      <c r="B554" s="20"/>
      <c r="C554" s="20"/>
      <c r="D554" s="70"/>
      <c r="E554" s="70"/>
      <c r="F554" s="70"/>
      <c r="G554" s="20"/>
      <c r="H554" s="20"/>
      <c r="I554" s="70"/>
      <c r="J554" s="70"/>
      <c r="K554" s="70"/>
      <c r="L554" s="70"/>
      <c r="M554" s="20"/>
      <c r="N554" s="20"/>
      <c r="O554" s="20"/>
      <c r="P554" s="20"/>
      <c r="Q554" s="20"/>
      <c r="R554" s="20"/>
      <c r="S554" s="20"/>
      <c r="T554" s="20"/>
      <c r="U554" s="20"/>
      <c r="V554" s="20"/>
      <c r="W554" s="20"/>
      <c r="X554" s="20"/>
    </row>
    <row r="555">
      <c r="A555" s="20"/>
      <c r="B555" s="20"/>
      <c r="C555" s="20"/>
      <c r="D555" s="70"/>
      <c r="E555" s="70"/>
      <c r="F555" s="70"/>
      <c r="G555" s="20"/>
      <c r="H555" s="20"/>
      <c r="I555" s="70"/>
      <c r="J555" s="70"/>
      <c r="K555" s="70"/>
      <c r="L555" s="70"/>
      <c r="M555" s="20"/>
      <c r="N555" s="20"/>
      <c r="O555" s="20"/>
      <c r="P555" s="20"/>
      <c r="Q555" s="20"/>
      <c r="R555" s="20"/>
      <c r="S555" s="20"/>
      <c r="T555" s="20"/>
      <c r="U555" s="20"/>
      <c r="V555" s="20"/>
      <c r="W555" s="20"/>
      <c r="X555" s="20"/>
    </row>
    <row r="556">
      <c r="A556" s="20"/>
      <c r="B556" s="20"/>
      <c r="C556" s="20"/>
      <c r="D556" s="70"/>
      <c r="E556" s="70"/>
      <c r="F556" s="70"/>
      <c r="G556" s="20"/>
      <c r="H556" s="20"/>
      <c r="I556" s="70"/>
      <c r="J556" s="70"/>
      <c r="K556" s="70"/>
      <c r="L556" s="70"/>
      <c r="M556" s="20"/>
      <c r="N556" s="20"/>
      <c r="O556" s="20"/>
      <c r="P556" s="20"/>
      <c r="Q556" s="20"/>
      <c r="R556" s="20"/>
      <c r="S556" s="20"/>
      <c r="T556" s="20"/>
      <c r="U556" s="20"/>
      <c r="V556" s="20"/>
      <c r="W556" s="20"/>
      <c r="X556" s="20"/>
    </row>
    <row r="557">
      <c r="A557" s="20"/>
      <c r="B557" s="20"/>
      <c r="C557" s="20"/>
      <c r="D557" s="70"/>
      <c r="E557" s="70"/>
      <c r="F557" s="70"/>
      <c r="G557" s="20"/>
      <c r="H557" s="20"/>
      <c r="I557" s="70"/>
      <c r="J557" s="70"/>
      <c r="K557" s="70"/>
      <c r="L557" s="70"/>
      <c r="M557" s="20"/>
      <c r="N557" s="20"/>
      <c r="O557" s="20"/>
      <c r="P557" s="20"/>
      <c r="Q557" s="20"/>
      <c r="R557" s="20"/>
      <c r="S557" s="20"/>
      <c r="T557" s="20"/>
      <c r="U557" s="20"/>
      <c r="V557" s="20"/>
      <c r="W557" s="20"/>
      <c r="X557" s="20"/>
    </row>
    <row r="558">
      <c r="A558" s="20"/>
      <c r="B558" s="20"/>
      <c r="C558" s="20"/>
      <c r="D558" s="70"/>
      <c r="E558" s="70"/>
      <c r="F558" s="70"/>
      <c r="G558" s="20"/>
      <c r="H558" s="20"/>
      <c r="I558" s="70"/>
      <c r="J558" s="70"/>
      <c r="K558" s="70"/>
      <c r="L558" s="70"/>
      <c r="M558" s="20"/>
      <c r="N558" s="20"/>
      <c r="O558" s="20"/>
      <c r="P558" s="20"/>
      <c r="Q558" s="20"/>
      <c r="R558" s="20"/>
      <c r="S558" s="20"/>
      <c r="T558" s="20"/>
      <c r="U558" s="20"/>
      <c r="V558" s="20"/>
      <c r="W558" s="20"/>
      <c r="X558" s="20"/>
    </row>
    <row r="559">
      <c r="A559" s="20"/>
      <c r="B559" s="20"/>
      <c r="C559" s="20"/>
      <c r="D559" s="70"/>
      <c r="E559" s="70"/>
      <c r="F559" s="70"/>
      <c r="G559" s="20"/>
      <c r="H559" s="20"/>
      <c r="I559" s="70"/>
      <c r="J559" s="70"/>
      <c r="K559" s="70"/>
      <c r="L559" s="70"/>
      <c r="M559" s="20"/>
      <c r="N559" s="20"/>
      <c r="O559" s="20"/>
      <c r="P559" s="20"/>
      <c r="Q559" s="20"/>
      <c r="R559" s="20"/>
      <c r="S559" s="20"/>
      <c r="T559" s="20"/>
      <c r="U559" s="20"/>
      <c r="V559" s="20"/>
      <c r="W559" s="20"/>
      <c r="X559" s="20"/>
    </row>
    <row r="560">
      <c r="A560" s="20"/>
      <c r="B560" s="20"/>
      <c r="C560" s="20"/>
      <c r="D560" s="70"/>
      <c r="E560" s="70"/>
      <c r="F560" s="70"/>
      <c r="G560" s="20"/>
      <c r="H560" s="20"/>
      <c r="I560" s="70"/>
      <c r="J560" s="70"/>
      <c r="K560" s="70"/>
      <c r="L560" s="70"/>
      <c r="M560" s="20"/>
      <c r="N560" s="20"/>
      <c r="O560" s="20"/>
      <c r="P560" s="20"/>
      <c r="Q560" s="20"/>
      <c r="R560" s="20"/>
      <c r="S560" s="20"/>
      <c r="T560" s="20"/>
      <c r="U560" s="20"/>
      <c r="V560" s="20"/>
      <c r="W560" s="20"/>
      <c r="X560" s="20"/>
    </row>
    <row r="561">
      <c r="A561" s="20"/>
      <c r="B561" s="20"/>
      <c r="C561" s="20"/>
      <c r="D561" s="70"/>
      <c r="E561" s="70"/>
      <c r="F561" s="70"/>
      <c r="G561" s="20"/>
      <c r="H561" s="20"/>
      <c r="I561" s="70"/>
      <c r="J561" s="70"/>
      <c r="K561" s="70"/>
      <c r="L561" s="70"/>
      <c r="M561" s="20"/>
      <c r="N561" s="20"/>
      <c r="O561" s="20"/>
      <c r="P561" s="20"/>
      <c r="Q561" s="20"/>
      <c r="R561" s="20"/>
      <c r="S561" s="20"/>
      <c r="T561" s="20"/>
      <c r="U561" s="20"/>
      <c r="V561" s="20"/>
      <c r="W561" s="20"/>
      <c r="X561" s="20"/>
    </row>
    <row r="562">
      <c r="A562" s="20"/>
      <c r="B562" s="20"/>
      <c r="C562" s="20"/>
      <c r="D562" s="70"/>
      <c r="E562" s="70"/>
      <c r="F562" s="70"/>
      <c r="G562" s="20"/>
      <c r="H562" s="20"/>
      <c r="I562" s="70"/>
      <c r="J562" s="70"/>
      <c r="K562" s="70"/>
      <c r="L562" s="70"/>
      <c r="M562" s="20"/>
      <c r="N562" s="20"/>
      <c r="O562" s="20"/>
      <c r="P562" s="20"/>
      <c r="Q562" s="20"/>
      <c r="R562" s="20"/>
      <c r="S562" s="20"/>
      <c r="T562" s="20"/>
      <c r="U562" s="20"/>
      <c r="V562" s="20"/>
      <c r="W562" s="20"/>
      <c r="X562" s="20"/>
    </row>
    <row r="563">
      <c r="A563" s="20"/>
      <c r="B563" s="20"/>
      <c r="C563" s="20"/>
      <c r="D563" s="70"/>
      <c r="E563" s="70"/>
      <c r="F563" s="70"/>
      <c r="G563" s="20"/>
      <c r="H563" s="20"/>
      <c r="I563" s="70"/>
      <c r="J563" s="70"/>
      <c r="K563" s="70"/>
      <c r="L563" s="70"/>
      <c r="M563" s="20"/>
      <c r="N563" s="20"/>
      <c r="O563" s="20"/>
      <c r="P563" s="20"/>
      <c r="Q563" s="20"/>
      <c r="R563" s="20"/>
      <c r="S563" s="20"/>
      <c r="T563" s="20"/>
      <c r="U563" s="20"/>
      <c r="V563" s="20"/>
      <c r="W563" s="20"/>
      <c r="X563" s="20"/>
    </row>
    <row r="564">
      <c r="A564" s="20"/>
      <c r="B564" s="20"/>
      <c r="C564" s="20"/>
      <c r="D564" s="70"/>
      <c r="E564" s="70"/>
      <c r="F564" s="70"/>
      <c r="G564" s="20"/>
      <c r="H564" s="20"/>
      <c r="I564" s="70"/>
      <c r="J564" s="70"/>
      <c r="K564" s="70"/>
      <c r="L564" s="70"/>
      <c r="M564" s="20"/>
      <c r="N564" s="20"/>
      <c r="O564" s="20"/>
      <c r="P564" s="20"/>
      <c r="Q564" s="20"/>
      <c r="R564" s="20"/>
      <c r="S564" s="20"/>
      <c r="T564" s="20"/>
      <c r="U564" s="20"/>
      <c r="V564" s="20"/>
      <c r="W564" s="20"/>
      <c r="X564" s="20"/>
    </row>
    <row r="565">
      <c r="A565" s="20"/>
      <c r="B565" s="20"/>
      <c r="C565" s="20"/>
      <c r="D565" s="70"/>
      <c r="E565" s="70"/>
      <c r="F565" s="70"/>
      <c r="G565" s="20"/>
      <c r="H565" s="20"/>
      <c r="I565" s="70"/>
      <c r="J565" s="70"/>
      <c r="K565" s="70"/>
      <c r="L565" s="70"/>
      <c r="M565" s="20"/>
      <c r="N565" s="20"/>
      <c r="O565" s="20"/>
      <c r="P565" s="20"/>
      <c r="Q565" s="20"/>
      <c r="R565" s="20"/>
      <c r="S565" s="20"/>
      <c r="T565" s="20"/>
      <c r="U565" s="20"/>
      <c r="V565" s="20"/>
      <c r="W565" s="20"/>
      <c r="X565" s="20"/>
    </row>
    <row r="566">
      <c r="A566" s="20"/>
      <c r="B566" s="20"/>
      <c r="C566" s="20"/>
      <c r="D566" s="70"/>
      <c r="E566" s="70"/>
      <c r="F566" s="70"/>
      <c r="G566" s="20"/>
      <c r="H566" s="20"/>
      <c r="I566" s="70"/>
      <c r="J566" s="70"/>
      <c r="K566" s="70"/>
      <c r="L566" s="70"/>
      <c r="M566" s="20"/>
      <c r="N566" s="20"/>
      <c r="O566" s="20"/>
      <c r="P566" s="20"/>
      <c r="Q566" s="20"/>
      <c r="R566" s="20"/>
      <c r="S566" s="20"/>
      <c r="T566" s="20"/>
      <c r="U566" s="20"/>
      <c r="V566" s="20"/>
      <c r="W566" s="20"/>
      <c r="X566" s="20"/>
    </row>
    <row r="567">
      <c r="A567" s="20"/>
      <c r="B567" s="20"/>
      <c r="C567" s="20"/>
      <c r="D567" s="70"/>
      <c r="E567" s="70"/>
      <c r="F567" s="70"/>
      <c r="G567" s="20"/>
      <c r="H567" s="20"/>
      <c r="I567" s="70"/>
      <c r="J567" s="70"/>
      <c r="K567" s="70"/>
      <c r="L567" s="70"/>
      <c r="M567" s="20"/>
      <c r="N567" s="20"/>
      <c r="O567" s="20"/>
      <c r="P567" s="20"/>
      <c r="Q567" s="20"/>
      <c r="R567" s="20"/>
      <c r="S567" s="20"/>
      <c r="T567" s="20"/>
      <c r="U567" s="20"/>
      <c r="V567" s="20"/>
      <c r="W567" s="20"/>
      <c r="X567" s="20"/>
    </row>
    <row r="568">
      <c r="A568" s="20"/>
      <c r="B568" s="20"/>
      <c r="C568" s="20"/>
      <c r="D568" s="70"/>
      <c r="E568" s="70"/>
      <c r="F568" s="70"/>
      <c r="G568" s="20"/>
      <c r="H568" s="20"/>
      <c r="I568" s="70"/>
      <c r="J568" s="70"/>
      <c r="K568" s="70"/>
      <c r="L568" s="70"/>
      <c r="M568" s="20"/>
      <c r="N568" s="20"/>
      <c r="O568" s="20"/>
      <c r="P568" s="20"/>
      <c r="Q568" s="20"/>
      <c r="R568" s="20"/>
      <c r="S568" s="20"/>
      <c r="T568" s="20"/>
      <c r="U568" s="20"/>
      <c r="V568" s="20"/>
      <c r="W568" s="20"/>
      <c r="X568" s="20"/>
    </row>
    <row r="569">
      <c r="A569" s="20"/>
      <c r="B569" s="20"/>
      <c r="C569" s="20"/>
      <c r="D569" s="70"/>
      <c r="E569" s="70"/>
      <c r="F569" s="70"/>
      <c r="G569" s="20"/>
      <c r="H569" s="20"/>
      <c r="I569" s="70"/>
      <c r="J569" s="70"/>
      <c r="K569" s="70"/>
      <c r="L569" s="70"/>
      <c r="M569" s="20"/>
      <c r="N569" s="20"/>
      <c r="O569" s="20"/>
      <c r="P569" s="20"/>
      <c r="Q569" s="20"/>
      <c r="R569" s="20"/>
      <c r="S569" s="20"/>
      <c r="T569" s="20"/>
      <c r="U569" s="20"/>
      <c r="V569" s="20"/>
      <c r="W569" s="20"/>
      <c r="X569" s="20"/>
    </row>
    <row r="570">
      <c r="A570" s="20"/>
      <c r="B570" s="20"/>
      <c r="C570" s="20"/>
      <c r="D570" s="70"/>
      <c r="E570" s="70"/>
      <c r="F570" s="70"/>
      <c r="G570" s="20"/>
      <c r="H570" s="20"/>
      <c r="I570" s="70"/>
      <c r="J570" s="70"/>
      <c r="K570" s="70"/>
      <c r="L570" s="70"/>
      <c r="M570" s="20"/>
      <c r="N570" s="20"/>
      <c r="O570" s="20"/>
      <c r="P570" s="20"/>
      <c r="Q570" s="20"/>
      <c r="R570" s="20"/>
      <c r="S570" s="20"/>
      <c r="T570" s="20"/>
      <c r="U570" s="20"/>
      <c r="V570" s="20"/>
      <c r="W570" s="20"/>
      <c r="X570" s="20"/>
    </row>
    <row r="571">
      <c r="A571" s="20"/>
      <c r="B571" s="20"/>
      <c r="C571" s="20"/>
      <c r="D571" s="70"/>
      <c r="E571" s="70"/>
      <c r="F571" s="70"/>
      <c r="G571" s="20"/>
      <c r="H571" s="20"/>
      <c r="I571" s="70"/>
      <c r="J571" s="70"/>
      <c r="K571" s="70"/>
      <c r="L571" s="70"/>
      <c r="M571" s="20"/>
      <c r="N571" s="20"/>
      <c r="O571" s="20"/>
      <c r="P571" s="20"/>
      <c r="Q571" s="20"/>
      <c r="R571" s="20"/>
      <c r="S571" s="20"/>
      <c r="T571" s="20"/>
      <c r="U571" s="20"/>
      <c r="V571" s="20"/>
      <c r="W571" s="20"/>
      <c r="X571" s="20"/>
    </row>
    <row r="572">
      <c r="A572" s="20"/>
      <c r="B572" s="20"/>
      <c r="C572" s="20"/>
      <c r="D572" s="70"/>
      <c r="E572" s="70"/>
      <c r="F572" s="70"/>
      <c r="G572" s="20"/>
      <c r="H572" s="20"/>
      <c r="I572" s="70"/>
      <c r="J572" s="70"/>
      <c r="K572" s="70"/>
      <c r="L572" s="70"/>
      <c r="M572" s="20"/>
      <c r="N572" s="20"/>
      <c r="O572" s="20"/>
      <c r="P572" s="20"/>
      <c r="Q572" s="20"/>
      <c r="R572" s="20"/>
      <c r="S572" s="20"/>
      <c r="T572" s="20"/>
      <c r="U572" s="20"/>
      <c r="V572" s="20"/>
      <c r="W572" s="20"/>
      <c r="X572" s="20"/>
    </row>
    <row r="573">
      <c r="A573" s="20"/>
      <c r="B573" s="20"/>
      <c r="C573" s="20"/>
      <c r="D573" s="70"/>
      <c r="E573" s="70"/>
      <c r="F573" s="70"/>
      <c r="G573" s="20"/>
      <c r="H573" s="20"/>
      <c r="I573" s="70"/>
      <c r="J573" s="70"/>
      <c r="K573" s="70"/>
      <c r="L573" s="70"/>
      <c r="M573" s="20"/>
      <c r="N573" s="20"/>
      <c r="O573" s="20"/>
      <c r="P573" s="20"/>
      <c r="Q573" s="20"/>
      <c r="R573" s="20"/>
      <c r="S573" s="20"/>
      <c r="T573" s="20"/>
      <c r="U573" s="20"/>
      <c r="V573" s="20"/>
      <c r="W573" s="20"/>
      <c r="X573" s="20"/>
    </row>
    <row r="574">
      <c r="A574" s="20"/>
      <c r="B574" s="20"/>
      <c r="C574" s="20"/>
      <c r="D574" s="70"/>
      <c r="E574" s="70"/>
      <c r="F574" s="70"/>
      <c r="G574" s="20"/>
      <c r="H574" s="20"/>
      <c r="I574" s="70"/>
      <c r="J574" s="70"/>
      <c r="K574" s="70"/>
      <c r="L574" s="70"/>
      <c r="M574" s="20"/>
      <c r="N574" s="20"/>
      <c r="O574" s="20"/>
      <c r="P574" s="20"/>
      <c r="Q574" s="20"/>
      <c r="R574" s="20"/>
      <c r="S574" s="20"/>
      <c r="T574" s="20"/>
      <c r="U574" s="20"/>
      <c r="V574" s="20"/>
      <c r="W574" s="20"/>
      <c r="X574" s="20"/>
    </row>
    <row r="575">
      <c r="A575" s="20"/>
      <c r="B575" s="20"/>
      <c r="C575" s="20"/>
      <c r="D575" s="70"/>
      <c r="E575" s="70"/>
      <c r="F575" s="70"/>
      <c r="G575" s="20"/>
      <c r="H575" s="20"/>
      <c r="I575" s="70"/>
      <c r="J575" s="70"/>
      <c r="K575" s="70"/>
      <c r="L575" s="70"/>
      <c r="M575" s="20"/>
      <c r="N575" s="20"/>
      <c r="O575" s="20"/>
      <c r="P575" s="20"/>
      <c r="Q575" s="20"/>
      <c r="R575" s="20"/>
      <c r="S575" s="20"/>
      <c r="T575" s="20"/>
      <c r="U575" s="20"/>
      <c r="V575" s="20"/>
      <c r="W575" s="20"/>
      <c r="X575" s="20"/>
    </row>
    <row r="576">
      <c r="A576" s="20"/>
      <c r="B576" s="20"/>
      <c r="C576" s="20"/>
      <c r="D576" s="70"/>
      <c r="E576" s="70"/>
      <c r="F576" s="70"/>
      <c r="G576" s="20"/>
      <c r="H576" s="20"/>
      <c r="I576" s="70"/>
      <c r="J576" s="70"/>
      <c r="K576" s="70"/>
      <c r="L576" s="70"/>
      <c r="M576" s="20"/>
      <c r="N576" s="20"/>
      <c r="O576" s="20"/>
      <c r="P576" s="20"/>
      <c r="Q576" s="20"/>
      <c r="R576" s="20"/>
      <c r="S576" s="20"/>
      <c r="T576" s="20"/>
      <c r="U576" s="20"/>
      <c r="V576" s="20"/>
      <c r="W576" s="20"/>
      <c r="X576" s="20"/>
    </row>
    <row r="577">
      <c r="A577" s="20"/>
      <c r="B577" s="20"/>
      <c r="C577" s="20"/>
      <c r="D577" s="70"/>
      <c r="E577" s="70"/>
      <c r="F577" s="70"/>
      <c r="G577" s="20"/>
      <c r="H577" s="20"/>
      <c r="I577" s="70"/>
      <c r="J577" s="70"/>
      <c r="K577" s="70"/>
      <c r="L577" s="70"/>
      <c r="M577" s="20"/>
      <c r="N577" s="20"/>
      <c r="O577" s="20"/>
      <c r="P577" s="20"/>
      <c r="Q577" s="20"/>
      <c r="R577" s="20"/>
      <c r="S577" s="20"/>
      <c r="T577" s="20"/>
      <c r="U577" s="20"/>
      <c r="V577" s="20"/>
      <c r="W577" s="20"/>
      <c r="X577" s="20"/>
    </row>
    <row r="578">
      <c r="A578" s="20"/>
      <c r="B578" s="20"/>
      <c r="C578" s="20"/>
      <c r="D578" s="70"/>
      <c r="E578" s="70"/>
      <c r="F578" s="70"/>
      <c r="G578" s="20"/>
      <c r="H578" s="20"/>
      <c r="I578" s="70"/>
      <c r="J578" s="70"/>
      <c r="K578" s="70"/>
      <c r="L578" s="70"/>
      <c r="M578" s="20"/>
      <c r="N578" s="20"/>
      <c r="O578" s="20"/>
      <c r="P578" s="20"/>
      <c r="Q578" s="20"/>
      <c r="R578" s="20"/>
      <c r="S578" s="20"/>
      <c r="T578" s="20"/>
      <c r="U578" s="20"/>
      <c r="V578" s="20"/>
      <c r="W578" s="20"/>
      <c r="X578" s="20"/>
    </row>
    <row r="579">
      <c r="A579" s="20"/>
      <c r="B579" s="20"/>
      <c r="C579" s="20"/>
      <c r="D579" s="70"/>
      <c r="E579" s="70"/>
      <c r="F579" s="70"/>
      <c r="G579" s="20"/>
      <c r="H579" s="20"/>
      <c r="I579" s="70"/>
      <c r="J579" s="70"/>
      <c r="K579" s="70"/>
      <c r="L579" s="70"/>
      <c r="M579" s="20"/>
      <c r="N579" s="20"/>
      <c r="O579" s="20"/>
      <c r="P579" s="20"/>
      <c r="Q579" s="20"/>
      <c r="R579" s="20"/>
      <c r="S579" s="20"/>
      <c r="T579" s="20"/>
      <c r="U579" s="20"/>
      <c r="V579" s="20"/>
      <c r="W579" s="20"/>
      <c r="X579" s="20"/>
    </row>
    <row r="580">
      <c r="A580" s="20"/>
      <c r="B580" s="20"/>
      <c r="C580" s="20"/>
      <c r="D580" s="70"/>
      <c r="E580" s="70"/>
      <c r="F580" s="70"/>
      <c r="G580" s="20"/>
      <c r="H580" s="20"/>
      <c r="I580" s="70"/>
      <c r="J580" s="70"/>
      <c r="K580" s="70"/>
      <c r="L580" s="70"/>
      <c r="M580" s="20"/>
      <c r="N580" s="20"/>
      <c r="O580" s="20"/>
      <c r="P580" s="20"/>
      <c r="Q580" s="20"/>
      <c r="R580" s="20"/>
      <c r="S580" s="20"/>
      <c r="T580" s="20"/>
      <c r="U580" s="20"/>
      <c r="V580" s="20"/>
      <c r="W580" s="20"/>
      <c r="X580" s="20"/>
    </row>
    <row r="581">
      <c r="A581" s="20"/>
      <c r="B581" s="20"/>
      <c r="C581" s="20"/>
      <c r="D581" s="70"/>
      <c r="E581" s="70"/>
      <c r="F581" s="70"/>
      <c r="G581" s="20"/>
      <c r="H581" s="20"/>
      <c r="I581" s="70"/>
      <c r="J581" s="70"/>
      <c r="K581" s="70"/>
      <c r="L581" s="70"/>
      <c r="M581" s="20"/>
      <c r="N581" s="20"/>
      <c r="O581" s="20"/>
      <c r="P581" s="20"/>
      <c r="Q581" s="20"/>
      <c r="R581" s="20"/>
      <c r="S581" s="20"/>
      <c r="T581" s="20"/>
      <c r="U581" s="20"/>
      <c r="V581" s="20"/>
      <c r="W581" s="20"/>
      <c r="X581" s="20"/>
    </row>
    <row r="582">
      <c r="A582" s="20"/>
      <c r="B582" s="20"/>
      <c r="C582" s="20"/>
      <c r="D582" s="70"/>
      <c r="E582" s="70"/>
      <c r="F582" s="70"/>
      <c r="G582" s="20"/>
      <c r="H582" s="20"/>
      <c r="I582" s="70"/>
      <c r="J582" s="70"/>
      <c r="K582" s="70"/>
      <c r="L582" s="70"/>
      <c r="M582" s="20"/>
      <c r="N582" s="20"/>
      <c r="O582" s="20"/>
      <c r="P582" s="20"/>
      <c r="Q582" s="20"/>
      <c r="R582" s="20"/>
      <c r="S582" s="20"/>
      <c r="T582" s="20"/>
      <c r="U582" s="20"/>
      <c r="V582" s="20"/>
      <c r="W582" s="20"/>
      <c r="X582" s="20"/>
    </row>
    <row r="583">
      <c r="A583" s="20"/>
      <c r="B583" s="20"/>
      <c r="C583" s="20"/>
      <c r="D583" s="70"/>
      <c r="E583" s="70"/>
      <c r="F583" s="70"/>
      <c r="G583" s="20"/>
      <c r="H583" s="20"/>
      <c r="I583" s="70"/>
      <c r="J583" s="70"/>
      <c r="K583" s="70"/>
      <c r="L583" s="70"/>
      <c r="M583" s="20"/>
      <c r="N583" s="20"/>
      <c r="O583" s="20"/>
      <c r="P583" s="20"/>
      <c r="Q583" s="20"/>
      <c r="R583" s="20"/>
      <c r="S583" s="20"/>
      <c r="T583" s="20"/>
      <c r="U583" s="20"/>
      <c r="V583" s="20"/>
      <c r="W583" s="20"/>
      <c r="X583" s="20"/>
    </row>
    <row r="584">
      <c r="A584" s="20"/>
      <c r="B584" s="20"/>
      <c r="C584" s="20"/>
      <c r="D584" s="70"/>
      <c r="E584" s="70"/>
      <c r="F584" s="70"/>
      <c r="G584" s="20"/>
      <c r="H584" s="20"/>
      <c r="I584" s="70"/>
      <c r="J584" s="70"/>
      <c r="K584" s="70"/>
      <c r="L584" s="70"/>
      <c r="M584" s="20"/>
      <c r="N584" s="20"/>
      <c r="O584" s="20"/>
      <c r="P584" s="20"/>
      <c r="Q584" s="20"/>
      <c r="R584" s="20"/>
      <c r="S584" s="20"/>
      <c r="T584" s="20"/>
      <c r="U584" s="20"/>
      <c r="V584" s="20"/>
      <c r="W584" s="20"/>
      <c r="X584" s="20"/>
    </row>
    <row r="585">
      <c r="A585" s="20"/>
      <c r="B585" s="20"/>
      <c r="C585" s="20"/>
      <c r="D585" s="70"/>
      <c r="E585" s="70"/>
      <c r="F585" s="70"/>
      <c r="G585" s="20"/>
      <c r="H585" s="20"/>
      <c r="I585" s="70"/>
      <c r="J585" s="70"/>
      <c r="K585" s="70"/>
      <c r="L585" s="70"/>
      <c r="M585" s="20"/>
      <c r="N585" s="20"/>
      <c r="O585" s="20"/>
      <c r="P585" s="20"/>
      <c r="Q585" s="20"/>
      <c r="R585" s="20"/>
      <c r="S585" s="20"/>
      <c r="T585" s="20"/>
      <c r="U585" s="20"/>
      <c r="V585" s="20"/>
      <c r="W585" s="20"/>
      <c r="X585" s="20"/>
    </row>
    <row r="586">
      <c r="A586" s="20"/>
      <c r="B586" s="20"/>
      <c r="C586" s="20"/>
      <c r="D586" s="70"/>
      <c r="E586" s="70"/>
      <c r="F586" s="70"/>
      <c r="G586" s="20"/>
      <c r="H586" s="20"/>
      <c r="I586" s="70"/>
      <c r="J586" s="70"/>
      <c r="K586" s="70"/>
      <c r="L586" s="70"/>
      <c r="M586" s="20"/>
      <c r="N586" s="20"/>
      <c r="O586" s="20"/>
      <c r="P586" s="20"/>
      <c r="Q586" s="20"/>
      <c r="R586" s="20"/>
      <c r="S586" s="20"/>
      <c r="T586" s="20"/>
      <c r="U586" s="20"/>
      <c r="V586" s="20"/>
      <c r="W586" s="20"/>
      <c r="X586" s="20"/>
    </row>
    <row r="587">
      <c r="A587" s="20"/>
      <c r="B587" s="20"/>
      <c r="C587" s="20"/>
      <c r="D587" s="70"/>
      <c r="E587" s="70"/>
      <c r="F587" s="70"/>
      <c r="G587" s="20"/>
      <c r="H587" s="20"/>
      <c r="I587" s="70"/>
      <c r="J587" s="70"/>
      <c r="K587" s="70"/>
      <c r="L587" s="70"/>
      <c r="M587" s="20"/>
      <c r="N587" s="20"/>
      <c r="O587" s="20"/>
      <c r="P587" s="20"/>
      <c r="Q587" s="20"/>
      <c r="R587" s="20"/>
      <c r="S587" s="20"/>
      <c r="T587" s="20"/>
      <c r="U587" s="20"/>
      <c r="V587" s="20"/>
      <c r="W587" s="20"/>
      <c r="X587" s="20"/>
    </row>
    <row r="588">
      <c r="A588" s="20"/>
      <c r="B588" s="20"/>
      <c r="C588" s="20"/>
      <c r="D588" s="70"/>
      <c r="E588" s="70"/>
      <c r="F588" s="70"/>
      <c r="G588" s="20"/>
      <c r="H588" s="20"/>
      <c r="I588" s="70"/>
      <c r="J588" s="70"/>
      <c r="K588" s="70"/>
      <c r="L588" s="70"/>
      <c r="M588" s="20"/>
      <c r="N588" s="20"/>
      <c r="O588" s="20"/>
      <c r="P588" s="20"/>
      <c r="Q588" s="20"/>
      <c r="R588" s="20"/>
      <c r="S588" s="20"/>
      <c r="T588" s="20"/>
      <c r="U588" s="20"/>
      <c r="V588" s="20"/>
      <c r="W588" s="20"/>
      <c r="X588" s="20"/>
    </row>
    <row r="589">
      <c r="A589" s="20"/>
      <c r="B589" s="20"/>
      <c r="C589" s="20"/>
      <c r="D589" s="70"/>
      <c r="E589" s="70"/>
      <c r="F589" s="70"/>
      <c r="G589" s="20"/>
      <c r="H589" s="20"/>
      <c r="I589" s="70"/>
      <c r="J589" s="70"/>
      <c r="K589" s="70"/>
      <c r="L589" s="70"/>
      <c r="M589" s="20"/>
      <c r="N589" s="20"/>
      <c r="O589" s="20"/>
      <c r="P589" s="20"/>
      <c r="Q589" s="20"/>
      <c r="R589" s="20"/>
      <c r="S589" s="20"/>
      <c r="T589" s="20"/>
      <c r="U589" s="20"/>
      <c r="V589" s="20"/>
      <c r="W589" s="20"/>
      <c r="X589" s="20"/>
    </row>
    <row r="590">
      <c r="A590" s="20"/>
      <c r="B590" s="20"/>
      <c r="C590" s="20"/>
      <c r="D590" s="70"/>
      <c r="E590" s="70"/>
      <c r="F590" s="70"/>
      <c r="G590" s="20"/>
      <c r="H590" s="20"/>
      <c r="I590" s="70"/>
      <c r="J590" s="70"/>
      <c r="K590" s="70"/>
      <c r="L590" s="70"/>
      <c r="M590" s="20"/>
      <c r="N590" s="20"/>
      <c r="O590" s="20"/>
      <c r="P590" s="20"/>
      <c r="Q590" s="20"/>
      <c r="R590" s="20"/>
      <c r="S590" s="20"/>
      <c r="T590" s="20"/>
      <c r="U590" s="20"/>
      <c r="V590" s="20"/>
      <c r="W590" s="20"/>
      <c r="X590" s="20"/>
    </row>
    <row r="591">
      <c r="A591" s="20"/>
      <c r="B591" s="20"/>
      <c r="C591" s="20"/>
      <c r="D591" s="70"/>
      <c r="E591" s="70"/>
      <c r="F591" s="70"/>
      <c r="G591" s="20"/>
      <c r="H591" s="20"/>
      <c r="I591" s="70"/>
      <c r="J591" s="70"/>
      <c r="K591" s="70"/>
      <c r="L591" s="70"/>
      <c r="M591" s="20"/>
      <c r="N591" s="20"/>
      <c r="O591" s="20"/>
      <c r="P591" s="20"/>
      <c r="Q591" s="20"/>
      <c r="R591" s="20"/>
      <c r="S591" s="20"/>
      <c r="T591" s="20"/>
      <c r="U591" s="20"/>
      <c r="V591" s="20"/>
      <c r="W591" s="20"/>
      <c r="X591" s="20"/>
    </row>
    <row r="592">
      <c r="A592" s="20"/>
      <c r="B592" s="20"/>
      <c r="C592" s="20"/>
      <c r="D592" s="70"/>
      <c r="E592" s="70"/>
      <c r="F592" s="70"/>
      <c r="G592" s="20"/>
      <c r="H592" s="20"/>
      <c r="I592" s="70"/>
      <c r="J592" s="70"/>
      <c r="K592" s="70"/>
      <c r="L592" s="70"/>
      <c r="M592" s="20"/>
      <c r="N592" s="20"/>
      <c r="O592" s="20"/>
      <c r="P592" s="20"/>
      <c r="Q592" s="20"/>
      <c r="R592" s="20"/>
      <c r="S592" s="20"/>
      <c r="T592" s="20"/>
      <c r="U592" s="20"/>
      <c r="V592" s="20"/>
      <c r="W592" s="20"/>
      <c r="X592" s="20"/>
    </row>
    <row r="593">
      <c r="A593" s="20"/>
      <c r="B593" s="20"/>
      <c r="C593" s="20"/>
      <c r="D593" s="70"/>
      <c r="E593" s="70"/>
      <c r="F593" s="70"/>
      <c r="G593" s="20"/>
      <c r="H593" s="20"/>
      <c r="I593" s="70"/>
      <c r="J593" s="70"/>
      <c r="K593" s="70"/>
      <c r="L593" s="70"/>
      <c r="M593" s="20"/>
      <c r="N593" s="20"/>
      <c r="O593" s="20"/>
      <c r="P593" s="20"/>
      <c r="Q593" s="20"/>
      <c r="R593" s="20"/>
      <c r="S593" s="20"/>
      <c r="T593" s="20"/>
      <c r="U593" s="20"/>
      <c r="V593" s="20"/>
      <c r="W593" s="20"/>
      <c r="X593" s="20"/>
    </row>
    <row r="594">
      <c r="A594" s="20"/>
      <c r="B594" s="20"/>
      <c r="C594" s="20"/>
      <c r="D594" s="70"/>
      <c r="E594" s="70"/>
      <c r="F594" s="70"/>
      <c r="G594" s="20"/>
      <c r="H594" s="20"/>
      <c r="I594" s="70"/>
      <c r="J594" s="70"/>
      <c r="K594" s="70"/>
      <c r="L594" s="70"/>
      <c r="M594" s="20"/>
      <c r="N594" s="20"/>
      <c r="O594" s="20"/>
      <c r="P594" s="20"/>
      <c r="Q594" s="20"/>
      <c r="R594" s="20"/>
      <c r="S594" s="20"/>
      <c r="T594" s="20"/>
      <c r="U594" s="20"/>
      <c r="V594" s="20"/>
      <c r="W594" s="20"/>
      <c r="X594" s="20"/>
    </row>
    <row r="595">
      <c r="A595" s="20"/>
      <c r="B595" s="20"/>
      <c r="C595" s="20"/>
      <c r="D595" s="70"/>
      <c r="E595" s="70"/>
      <c r="F595" s="70"/>
      <c r="G595" s="20"/>
      <c r="H595" s="20"/>
      <c r="I595" s="70"/>
      <c r="J595" s="70"/>
      <c r="K595" s="70"/>
      <c r="L595" s="70"/>
      <c r="M595" s="20"/>
      <c r="N595" s="20"/>
      <c r="O595" s="20"/>
      <c r="P595" s="20"/>
      <c r="Q595" s="20"/>
      <c r="R595" s="20"/>
      <c r="S595" s="20"/>
      <c r="T595" s="20"/>
      <c r="U595" s="20"/>
      <c r="V595" s="20"/>
      <c r="W595" s="20"/>
      <c r="X595" s="20"/>
    </row>
    <row r="596">
      <c r="A596" s="20"/>
      <c r="B596" s="20"/>
      <c r="C596" s="20"/>
      <c r="D596" s="70"/>
      <c r="E596" s="70"/>
      <c r="F596" s="70"/>
      <c r="G596" s="20"/>
      <c r="H596" s="20"/>
      <c r="I596" s="70"/>
      <c r="J596" s="70"/>
      <c r="K596" s="70"/>
      <c r="L596" s="70"/>
      <c r="M596" s="20"/>
      <c r="N596" s="20"/>
      <c r="O596" s="20"/>
      <c r="P596" s="20"/>
      <c r="Q596" s="20"/>
      <c r="R596" s="20"/>
      <c r="S596" s="20"/>
      <c r="T596" s="20"/>
      <c r="U596" s="20"/>
      <c r="V596" s="20"/>
      <c r="W596" s="20"/>
      <c r="X596" s="20"/>
    </row>
    <row r="597">
      <c r="A597" s="20"/>
      <c r="B597" s="20"/>
      <c r="C597" s="20"/>
      <c r="D597" s="70"/>
      <c r="E597" s="70"/>
      <c r="F597" s="70"/>
      <c r="G597" s="20"/>
      <c r="H597" s="20"/>
      <c r="I597" s="70"/>
      <c r="J597" s="70"/>
      <c r="K597" s="70"/>
      <c r="L597" s="70"/>
      <c r="M597" s="20"/>
      <c r="N597" s="20"/>
      <c r="O597" s="20"/>
      <c r="P597" s="20"/>
      <c r="Q597" s="20"/>
      <c r="R597" s="20"/>
      <c r="S597" s="20"/>
      <c r="T597" s="20"/>
      <c r="U597" s="20"/>
      <c r="V597" s="20"/>
      <c r="W597" s="20"/>
      <c r="X597" s="20"/>
    </row>
    <row r="598">
      <c r="A598" s="20"/>
      <c r="B598" s="20"/>
      <c r="C598" s="20"/>
      <c r="D598" s="70"/>
      <c r="E598" s="70"/>
      <c r="F598" s="70"/>
      <c r="G598" s="20"/>
      <c r="H598" s="20"/>
      <c r="I598" s="70"/>
      <c r="J598" s="70"/>
      <c r="K598" s="70"/>
      <c r="L598" s="70"/>
      <c r="M598" s="20"/>
      <c r="N598" s="20"/>
      <c r="O598" s="20"/>
      <c r="P598" s="20"/>
      <c r="Q598" s="20"/>
      <c r="R598" s="20"/>
      <c r="S598" s="20"/>
      <c r="T598" s="20"/>
      <c r="U598" s="20"/>
      <c r="V598" s="20"/>
      <c r="W598" s="20"/>
      <c r="X598" s="20"/>
    </row>
    <row r="599">
      <c r="A599" s="20"/>
      <c r="B599" s="20"/>
      <c r="C599" s="20"/>
      <c r="D599" s="70"/>
      <c r="E599" s="70"/>
      <c r="F599" s="70"/>
      <c r="G599" s="20"/>
      <c r="H599" s="20"/>
      <c r="I599" s="70"/>
      <c r="J599" s="70"/>
      <c r="K599" s="70"/>
      <c r="L599" s="70"/>
      <c r="M599" s="20"/>
      <c r="N599" s="20"/>
      <c r="O599" s="20"/>
      <c r="P599" s="20"/>
      <c r="Q599" s="20"/>
      <c r="R599" s="20"/>
      <c r="S599" s="20"/>
      <c r="T599" s="20"/>
      <c r="U599" s="20"/>
      <c r="V599" s="20"/>
      <c r="W599" s="20"/>
      <c r="X599" s="20"/>
    </row>
    <row r="600">
      <c r="A600" s="20"/>
      <c r="B600" s="20"/>
      <c r="C600" s="20"/>
      <c r="D600" s="70"/>
      <c r="E600" s="70"/>
      <c r="F600" s="70"/>
      <c r="G600" s="20"/>
      <c r="H600" s="20"/>
      <c r="I600" s="70"/>
      <c r="J600" s="70"/>
      <c r="K600" s="70"/>
      <c r="L600" s="70"/>
      <c r="M600" s="20"/>
      <c r="N600" s="20"/>
      <c r="O600" s="20"/>
      <c r="P600" s="20"/>
      <c r="Q600" s="20"/>
      <c r="R600" s="20"/>
      <c r="S600" s="20"/>
      <c r="T600" s="20"/>
      <c r="U600" s="20"/>
      <c r="V600" s="20"/>
      <c r="W600" s="20"/>
      <c r="X600" s="20"/>
    </row>
    <row r="601">
      <c r="A601" s="20"/>
      <c r="B601" s="20"/>
      <c r="C601" s="20"/>
      <c r="D601" s="70"/>
      <c r="E601" s="70"/>
      <c r="F601" s="70"/>
      <c r="G601" s="20"/>
      <c r="H601" s="20"/>
      <c r="I601" s="70"/>
      <c r="J601" s="70"/>
      <c r="K601" s="70"/>
      <c r="L601" s="70"/>
      <c r="M601" s="20"/>
      <c r="N601" s="20"/>
      <c r="O601" s="20"/>
      <c r="P601" s="20"/>
      <c r="Q601" s="20"/>
      <c r="R601" s="20"/>
      <c r="S601" s="20"/>
      <c r="T601" s="20"/>
      <c r="U601" s="20"/>
      <c r="V601" s="20"/>
      <c r="W601" s="20"/>
      <c r="X601" s="20"/>
    </row>
    <row r="602">
      <c r="A602" s="20"/>
      <c r="B602" s="20"/>
      <c r="C602" s="20"/>
      <c r="D602" s="70"/>
      <c r="E602" s="70"/>
      <c r="F602" s="70"/>
      <c r="G602" s="20"/>
      <c r="H602" s="20"/>
      <c r="I602" s="70"/>
      <c r="J602" s="70"/>
      <c r="K602" s="70"/>
      <c r="L602" s="70"/>
      <c r="M602" s="20"/>
      <c r="N602" s="20"/>
      <c r="O602" s="20"/>
      <c r="P602" s="20"/>
      <c r="Q602" s="20"/>
      <c r="R602" s="20"/>
      <c r="S602" s="20"/>
      <c r="T602" s="20"/>
      <c r="U602" s="20"/>
      <c r="V602" s="20"/>
      <c r="W602" s="20"/>
      <c r="X602" s="20"/>
    </row>
    <row r="603">
      <c r="A603" s="20"/>
      <c r="B603" s="20"/>
      <c r="C603" s="20"/>
      <c r="D603" s="70"/>
      <c r="E603" s="70"/>
      <c r="F603" s="70"/>
      <c r="G603" s="20"/>
      <c r="H603" s="20"/>
      <c r="I603" s="70"/>
      <c r="J603" s="70"/>
      <c r="K603" s="70"/>
      <c r="L603" s="70"/>
      <c r="M603" s="20"/>
      <c r="N603" s="20"/>
      <c r="O603" s="20"/>
      <c r="P603" s="20"/>
      <c r="Q603" s="20"/>
      <c r="R603" s="20"/>
      <c r="S603" s="20"/>
      <c r="T603" s="20"/>
      <c r="U603" s="20"/>
      <c r="V603" s="20"/>
      <c r="W603" s="20"/>
      <c r="X603" s="20"/>
    </row>
    <row r="604">
      <c r="A604" s="20"/>
      <c r="B604" s="20"/>
      <c r="C604" s="20"/>
      <c r="D604" s="70"/>
      <c r="E604" s="70"/>
      <c r="F604" s="70"/>
      <c r="G604" s="20"/>
      <c r="H604" s="20"/>
      <c r="I604" s="70"/>
      <c r="J604" s="70"/>
      <c r="K604" s="70"/>
      <c r="L604" s="70"/>
      <c r="M604" s="20"/>
      <c r="N604" s="20"/>
      <c r="O604" s="20"/>
      <c r="P604" s="20"/>
      <c r="Q604" s="20"/>
      <c r="R604" s="20"/>
      <c r="S604" s="20"/>
      <c r="T604" s="20"/>
      <c r="U604" s="20"/>
      <c r="V604" s="20"/>
      <c r="W604" s="20"/>
      <c r="X604" s="20"/>
    </row>
    <row r="605">
      <c r="A605" s="20"/>
      <c r="B605" s="20"/>
      <c r="C605" s="20"/>
      <c r="D605" s="70"/>
      <c r="E605" s="70"/>
      <c r="F605" s="70"/>
      <c r="G605" s="20"/>
      <c r="H605" s="20"/>
      <c r="I605" s="70"/>
      <c r="J605" s="70"/>
      <c r="K605" s="70"/>
      <c r="L605" s="70"/>
      <c r="M605" s="20"/>
      <c r="N605" s="20"/>
      <c r="O605" s="20"/>
      <c r="P605" s="20"/>
      <c r="Q605" s="20"/>
      <c r="R605" s="20"/>
      <c r="S605" s="20"/>
      <c r="T605" s="20"/>
      <c r="U605" s="20"/>
      <c r="V605" s="20"/>
      <c r="W605" s="20"/>
      <c r="X605" s="20"/>
    </row>
    <row r="606">
      <c r="A606" s="20"/>
      <c r="B606" s="20"/>
      <c r="C606" s="20"/>
      <c r="D606" s="70"/>
      <c r="E606" s="70"/>
      <c r="F606" s="70"/>
      <c r="G606" s="20"/>
      <c r="H606" s="20"/>
      <c r="I606" s="70"/>
      <c r="J606" s="70"/>
      <c r="K606" s="70"/>
      <c r="L606" s="70"/>
      <c r="M606" s="20"/>
      <c r="N606" s="20"/>
      <c r="O606" s="20"/>
      <c r="P606" s="20"/>
      <c r="Q606" s="20"/>
      <c r="R606" s="20"/>
      <c r="S606" s="20"/>
      <c r="T606" s="20"/>
      <c r="U606" s="20"/>
      <c r="V606" s="20"/>
      <c r="W606" s="20"/>
      <c r="X606" s="20"/>
    </row>
    <row r="607">
      <c r="A607" s="20"/>
      <c r="B607" s="20"/>
      <c r="C607" s="20"/>
      <c r="D607" s="70"/>
      <c r="E607" s="70"/>
      <c r="F607" s="70"/>
      <c r="G607" s="20"/>
      <c r="H607" s="20"/>
      <c r="I607" s="70"/>
      <c r="J607" s="70"/>
      <c r="K607" s="70"/>
      <c r="L607" s="70"/>
      <c r="M607" s="20"/>
      <c r="N607" s="20"/>
      <c r="O607" s="20"/>
      <c r="P607" s="20"/>
      <c r="Q607" s="20"/>
      <c r="R607" s="20"/>
      <c r="S607" s="20"/>
      <c r="T607" s="20"/>
      <c r="U607" s="20"/>
      <c r="V607" s="20"/>
      <c r="W607" s="20"/>
      <c r="X607" s="20"/>
    </row>
    <row r="608">
      <c r="A608" s="20"/>
      <c r="B608" s="20"/>
      <c r="C608" s="20"/>
      <c r="D608" s="70"/>
      <c r="E608" s="70"/>
      <c r="F608" s="70"/>
      <c r="G608" s="20"/>
      <c r="H608" s="20"/>
      <c r="I608" s="70"/>
      <c r="J608" s="70"/>
      <c r="K608" s="70"/>
      <c r="L608" s="70"/>
      <c r="M608" s="20"/>
      <c r="N608" s="20"/>
      <c r="O608" s="20"/>
      <c r="P608" s="20"/>
      <c r="Q608" s="20"/>
      <c r="R608" s="20"/>
      <c r="S608" s="20"/>
      <c r="T608" s="20"/>
      <c r="U608" s="20"/>
      <c r="V608" s="20"/>
      <c r="W608" s="20"/>
      <c r="X608" s="20"/>
    </row>
    <row r="609">
      <c r="A609" s="20"/>
      <c r="B609" s="20"/>
      <c r="C609" s="20"/>
      <c r="D609" s="70"/>
      <c r="E609" s="70"/>
      <c r="F609" s="70"/>
      <c r="G609" s="20"/>
      <c r="H609" s="20"/>
      <c r="I609" s="70"/>
      <c r="J609" s="70"/>
      <c r="K609" s="70"/>
      <c r="L609" s="70"/>
      <c r="M609" s="20"/>
      <c r="N609" s="20"/>
      <c r="O609" s="20"/>
      <c r="P609" s="20"/>
      <c r="Q609" s="20"/>
      <c r="R609" s="20"/>
      <c r="S609" s="20"/>
      <c r="T609" s="20"/>
      <c r="U609" s="20"/>
      <c r="V609" s="20"/>
      <c r="W609" s="20"/>
      <c r="X609" s="20"/>
    </row>
    <row r="610">
      <c r="A610" s="20"/>
      <c r="B610" s="20"/>
      <c r="C610" s="20"/>
      <c r="D610" s="70"/>
      <c r="E610" s="70"/>
      <c r="F610" s="70"/>
      <c r="G610" s="20"/>
      <c r="H610" s="20"/>
      <c r="I610" s="70"/>
      <c r="J610" s="70"/>
      <c r="K610" s="70"/>
      <c r="L610" s="70"/>
      <c r="M610" s="20"/>
      <c r="N610" s="20"/>
      <c r="O610" s="20"/>
      <c r="P610" s="20"/>
      <c r="Q610" s="20"/>
      <c r="R610" s="20"/>
      <c r="S610" s="20"/>
      <c r="T610" s="20"/>
      <c r="U610" s="20"/>
      <c r="V610" s="20"/>
      <c r="W610" s="20"/>
      <c r="X610" s="20"/>
    </row>
    <row r="611">
      <c r="A611" s="20"/>
      <c r="B611" s="20"/>
      <c r="C611" s="20"/>
      <c r="D611" s="70"/>
      <c r="E611" s="70"/>
      <c r="F611" s="70"/>
      <c r="G611" s="20"/>
      <c r="H611" s="20"/>
      <c r="I611" s="70"/>
      <c r="J611" s="70"/>
      <c r="K611" s="70"/>
      <c r="L611" s="70"/>
      <c r="M611" s="20"/>
      <c r="N611" s="20"/>
      <c r="O611" s="20"/>
      <c r="P611" s="20"/>
      <c r="Q611" s="20"/>
      <c r="R611" s="20"/>
      <c r="S611" s="20"/>
      <c r="T611" s="20"/>
      <c r="U611" s="20"/>
      <c r="V611" s="20"/>
      <c r="W611" s="20"/>
      <c r="X611" s="20"/>
    </row>
    <row r="612">
      <c r="A612" s="20"/>
      <c r="B612" s="20"/>
      <c r="C612" s="20"/>
      <c r="D612" s="70"/>
      <c r="E612" s="70"/>
      <c r="F612" s="70"/>
      <c r="G612" s="20"/>
      <c r="H612" s="20"/>
      <c r="I612" s="70"/>
      <c r="J612" s="70"/>
      <c r="K612" s="70"/>
      <c r="L612" s="70"/>
      <c r="M612" s="20"/>
      <c r="N612" s="20"/>
      <c r="O612" s="20"/>
      <c r="P612" s="20"/>
      <c r="Q612" s="20"/>
      <c r="R612" s="20"/>
      <c r="S612" s="20"/>
      <c r="T612" s="20"/>
      <c r="U612" s="20"/>
      <c r="V612" s="20"/>
      <c r="W612" s="20"/>
      <c r="X612" s="20"/>
    </row>
    <row r="613">
      <c r="A613" s="20"/>
      <c r="B613" s="20"/>
      <c r="C613" s="20"/>
      <c r="D613" s="70"/>
      <c r="E613" s="70"/>
      <c r="F613" s="70"/>
      <c r="G613" s="20"/>
      <c r="H613" s="20"/>
      <c r="I613" s="70"/>
      <c r="J613" s="70"/>
      <c r="K613" s="70"/>
      <c r="L613" s="70"/>
      <c r="M613" s="20"/>
      <c r="N613" s="20"/>
      <c r="O613" s="20"/>
      <c r="P613" s="20"/>
      <c r="Q613" s="20"/>
      <c r="R613" s="20"/>
      <c r="S613" s="20"/>
      <c r="T613" s="20"/>
      <c r="U613" s="20"/>
      <c r="V613" s="20"/>
      <c r="W613" s="20"/>
      <c r="X613" s="20"/>
    </row>
    <row r="614">
      <c r="A614" s="20"/>
      <c r="B614" s="20"/>
      <c r="C614" s="20"/>
      <c r="D614" s="70"/>
      <c r="E614" s="70"/>
      <c r="F614" s="70"/>
      <c r="G614" s="20"/>
      <c r="H614" s="20"/>
      <c r="I614" s="70"/>
      <c r="J614" s="70"/>
      <c r="K614" s="70"/>
      <c r="L614" s="70"/>
      <c r="M614" s="20"/>
      <c r="N614" s="20"/>
      <c r="O614" s="20"/>
      <c r="P614" s="20"/>
      <c r="Q614" s="20"/>
      <c r="R614" s="20"/>
      <c r="S614" s="20"/>
      <c r="T614" s="20"/>
      <c r="U614" s="20"/>
      <c r="V614" s="20"/>
      <c r="W614" s="20"/>
      <c r="X614" s="20"/>
    </row>
    <row r="615">
      <c r="A615" s="20"/>
      <c r="B615" s="20"/>
      <c r="C615" s="20"/>
      <c r="D615" s="70"/>
      <c r="E615" s="70"/>
      <c r="F615" s="70"/>
      <c r="G615" s="20"/>
      <c r="H615" s="20"/>
      <c r="I615" s="70"/>
      <c r="J615" s="70"/>
      <c r="K615" s="70"/>
      <c r="L615" s="70"/>
      <c r="M615" s="20"/>
      <c r="N615" s="20"/>
      <c r="O615" s="20"/>
      <c r="P615" s="20"/>
      <c r="Q615" s="20"/>
      <c r="R615" s="20"/>
      <c r="S615" s="20"/>
      <c r="T615" s="20"/>
      <c r="U615" s="20"/>
      <c r="V615" s="20"/>
      <c r="W615" s="20"/>
      <c r="X615" s="20"/>
    </row>
    <row r="616">
      <c r="A616" s="20"/>
      <c r="B616" s="20"/>
      <c r="C616" s="20"/>
      <c r="D616" s="70"/>
      <c r="E616" s="70"/>
      <c r="F616" s="70"/>
      <c r="G616" s="20"/>
      <c r="H616" s="20"/>
      <c r="I616" s="70"/>
      <c r="J616" s="70"/>
      <c r="K616" s="70"/>
      <c r="L616" s="70"/>
      <c r="M616" s="20"/>
      <c r="N616" s="20"/>
      <c r="O616" s="20"/>
      <c r="P616" s="20"/>
      <c r="Q616" s="20"/>
      <c r="R616" s="20"/>
      <c r="S616" s="20"/>
      <c r="T616" s="20"/>
      <c r="U616" s="20"/>
      <c r="V616" s="20"/>
      <c r="W616" s="20"/>
      <c r="X616" s="20"/>
    </row>
    <row r="617">
      <c r="A617" s="20"/>
      <c r="B617" s="20"/>
      <c r="C617" s="20"/>
      <c r="D617" s="70"/>
      <c r="E617" s="70"/>
      <c r="F617" s="70"/>
      <c r="G617" s="20"/>
      <c r="H617" s="20"/>
      <c r="I617" s="70"/>
      <c r="J617" s="70"/>
      <c r="K617" s="70"/>
      <c r="L617" s="70"/>
      <c r="M617" s="20"/>
      <c r="N617" s="20"/>
      <c r="O617" s="20"/>
      <c r="P617" s="20"/>
      <c r="Q617" s="20"/>
      <c r="R617" s="20"/>
      <c r="S617" s="20"/>
      <c r="T617" s="20"/>
      <c r="U617" s="20"/>
      <c r="V617" s="20"/>
      <c r="W617" s="20"/>
      <c r="X617" s="20"/>
    </row>
    <row r="618">
      <c r="A618" s="20"/>
      <c r="B618" s="20"/>
      <c r="C618" s="20"/>
      <c r="D618" s="70"/>
      <c r="E618" s="70"/>
      <c r="F618" s="70"/>
      <c r="G618" s="20"/>
      <c r="H618" s="20"/>
      <c r="I618" s="70"/>
      <c r="J618" s="70"/>
      <c r="K618" s="70"/>
      <c r="L618" s="70"/>
      <c r="M618" s="20"/>
      <c r="N618" s="20"/>
      <c r="O618" s="20"/>
      <c r="P618" s="20"/>
      <c r="Q618" s="20"/>
      <c r="R618" s="20"/>
      <c r="S618" s="20"/>
      <c r="T618" s="20"/>
      <c r="U618" s="20"/>
      <c r="V618" s="20"/>
      <c r="W618" s="20"/>
      <c r="X618" s="20"/>
    </row>
    <row r="619">
      <c r="A619" s="20"/>
      <c r="B619" s="20"/>
      <c r="C619" s="20"/>
      <c r="D619" s="70"/>
      <c r="E619" s="70"/>
      <c r="F619" s="70"/>
      <c r="G619" s="20"/>
      <c r="H619" s="20"/>
      <c r="I619" s="70"/>
      <c r="J619" s="70"/>
      <c r="K619" s="70"/>
      <c r="L619" s="70"/>
      <c r="M619" s="20"/>
      <c r="N619" s="20"/>
      <c r="O619" s="20"/>
      <c r="P619" s="20"/>
      <c r="Q619" s="20"/>
      <c r="R619" s="20"/>
      <c r="S619" s="20"/>
      <c r="T619" s="20"/>
      <c r="U619" s="20"/>
      <c r="V619" s="20"/>
      <c r="W619" s="20"/>
      <c r="X619" s="20"/>
    </row>
    <row r="620">
      <c r="A620" s="20"/>
      <c r="B620" s="20"/>
      <c r="C620" s="20"/>
      <c r="D620" s="70"/>
      <c r="E620" s="70"/>
      <c r="F620" s="70"/>
      <c r="G620" s="20"/>
      <c r="H620" s="20"/>
      <c r="I620" s="70"/>
      <c r="J620" s="70"/>
      <c r="K620" s="70"/>
      <c r="L620" s="70"/>
      <c r="M620" s="20"/>
      <c r="N620" s="20"/>
      <c r="O620" s="20"/>
      <c r="P620" s="20"/>
      <c r="Q620" s="20"/>
      <c r="R620" s="20"/>
      <c r="S620" s="20"/>
      <c r="T620" s="20"/>
      <c r="U620" s="20"/>
      <c r="V620" s="20"/>
      <c r="W620" s="20"/>
      <c r="X620" s="20"/>
    </row>
    <row r="621">
      <c r="A621" s="20"/>
      <c r="B621" s="20"/>
      <c r="C621" s="20"/>
      <c r="D621" s="70"/>
      <c r="E621" s="70"/>
      <c r="F621" s="70"/>
      <c r="G621" s="20"/>
      <c r="H621" s="20"/>
      <c r="I621" s="70"/>
      <c r="J621" s="70"/>
      <c r="K621" s="70"/>
      <c r="L621" s="70"/>
      <c r="M621" s="20"/>
      <c r="N621" s="20"/>
      <c r="O621" s="20"/>
      <c r="P621" s="20"/>
      <c r="Q621" s="20"/>
      <c r="R621" s="20"/>
      <c r="S621" s="20"/>
      <c r="T621" s="20"/>
      <c r="U621" s="20"/>
      <c r="V621" s="20"/>
      <c r="W621" s="20"/>
      <c r="X621" s="20"/>
    </row>
    <row r="622">
      <c r="A622" s="20"/>
      <c r="B622" s="20"/>
      <c r="C622" s="20"/>
      <c r="D622" s="70"/>
      <c r="E622" s="70"/>
      <c r="F622" s="70"/>
      <c r="G622" s="20"/>
      <c r="H622" s="20"/>
      <c r="I622" s="70"/>
      <c r="J622" s="70"/>
      <c r="K622" s="70"/>
      <c r="L622" s="70"/>
      <c r="M622" s="20"/>
      <c r="N622" s="20"/>
      <c r="O622" s="20"/>
      <c r="P622" s="20"/>
      <c r="Q622" s="20"/>
      <c r="R622" s="20"/>
      <c r="S622" s="20"/>
      <c r="T622" s="20"/>
      <c r="U622" s="20"/>
      <c r="V622" s="20"/>
      <c r="W622" s="20"/>
      <c r="X622" s="20"/>
    </row>
    <row r="623">
      <c r="A623" s="20"/>
      <c r="B623" s="20"/>
      <c r="C623" s="20"/>
      <c r="D623" s="70"/>
      <c r="E623" s="70"/>
      <c r="F623" s="70"/>
      <c r="G623" s="20"/>
      <c r="H623" s="20"/>
      <c r="I623" s="70"/>
      <c r="J623" s="70"/>
      <c r="K623" s="70"/>
      <c r="L623" s="70"/>
      <c r="M623" s="20"/>
      <c r="N623" s="20"/>
      <c r="O623" s="20"/>
      <c r="P623" s="20"/>
      <c r="Q623" s="20"/>
      <c r="R623" s="20"/>
      <c r="S623" s="20"/>
      <c r="T623" s="20"/>
      <c r="U623" s="20"/>
      <c r="V623" s="20"/>
      <c r="W623" s="20"/>
      <c r="X623" s="20"/>
    </row>
    <row r="624">
      <c r="A624" s="20"/>
      <c r="B624" s="20"/>
      <c r="C624" s="20"/>
      <c r="D624" s="70"/>
      <c r="E624" s="70"/>
      <c r="F624" s="70"/>
      <c r="G624" s="20"/>
      <c r="H624" s="20"/>
      <c r="I624" s="70"/>
      <c r="J624" s="70"/>
      <c r="K624" s="70"/>
      <c r="L624" s="70"/>
      <c r="M624" s="20"/>
      <c r="N624" s="20"/>
      <c r="O624" s="20"/>
      <c r="P624" s="20"/>
      <c r="Q624" s="20"/>
      <c r="R624" s="20"/>
      <c r="S624" s="20"/>
      <c r="T624" s="20"/>
      <c r="U624" s="20"/>
      <c r="V624" s="20"/>
      <c r="W624" s="20"/>
      <c r="X624" s="20"/>
    </row>
    <row r="625">
      <c r="A625" s="20"/>
      <c r="B625" s="20"/>
      <c r="C625" s="20"/>
      <c r="D625" s="70"/>
      <c r="E625" s="70"/>
      <c r="F625" s="70"/>
      <c r="G625" s="20"/>
      <c r="H625" s="20"/>
      <c r="I625" s="70"/>
      <c r="J625" s="70"/>
      <c r="K625" s="70"/>
      <c r="L625" s="70"/>
      <c r="M625" s="20"/>
      <c r="N625" s="20"/>
      <c r="O625" s="20"/>
      <c r="P625" s="20"/>
      <c r="Q625" s="20"/>
      <c r="R625" s="20"/>
      <c r="S625" s="20"/>
      <c r="T625" s="20"/>
      <c r="U625" s="20"/>
      <c r="V625" s="20"/>
      <c r="W625" s="20"/>
      <c r="X625" s="20"/>
    </row>
    <row r="626">
      <c r="A626" s="20"/>
      <c r="B626" s="20"/>
      <c r="C626" s="20"/>
      <c r="D626" s="70"/>
      <c r="E626" s="70"/>
      <c r="F626" s="70"/>
      <c r="G626" s="20"/>
      <c r="H626" s="20"/>
      <c r="I626" s="70"/>
      <c r="J626" s="70"/>
      <c r="K626" s="70"/>
      <c r="L626" s="70"/>
      <c r="M626" s="20"/>
      <c r="N626" s="20"/>
      <c r="O626" s="20"/>
      <c r="P626" s="20"/>
      <c r="Q626" s="20"/>
      <c r="R626" s="20"/>
      <c r="S626" s="20"/>
      <c r="T626" s="20"/>
      <c r="U626" s="20"/>
      <c r="V626" s="20"/>
      <c r="W626" s="20"/>
      <c r="X626" s="20"/>
    </row>
    <row r="627">
      <c r="A627" s="20"/>
      <c r="B627" s="20"/>
      <c r="C627" s="20"/>
      <c r="D627" s="70"/>
      <c r="E627" s="70"/>
      <c r="F627" s="70"/>
      <c r="G627" s="20"/>
      <c r="H627" s="20"/>
      <c r="I627" s="70"/>
      <c r="J627" s="70"/>
      <c r="K627" s="70"/>
      <c r="L627" s="70"/>
      <c r="M627" s="20"/>
      <c r="N627" s="20"/>
      <c r="O627" s="20"/>
      <c r="P627" s="20"/>
      <c r="Q627" s="20"/>
      <c r="R627" s="20"/>
      <c r="S627" s="20"/>
      <c r="T627" s="20"/>
      <c r="U627" s="20"/>
      <c r="V627" s="20"/>
      <c r="W627" s="20"/>
      <c r="X627" s="20"/>
    </row>
    <row r="628">
      <c r="A628" s="20"/>
      <c r="B628" s="20"/>
      <c r="C628" s="20"/>
      <c r="D628" s="70"/>
      <c r="E628" s="70"/>
      <c r="F628" s="70"/>
      <c r="G628" s="20"/>
      <c r="H628" s="20"/>
      <c r="I628" s="70"/>
      <c r="J628" s="70"/>
      <c r="K628" s="70"/>
      <c r="L628" s="70"/>
      <c r="M628" s="20"/>
      <c r="N628" s="20"/>
      <c r="O628" s="20"/>
      <c r="P628" s="20"/>
      <c r="Q628" s="20"/>
      <c r="R628" s="20"/>
      <c r="S628" s="20"/>
      <c r="T628" s="20"/>
      <c r="U628" s="20"/>
      <c r="V628" s="20"/>
      <c r="W628" s="20"/>
      <c r="X628" s="20"/>
    </row>
    <row r="629">
      <c r="A629" s="20"/>
      <c r="B629" s="20"/>
      <c r="C629" s="20"/>
      <c r="D629" s="70"/>
      <c r="E629" s="70"/>
      <c r="F629" s="70"/>
      <c r="G629" s="20"/>
      <c r="H629" s="20"/>
      <c r="I629" s="70"/>
      <c r="J629" s="70"/>
      <c r="K629" s="70"/>
      <c r="L629" s="70"/>
      <c r="M629" s="20"/>
      <c r="N629" s="20"/>
      <c r="O629" s="20"/>
      <c r="P629" s="20"/>
      <c r="Q629" s="20"/>
      <c r="R629" s="20"/>
      <c r="S629" s="20"/>
      <c r="T629" s="20"/>
      <c r="U629" s="20"/>
      <c r="V629" s="20"/>
      <c r="W629" s="20"/>
      <c r="X629" s="20"/>
    </row>
    <row r="630">
      <c r="A630" s="20"/>
      <c r="B630" s="20"/>
      <c r="C630" s="20"/>
      <c r="D630" s="70"/>
      <c r="E630" s="70"/>
      <c r="F630" s="70"/>
      <c r="G630" s="20"/>
      <c r="H630" s="20"/>
      <c r="I630" s="70"/>
      <c r="J630" s="70"/>
      <c r="K630" s="70"/>
      <c r="L630" s="70"/>
      <c r="M630" s="20"/>
      <c r="N630" s="20"/>
      <c r="O630" s="20"/>
      <c r="P630" s="20"/>
      <c r="Q630" s="20"/>
      <c r="R630" s="20"/>
      <c r="S630" s="20"/>
      <c r="T630" s="20"/>
      <c r="U630" s="20"/>
      <c r="V630" s="20"/>
      <c r="W630" s="20"/>
      <c r="X630" s="20"/>
    </row>
    <row r="631">
      <c r="A631" s="20"/>
      <c r="B631" s="20"/>
      <c r="C631" s="20"/>
      <c r="D631" s="70"/>
      <c r="E631" s="70"/>
      <c r="F631" s="70"/>
      <c r="G631" s="20"/>
      <c r="H631" s="20"/>
      <c r="I631" s="70"/>
      <c r="J631" s="70"/>
      <c r="K631" s="70"/>
      <c r="L631" s="70"/>
      <c r="M631" s="20"/>
      <c r="N631" s="20"/>
      <c r="O631" s="20"/>
      <c r="P631" s="20"/>
      <c r="Q631" s="20"/>
      <c r="R631" s="20"/>
      <c r="S631" s="20"/>
      <c r="T631" s="20"/>
      <c r="U631" s="20"/>
      <c r="V631" s="20"/>
      <c r="W631" s="20"/>
      <c r="X631" s="20"/>
    </row>
    <row r="632">
      <c r="A632" s="20"/>
      <c r="B632" s="20"/>
      <c r="C632" s="20"/>
      <c r="D632" s="70"/>
      <c r="E632" s="70"/>
      <c r="F632" s="70"/>
      <c r="G632" s="20"/>
      <c r="H632" s="20"/>
      <c r="I632" s="70"/>
      <c r="J632" s="70"/>
      <c r="K632" s="70"/>
      <c r="L632" s="70"/>
      <c r="M632" s="20"/>
      <c r="N632" s="20"/>
      <c r="O632" s="20"/>
      <c r="P632" s="20"/>
      <c r="Q632" s="20"/>
      <c r="R632" s="20"/>
      <c r="S632" s="20"/>
      <c r="T632" s="20"/>
      <c r="U632" s="20"/>
      <c r="V632" s="20"/>
      <c r="W632" s="20"/>
      <c r="X632" s="20"/>
    </row>
    <row r="633">
      <c r="A633" s="20"/>
      <c r="B633" s="20"/>
      <c r="C633" s="20"/>
      <c r="D633" s="70"/>
      <c r="E633" s="70"/>
      <c r="F633" s="70"/>
      <c r="G633" s="20"/>
      <c r="H633" s="20"/>
      <c r="I633" s="70"/>
      <c r="J633" s="70"/>
      <c r="K633" s="70"/>
      <c r="L633" s="70"/>
      <c r="M633" s="20"/>
      <c r="N633" s="20"/>
      <c r="O633" s="20"/>
      <c r="P633" s="20"/>
      <c r="Q633" s="20"/>
      <c r="R633" s="20"/>
      <c r="S633" s="20"/>
      <c r="T633" s="20"/>
      <c r="U633" s="20"/>
      <c r="V633" s="20"/>
      <c r="W633" s="20"/>
      <c r="X633" s="20"/>
    </row>
    <row r="634">
      <c r="A634" s="20"/>
      <c r="B634" s="20"/>
      <c r="C634" s="20"/>
      <c r="D634" s="70"/>
      <c r="E634" s="70"/>
      <c r="F634" s="70"/>
      <c r="G634" s="20"/>
      <c r="H634" s="20"/>
      <c r="I634" s="70"/>
      <c r="J634" s="70"/>
      <c r="K634" s="70"/>
      <c r="L634" s="70"/>
      <c r="M634" s="20"/>
      <c r="N634" s="20"/>
      <c r="O634" s="20"/>
      <c r="P634" s="20"/>
      <c r="Q634" s="20"/>
      <c r="R634" s="20"/>
      <c r="S634" s="20"/>
      <c r="T634" s="20"/>
      <c r="U634" s="20"/>
      <c r="V634" s="20"/>
      <c r="W634" s="20"/>
      <c r="X634" s="20"/>
    </row>
    <row r="635">
      <c r="A635" s="20"/>
      <c r="B635" s="20"/>
      <c r="C635" s="20"/>
      <c r="D635" s="70"/>
      <c r="E635" s="70"/>
      <c r="F635" s="70"/>
      <c r="G635" s="20"/>
      <c r="H635" s="20"/>
      <c r="I635" s="70"/>
      <c r="J635" s="70"/>
      <c r="K635" s="70"/>
      <c r="L635" s="70"/>
      <c r="M635" s="20"/>
      <c r="N635" s="20"/>
      <c r="O635" s="20"/>
      <c r="P635" s="20"/>
      <c r="Q635" s="20"/>
      <c r="R635" s="20"/>
      <c r="S635" s="20"/>
      <c r="T635" s="20"/>
      <c r="U635" s="20"/>
      <c r="V635" s="20"/>
      <c r="W635" s="20"/>
      <c r="X635" s="20"/>
    </row>
    <row r="636">
      <c r="A636" s="20"/>
      <c r="B636" s="20"/>
      <c r="C636" s="20"/>
      <c r="D636" s="70"/>
      <c r="E636" s="70"/>
      <c r="F636" s="70"/>
      <c r="G636" s="20"/>
      <c r="H636" s="20"/>
      <c r="I636" s="70"/>
      <c r="J636" s="70"/>
      <c r="K636" s="70"/>
      <c r="L636" s="70"/>
      <c r="M636" s="20"/>
      <c r="N636" s="20"/>
      <c r="O636" s="20"/>
      <c r="P636" s="20"/>
      <c r="Q636" s="20"/>
      <c r="R636" s="20"/>
      <c r="S636" s="20"/>
      <c r="T636" s="20"/>
      <c r="U636" s="20"/>
      <c r="V636" s="20"/>
      <c r="W636" s="20"/>
      <c r="X636" s="20"/>
    </row>
    <row r="637">
      <c r="A637" s="20"/>
      <c r="B637" s="20"/>
      <c r="C637" s="20"/>
      <c r="D637" s="70"/>
      <c r="E637" s="70"/>
      <c r="F637" s="70"/>
      <c r="G637" s="20"/>
      <c r="H637" s="20"/>
      <c r="I637" s="70"/>
      <c r="J637" s="70"/>
      <c r="K637" s="70"/>
      <c r="L637" s="70"/>
      <c r="M637" s="20"/>
      <c r="N637" s="20"/>
      <c r="O637" s="20"/>
      <c r="P637" s="20"/>
      <c r="Q637" s="20"/>
      <c r="R637" s="20"/>
      <c r="S637" s="20"/>
      <c r="T637" s="20"/>
      <c r="U637" s="20"/>
      <c r="V637" s="20"/>
      <c r="W637" s="20"/>
      <c r="X637" s="20"/>
    </row>
    <row r="638">
      <c r="A638" s="20"/>
      <c r="B638" s="20"/>
      <c r="C638" s="20"/>
      <c r="D638" s="70"/>
      <c r="E638" s="70"/>
      <c r="F638" s="70"/>
      <c r="G638" s="20"/>
      <c r="H638" s="20"/>
      <c r="I638" s="70"/>
      <c r="J638" s="70"/>
      <c r="K638" s="70"/>
      <c r="L638" s="70"/>
      <c r="M638" s="20"/>
      <c r="N638" s="20"/>
      <c r="O638" s="20"/>
      <c r="P638" s="20"/>
      <c r="Q638" s="20"/>
      <c r="R638" s="20"/>
      <c r="S638" s="20"/>
      <c r="T638" s="20"/>
      <c r="U638" s="20"/>
      <c r="V638" s="20"/>
      <c r="W638" s="20"/>
      <c r="X638" s="20"/>
    </row>
    <row r="639">
      <c r="A639" s="20"/>
      <c r="B639" s="20"/>
      <c r="C639" s="20"/>
      <c r="D639" s="70"/>
      <c r="E639" s="70"/>
      <c r="F639" s="70"/>
      <c r="G639" s="20"/>
      <c r="H639" s="20"/>
      <c r="I639" s="70"/>
      <c r="J639" s="70"/>
      <c r="K639" s="70"/>
      <c r="L639" s="70"/>
      <c r="M639" s="20"/>
      <c r="N639" s="20"/>
      <c r="O639" s="20"/>
      <c r="P639" s="20"/>
      <c r="Q639" s="20"/>
      <c r="R639" s="20"/>
      <c r="S639" s="20"/>
      <c r="T639" s="20"/>
      <c r="U639" s="20"/>
      <c r="V639" s="20"/>
      <c r="W639" s="20"/>
      <c r="X639" s="20"/>
    </row>
    <row r="640">
      <c r="A640" s="20"/>
      <c r="B640" s="20"/>
      <c r="C640" s="20"/>
      <c r="D640" s="70"/>
      <c r="E640" s="70"/>
      <c r="F640" s="70"/>
      <c r="G640" s="20"/>
      <c r="H640" s="20"/>
      <c r="I640" s="70"/>
      <c r="J640" s="70"/>
      <c r="K640" s="70"/>
      <c r="L640" s="70"/>
      <c r="M640" s="20"/>
      <c r="N640" s="20"/>
      <c r="O640" s="20"/>
      <c r="P640" s="20"/>
      <c r="Q640" s="20"/>
      <c r="R640" s="20"/>
      <c r="S640" s="20"/>
      <c r="T640" s="20"/>
      <c r="U640" s="20"/>
      <c r="V640" s="20"/>
      <c r="W640" s="20"/>
      <c r="X640" s="20"/>
    </row>
    <row r="641">
      <c r="A641" s="20"/>
      <c r="B641" s="20"/>
      <c r="C641" s="20"/>
      <c r="D641" s="70"/>
      <c r="E641" s="70"/>
      <c r="F641" s="70"/>
      <c r="G641" s="20"/>
      <c r="H641" s="20"/>
      <c r="I641" s="70"/>
      <c r="J641" s="70"/>
      <c r="K641" s="70"/>
      <c r="L641" s="70"/>
      <c r="M641" s="20"/>
      <c r="N641" s="20"/>
      <c r="O641" s="20"/>
      <c r="P641" s="20"/>
      <c r="Q641" s="20"/>
      <c r="R641" s="20"/>
      <c r="S641" s="20"/>
      <c r="T641" s="20"/>
      <c r="U641" s="20"/>
      <c r="V641" s="20"/>
      <c r="W641" s="20"/>
      <c r="X641" s="20"/>
    </row>
    <row r="642">
      <c r="A642" s="20"/>
      <c r="B642" s="20"/>
      <c r="C642" s="20"/>
      <c r="D642" s="70"/>
      <c r="E642" s="70"/>
      <c r="F642" s="70"/>
      <c r="G642" s="20"/>
      <c r="H642" s="20"/>
      <c r="I642" s="70"/>
      <c r="J642" s="70"/>
      <c r="K642" s="70"/>
      <c r="L642" s="70"/>
      <c r="M642" s="20"/>
      <c r="N642" s="20"/>
      <c r="O642" s="20"/>
      <c r="P642" s="20"/>
      <c r="Q642" s="20"/>
      <c r="R642" s="20"/>
      <c r="S642" s="20"/>
      <c r="T642" s="20"/>
      <c r="U642" s="20"/>
      <c r="V642" s="20"/>
      <c r="W642" s="20"/>
      <c r="X642" s="20"/>
    </row>
    <row r="643">
      <c r="A643" s="20"/>
      <c r="B643" s="20"/>
      <c r="C643" s="20"/>
      <c r="D643" s="70"/>
      <c r="E643" s="70"/>
      <c r="F643" s="70"/>
      <c r="G643" s="20"/>
      <c r="H643" s="20"/>
      <c r="I643" s="70"/>
      <c r="J643" s="70"/>
      <c r="K643" s="70"/>
      <c r="L643" s="70"/>
      <c r="M643" s="20"/>
      <c r="N643" s="20"/>
      <c r="O643" s="20"/>
      <c r="P643" s="20"/>
      <c r="Q643" s="20"/>
      <c r="R643" s="20"/>
      <c r="S643" s="20"/>
      <c r="T643" s="20"/>
      <c r="U643" s="20"/>
      <c r="V643" s="20"/>
      <c r="W643" s="20"/>
      <c r="X643" s="20"/>
    </row>
    <row r="644">
      <c r="A644" s="20"/>
      <c r="B644" s="20"/>
      <c r="C644" s="20"/>
      <c r="D644" s="70"/>
      <c r="E644" s="70"/>
      <c r="F644" s="70"/>
      <c r="G644" s="20"/>
      <c r="H644" s="20"/>
      <c r="I644" s="70"/>
      <c r="J644" s="70"/>
      <c r="K644" s="70"/>
      <c r="L644" s="70"/>
      <c r="M644" s="20"/>
      <c r="N644" s="20"/>
      <c r="O644" s="20"/>
      <c r="P644" s="20"/>
      <c r="Q644" s="20"/>
      <c r="R644" s="20"/>
      <c r="S644" s="20"/>
      <c r="T644" s="20"/>
      <c r="U644" s="20"/>
      <c r="V644" s="20"/>
      <c r="W644" s="20"/>
      <c r="X644" s="20"/>
    </row>
    <row r="645">
      <c r="A645" s="20"/>
      <c r="B645" s="20"/>
      <c r="C645" s="20"/>
      <c r="D645" s="70"/>
      <c r="E645" s="70"/>
      <c r="F645" s="70"/>
      <c r="G645" s="20"/>
      <c r="H645" s="20"/>
      <c r="I645" s="70"/>
      <c r="J645" s="70"/>
      <c r="K645" s="70"/>
      <c r="L645" s="70"/>
      <c r="M645" s="20"/>
      <c r="N645" s="20"/>
      <c r="O645" s="20"/>
      <c r="P645" s="20"/>
      <c r="Q645" s="20"/>
      <c r="R645" s="20"/>
      <c r="S645" s="20"/>
      <c r="T645" s="20"/>
      <c r="U645" s="20"/>
      <c r="V645" s="20"/>
      <c r="W645" s="20"/>
      <c r="X645" s="20"/>
    </row>
    <row r="646">
      <c r="A646" s="20"/>
      <c r="B646" s="20"/>
      <c r="C646" s="20"/>
      <c r="D646" s="70"/>
      <c r="E646" s="70"/>
      <c r="F646" s="70"/>
      <c r="G646" s="20"/>
      <c r="H646" s="20"/>
      <c r="I646" s="70"/>
      <c r="J646" s="70"/>
      <c r="K646" s="70"/>
      <c r="L646" s="70"/>
      <c r="M646" s="20"/>
      <c r="N646" s="20"/>
      <c r="O646" s="20"/>
      <c r="P646" s="20"/>
      <c r="Q646" s="20"/>
      <c r="R646" s="20"/>
      <c r="S646" s="20"/>
      <c r="T646" s="20"/>
      <c r="U646" s="20"/>
      <c r="V646" s="20"/>
      <c r="W646" s="20"/>
      <c r="X646" s="20"/>
    </row>
    <row r="647">
      <c r="A647" s="20"/>
      <c r="B647" s="20"/>
      <c r="C647" s="20"/>
      <c r="D647" s="70"/>
      <c r="E647" s="70"/>
      <c r="F647" s="70"/>
      <c r="G647" s="20"/>
      <c r="H647" s="20"/>
      <c r="I647" s="70"/>
      <c r="J647" s="70"/>
      <c r="K647" s="70"/>
      <c r="L647" s="70"/>
      <c r="M647" s="20"/>
      <c r="N647" s="20"/>
      <c r="O647" s="20"/>
      <c r="P647" s="20"/>
      <c r="Q647" s="20"/>
      <c r="R647" s="20"/>
      <c r="S647" s="20"/>
      <c r="T647" s="20"/>
      <c r="U647" s="20"/>
      <c r="V647" s="20"/>
      <c r="W647" s="20"/>
      <c r="X647" s="20"/>
    </row>
    <row r="648">
      <c r="A648" s="20"/>
      <c r="B648" s="20"/>
      <c r="C648" s="20"/>
      <c r="D648" s="70"/>
      <c r="E648" s="70"/>
      <c r="F648" s="70"/>
      <c r="G648" s="20"/>
      <c r="H648" s="20"/>
      <c r="I648" s="70"/>
      <c r="J648" s="70"/>
      <c r="K648" s="70"/>
      <c r="L648" s="70"/>
      <c r="M648" s="20"/>
      <c r="N648" s="20"/>
      <c r="O648" s="20"/>
      <c r="P648" s="20"/>
      <c r="Q648" s="20"/>
      <c r="R648" s="20"/>
      <c r="S648" s="20"/>
      <c r="T648" s="20"/>
      <c r="U648" s="20"/>
      <c r="V648" s="20"/>
      <c r="W648" s="20"/>
      <c r="X648" s="20"/>
    </row>
    <row r="649">
      <c r="A649" s="20"/>
      <c r="B649" s="20"/>
      <c r="C649" s="20"/>
      <c r="D649" s="70"/>
      <c r="E649" s="70"/>
      <c r="F649" s="70"/>
      <c r="G649" s="20"/>
      <c r="H649" s="20"/>
      <c r="I649" s="70"/>
      <c r="J649" s="70"/>
      <c r="K649" s="70"/>
      <c r="L649" s="70"/>
      <c r="M649" s="20"/>
      <c r="N649" s="20"/>
      <c r="O649" s="20"/>
      <c r="P649" s="20"/>
      <c r="Q649" s="20"/>
      <c r="R649" s="20"/>
      <c r="S649" s="20"/>
      <c r="T649" s="20"/>
      <c r="U649" s="20"/>
      <c r="V649" s="20"/>
      <c r="W649" s="20"/>
      <c r="X649" s="20"/>
    </row>
    <row r="650">
      <c r="A650" s="20"/>
      <c r="B650" s="20"/>
      <c r="C650" s="20"/>
      <c r="D650" s="70"/>
      <c r="E650" s="70"/>
      <c r="F650" s="70"/>
      <c r="G650" s="20"/>
      <c r="H650" s="20"/>
      <c r="I650" s="70"/>
      <c r="J650" s="70"/>
      <c r="K650" s="70"/>
      <c r="L650" s="70"/>
      <c r="M650" s="20"/>
      <c r="N650" s="20"/>
      <c r="O650" s="20"/>
      <c r="P650" s="20"/>
      <c r="Q650" s="20"/>
      <c r="R650" s="20"/>
      <c r="S650" s="20"/>
      <c r="T650" s="20"/>
      <c r="U650" s="20"/>
      <c r="V650" s="20"/>
      <c r="W650" s="20"/>
      <c r="X650" s="20"/>
    </row>
    <row r="651">
      <c r="A651" s="20"/>
      <c r="B651" s="20"/>
      <c r="C651" s="20"/>
      <c r="D651" s="70"/>
      <c r="E651" s="70"/>
      <c r="F651" s="70"/>
      <c r="G651" s="20"/>
      <c r="H651" s="20"/>
      <c r="I651" s="70"/>
      <c r="J651" s="70"/>
      <c r="K651" s="70"/>
      <c r="L651" s="70"/>
      <c r="M651" s="20"/>
      <c r="N651" s="20"/>
      <c r="O651" s="20"/>
      <c r="P651" s="20"/>
      <c r="Q651" s="20"/>
      <c r="R651" s="20"/>
      <c r="S651" s="20"/>
      <c r="T651" s="20"/>
      <c r="U651" s="20"/>
      <c r="V651" s="20"/>
      <c r="W651" s="20"/>
      <c r="X651" s="20"/>
    </row>
    <row r="652">
      <c r="A652" s="20"/>
      <c r="B652" s="20"/>
      <c r="C652" s="20"/>
      <c r="D652" s="70"/>
      <c r="E652" s="70"/>
      <c r="F652" s="70"/>
      <c r="G652" s="20"/>
      <c r="H652" s="20"/>
      <c r="I652" s="70"/>
      <c r="J652" s="70"/>
      <c r="K652" s="70"/>
      <c r="L652" s="70"/>
      <c r="M652" s="20"/>
      <c r="N652" s="20"/>
      <c r="O652" s="20"/>
      <c r="P652" s="20"/>
      <c r="Q652" s="20"/>
      <c r="R652" s="20"/>
      <c r="S652" s="20"/>
      <c r="T652" s="20"/>
      <c r="U652" s="20"/>
      <c r="V652" s="20"/>
      <c r="W652" s="20"/>
      <c r="X652" s="20"/>
    </row>
    <row r="653">
      <c r="A653" s="20"/>
      <c r="B653" s="20"/>
      <c r="C653" s="20"/>
      <c r="D653" s="70"/>
      <c r="E653" s="70"/>
      <c r="F653" s="70"/>
      <c r="G653" s="20"/>
      <c r="H653" s="20"/>
      <c r="I653" s="70"/>
      <c r="J653" s="70"/>
      <c r="K653" s="70"/>
      <c r="L653" s="70"/>
      <c r="M653" s="20"/>
      <c r="N653" s="20"/>
      <c r="O653" s="20"/>
      <c r="P653" s="20"/>
      <c r="Q653" s="20"/>
      <c r="R653" s="20"/>
      <c r="S653" s="20"/>
      <c r="T653" s="20"/>
      <c r="U653" s="20"/>
      <c r="V653" s="20"/>
      <c r="W653" s="20"/>
      <c r="X653" s="20"/>
    </row>
    <row r="654">
      <c r="A654" s="20"/>
      <c r="B654" s="20"/>
      <c r="C654" s="20"/>
      <c r="D654" s="70"/>
      <c r="E654" s="70"/>
      <c r="F654" s="70"/>
      <c r="G654" s="20"/>
      <c r="H654" s="20"/>
      <c r="I654" s="70"/>
      <c r="J654" s="70"/>
      <c r="K654" s="70"/>
      <c r="L654" s="70"/>
      <c r="M654" s="20"/>
      <c r="N654" s="20"/>
      <c r="O654" s="20"/>
      <c r="P654" s="20"/>
      <c r="Q654" s="20"/>
      <c r="R654" s="20"/>
      <c r="S654" s="20"/>
      <c r="T654" s="20"/>
      <c r="U654" s="20"/>
      <c r="V654" s="20"/>
      <c r="W654" s="20"/>
      <c r="X654" s="20"/>
    </row>
    <row r="655">
      <c r="A655" s="20"/>
      <c r="B655" s="20"/>
      <c r="C655" s="20"/>
      <c r="D655" s="70"/>
      <c r="E655" s="70"/>
      <c r="F655" s="70"/>
      <c r="G655" s="20"/>
      <c r="H655" s="20"/>
      <c r="I655" s="70"/>
      <c r="J655" s="70"/>
      <c r="K655" s="70"/>
      <c r="L655" s="70"/>
      <c r="M655" s="20"/>
      <c r="N655" s="20"/>
      <c r="O655" s="20"/>
      <c r="P655" s="20"/>
      <c r="Q655" s="20"/>
      <c r="R655" s="20"/>
      <c r="S655" s="20"/>
      <c r="T655" s="20"/>
      <c r="U655" s="20"/>
      <c r="V655" s="20"/>
      <c r="W655" s="20"/>
      <c r="X655" s="20"/>
    </row>
    <row r="656">
      <c r="A656" s="20"/>
      <c r="B656" s="20"/>
      <c r="C656" s="20"/>
      <c r="D656" s="70"/>
      <c r="E656" s="70"/>
      <c r="F656" s="70"/>
      <c r="G656" s="20"/>
      <c r="H656" s="20"/>
      <c r="I656" s="70"/>
      <c r="J656" s="70"/>
      <c r="K656" s="70"/>
      <c r="L656" s="70"/>
      <c r="M656" s="20"/>
      <c r="N656" s="20"/>
      <c r="O656" s="20"/>
      <c r="P656" s="20"/>
      <c r="Q656" s="20"/>
      <c r="R656" s="20"/>
      <c r="S656" s="20"/>
      <c r="T656" s="20"/>
      <c r="U656" s="20"/>
      <c r="V656" s="20"/>
      <c r="W656" s="20"/>
      <c r="X656" s="20"/>
    </row>
    <row r="657">
      <c r="A657" s="20"/>
      <c r="B657" s="20"/>
      <c r="C657" s="20"/>
      <c r="D657" s="70"/>
      <c r="E657" s="70"/>
      <c r="F657" s="70"/>
      <c r="G657" s="20"/>
      <c r="H657" s="20"/>
      <c r="I657" s="70"/>
      <c r="J657" s="70"/>
      <c r="K657" s="70"/>
      <c r="L657" s="70"/>
      <c r="M657" s="20"/>
      <c r="N657" s="20"/>
      <c r="O657" s="20"/>
      <c r="P657" s="20"/>
      <c r="Q657" s="20"/>
      <c r="R657" s="20"/>
      <c r="S657" s="20"/>
      <c r="T657" s="20"/>
      <c r="U657" s="20"/>
      <c r="V657" s="20"/>
      <c r="W657" s="20"/>
      <c r="X657" s="20"/>
    </row>
    <row r="658">
      <c r="A658" s="20"/>
      <c r="B658" s="20"/>
      <c r="C658" s="20"/>
      <c r="D658" s="70"/>
      <c r="E658" s="70"/>
      <c r="F658" s="70"/>
      <c r="G658" s="20"/>
      <c r="H658" s="20"/>
      <c r="I658" s="70"/>
      <c r="J658" s="70"/>
      <c r="K658" s="70"/>
      <c r="L658" s="70"/>
      <c r="M658" s="20"/>
      <c r="N658" s="20"/>
      <c r="O658" s="20"/>
      <c r="P658" s="20"/>
      <c r="Q658" s="20"/>
      <c r="R658" s="20"/>
      <c r="S658" s="20"/>
      <c r="T658" s="20"/>
      <c r="U658" s="20"/>
      <c r="V658" s="20"/>
      <c r="W658" s="20"/>
      <c r="X658" s="20"/>
    </row>
    <row r="659">
      <c r="A659" s="20"/>
      <c r="B659" s="20"/>
      <c r="C659" s="20"/>
      <c r="D659" s="70"/>
      <c r="E659" s="70"/>
      <c r="F659" s="70"/>
      <c r="G659" s="20"/>
      <c r="H659" s="20"/>
      <c r="I659" s="70"/>
      <c r="J659" s="70"/>
      <c r="K659" s="70"/>
      <c r="L659" s="70"/>
      <c r="M659" s="20"/>
      <c r="N659" s="20"/>
      <c r="O659" s="20"/>
      <c r="P659" s="20"/>
      <c r="Q659" s="20"/>
      <c r="R659" s="20"/>
      <c r="S659" s="20"/>
      <c r="T659" s="20"/>
      <c r="U659" s="20"/>
      <c r="V659" s="20"/>
      <c r="W659" s="20"/>
      <c r="X659" s="20"/>
    </row>
    <row r="660">
      <c r="A660" s="20"/>
      <c r="B660" s="20"/>
      <c r="C660" s="20"/>
      <c r="D660" s="70"/>
      <c r="E660" s="70"/>
      <c r="F660" s="70"/>
      <c r="G660" s="20"/>
      <c r="H660" s="20"/>
      <c r="I660" s="70"/>
      <c r="J660" s="70"/>
      <c r="K660" s="70"/>
      <c r="L660" s="70"/>
      <c r="M660" s="20"/>
      <c r="N660" s="20"/>
      <c r="O660" s="20"/>
      <c r="P660" s="20"/>
      <c r="Q660" s="20"/>
      <c r="R660" s="20"/>
      <c r="S660" s="20"/>
      <c r="T660" s="20"/>
      <c r="U660" s="20"/>
      <c r="V660" s="20"/>
      <c r="W660" s="20"/>
      <c r="X660" s="20"/>
    </row>
    <row r="661">
      <c r="A661" s="20"/>
      <c r="B661" s="20"/>
      <c r="C661" s="20"/>
      <c r="D661" s="70"/>
      <c r="E661" s="70"/>
      <c r="F661" s="70"/>
      <c r="G661" s="20"/>
      <c r="H661" s="20"/>
      <c r="I661" s="70"/>
      <c r="J661" s="70"/>
      <c r="K661" s="70"/>
      <c r="L661" s="70"/>
      <c r="M661" s="20"/>
      <c r="N661" s="20"/>
      <c r="O661" s="20"/>
      <c r="P661" s="20"/>
      <c r="Q661" s="20"/>
      <c r="R661" s="20"/>
      <c r="S661" s="20"/>
      <c r="T661" s="20"/>
      <c r="U661" s="20"/>
      <c r="V661" s="20"/>
      <c r="W661" s="20"/>
      <c r="X661" s="20"/>
    </row>
    <row r="662">
      <c r="A662" s="20"/>
      <c r="B662" s="20"/>
      <c r="C662" s="20"/>
      <c r="D662" s="70"/>
      <c r="E662" s="70"/>
      <c r="F662" s="70"/>
      <c r="G662" s="20"/>
      <c r="H662" s="20"/>
      <c r="I662" s="70"/>
      <c r="J662" s="70"/>
      <c r="K662" s="70"/>
      <c r="L662" s="70"/>
      <c r="M662" s="20"/>
      <c r="N662" s="20"/>
      <c r="O662" s="20"/>
      <c r="P662" s="20"/>
      <c r="Q662" s="20"/>
      <c r="R662" s="20"/>
      <c r="S662" s="20"/>
      <c r="T662" s="20"/>
      <c r="U662" s="20"/>
      <c r="V662" s="20"/>
      <c r="W662" s="20"/>
      <c r="X662" s="20"/>
    </row>
    <row r="663">
      <c r="A663" s="20"/>
      <c r="B663" s="20"/>
      <c r="C663" s="20"/>
      <c r="D663" s="70"/>
      <c r="E663" s="70"/>
      <c r="F663" s="70"/>
      <c r="G663" s="20"/>
      <c r="H663" s="20"/>
      <c r="I663" s="70"/>
      <c r="J663" s="70"/>
      <c r="K663" s="70"/>
      <c r="L663" s="70"/>
      <c r="M663" s="20"/>
      <c r="N663" s="20"/>
      <c r="O663" s="20"/>
      <c r="P663" s="20"/>
      <c r="Q663" s="20"/>
      <c r="R663" s="20"/>
      <c r="S663" s="20"/>
      <c r="T663" s="20"/>
      <c r="U663" s="20"/>
      <c r="V663" s="20"/>
      <c r="W663" s="20"/>
      <c r="X663" s="20"/>
    </row>
    <row r="664">
      <c r="A664" s="20"/>
      <c r="B664" s="20"/>
      <c r="C664" s="20"/>
      <c r="D664" s="70"/>
      <c r="E664" s="70"/>
      <c r="F664" s="70"/>
      <c r="G664" s="20"/>
      <c r="H664" s="20"/>
      <c r="I664" s="70"/>
      <c r="J664" s="70"/>
      <c r="K664" s="70"/>
      <c r="L664" s="70"/>
      <c r="M664" s="20"/>
      <c r="N664" s="20"/>
      <c r="O664" s="20"/>
      <c r="P664" s="20"/>
      <c r="Q664" s="20"/>
      <c r="R664" s="20"/>
      <c r="S664" s="20"/>
      <c r="T664" s="20"/>
      <c r="U664" s="20"/>
      <c r="V664" s="20"/>
      <c r="W664" s="20"/>
      <c r="X664" s="20"/>
    </row>
    <row r="665">
      <c r="A665" s="20"/>
      <c r="B665" s="20"/>
      <c r="C665" s="20"/>
      <c r="D665" s="70"/>
      <c r="E665" s="70"/>
      <c r="F665" s="70"/>
      <c r="G665" s="20"/>
      <c r="H665" s="20"/>
      <c r="I665" s="70"/>
      <c r="J665" s="70"/>
      <c r="K665" s="70"/>
      <c r="L665" s="70"/>
      <c r="M665" s="20"/>
      <c r="N665" s="20"/>
      <c r="O665" s="20"/>
      <c r="P665" s="20"/>
      <c r="Q665" s="20"/>
      <c r="R665" s="20"/>
      <c r="S665" s="20"/>
      <c r="T665" s="20"/>
      <c r="U665" s="20"/>
      <c r="V665" s="20"/>
      <c r="W665" s="20"/>
      <c r="X665" s="20"/>
    </row>
    <row r="666">
      <c r="A666" s="20"/>
      <c r="B666" s="20"/>
      <c r="C666" s="20"/>
      <c r="D666" s="70"/>
      <c r="E666" s="70"/>
      <c r="F666" s="70"/>
      <c r="G666" s="20"/>
      <c r="H666" s="20"/>
      <c r="I666" s="70"/>
      <c r="J666" s="70"/>
      <c r="K666" s="70"/>
      <c r="L666" s="70"/>
      <c r="M666" s="20"/>
      <c r="N666" s="20"/>
      <c r="O666" s="20"/>
      <c r="P666" s="20"/>
      <c r="Q666" s="20"/>
      <c r="R666" s="20"/>
      <c r="S666" s="20"/>
      <c r="T666" s="20"/>
      <c r="U666" s="20"/>
      <c r="V666" s="20"/>
      <c r="W666" s="20"/>
      <c r="X666" s="20"/>
    </row>
    <row r="667">
      <c r="A667" s="20"/>
      <c r="B667" s="20"/>
      <c r="C667" s="20"/>
      <c r="D667" s="70"/>
      <c r="E667" s="70"/>
      <c r="F667" s="70"/>
      <c r="G667" s="20"/>
      <c r="H667" s="20"/>
      <c r="I667" s="70"/>
      <c r="J667" s="70"/>
      <c r="K667" s="70"/>
      <c r="L667" s="70"/>
      <c r="M667" s="20"/>
      <c r="N667" s="20"/>
      <c r="O667" s="20"/>
      <c r="P667" s="20"/>
      <c r="Q667" s="20"/>
      <c r="R667" s="20"/>
      <c r="S667" s="20"/>
      <c r="T667" s="20"/>
      <c r="U667" s="20"/>
      <c r="V667" s="20"/>
      <c r="W667" s="20"/>
      <c r="X667" s="20"/>
    </row>
    <row r="668">
      <c r="A668" s="20"/>
      <c r="B668" s="20"/>
      <c r="C668" s="20"/>
      <c r="D668" s="70"/>
      <c r="E668" s="70"/>
      <c r="F668" s="70"/>
      <c r="G668" s="20"/>
      <c r="H668" s="20"/>
      <c r="I668" s="70"/>
      <c r="J668" s="70"/>
      <c r="K668" s="70"/>
      <c r="L668" s="70"/>
      <c r="M668" s="20"/>
      <c r="N668" s="20"/>
      <c r="O668" s="20"/>
      <c r="P668" s="20"/>
      <c r="Q668" s="20"/>
      <c r="R668" s="20"/>
      <c r="S668" s="20"/>
      <c r="T668" s="20"/>
      <c r="U668" s="20"/>
      <c r="V668" s="20"/>
      <c r="W668" s="20"/>
      <c r="X668" s="20"/>
    </row>
    <row r="669">
      <c r="A669" s="20"/>
      <c r="B669" s="20"/>
      <c r="C669" s="20"/>
      <c r="D669" s="70"/>
      <c r="E669" s="70"/>
      <c r="F669" s="70"/>
      <c r="G669" s="20"/>
      <c r="H669" s="20"/>
      <c r="I669" s="70"/>
      <c r="J669" s="70"/>
      <c r="K669" s="70"/>
      <c r="L669" s="70"/>
      <c r="M669" s="20"/>
      <c r="N669" s="20"/>
      <c r="O669" s="20"/>
      <c r="P669" s="20"/>
      <c r="Q669" s="20"/>
      <c r="R669" s="20"/>
      <c r="S669" s="20"/>
      <c r="T669" s="20"/>
      <c r="U669" s="20"/>
      <c r="V669" s="20"/>
      <c r="W669" s="20"/>
      <c r="X669" s="20"/>
    </row>
    <row r="670">
      <c r="A670" s="20"/>
      <c r="B670" s="20"/>
      <c r="C670" s="20"/>
      <c r="D670" s="70"/>
      <c r="E670" s="70"/>
      <c r="F670" s="70"/>
      <c r="G670" s="20"/>
      <c r="H670" s="20"/>
      <c r="I670" s="70"/>
      <c r="J670" s="70"/>
      <c r="K670" s="70"/>
      <c r="L670" s="70"/>
      <c r="M670" s="20"/>
      <c r="N670" s="20"/>
      <c r="O670" s="20"/>
      <c r="P670" s="20"/>
      <c r="Q670" s="20"/>
      <c r="R670" s="20"/>
      <c r="S670" s="20"/>
      <c r="T670" s="20"/>
      <c r="U670" s="20"/>
      <c r="V670" s="20"/>
      <c r="W670" s="20"/>
      <c r="X670" s="20"/>
    </row>
    <row r="671">
      <c r="A671" s="20"/>
      <c r="B671" s="20"/>
      <c r="C671" s="20"/>
      <c r="D671" s="70"/>
      <c r="E671" s="70"/>
      <c r="F671" s="70"/>
      <c r="G671" s="20"/>
      <c r="H671" s="20"/>
      <c r="I671" s="70"/>
      <c r="J671" s="70"/>
      <c r="K671" s="70"/>
      <c r="L671" s="70"/>
      <c r="M671" s="20"/>
      <c r="N671" s="20"/>
      <c r="O671" s="20"/>
      <c r="P671" s="20"/>
      <c r="Q671" s="20"/>
      <c r="R671" s="20"/>
      <c r="S671" s="20"/>
      <c r="T671" s="20"/>
      <c r="U671" s="20"/>
      <c r="V671" s="20"/>
      <c r="W671" s="20"/>
      <c r="X671" s="20"/>
    </row>
    <row r="672">
      <c r="A672" s="20"/>
      <c r="B672" s="20"/>
      <c r="C672" s="20"/>
      <c r="D672" s="70"/>
      <c r="E672" s="70"/>
      <c r="F672" s="70"/>
      <c r="G672" s="20"/>
      <c r="H672" s="20"/>
      <c r="I672" s="70"/>
      <c r="J672" s="70"/>
      <c r="K672" s="70"/>
      <c r="L672" s="70"/>
      <c r="M672" s="20"/>
      <c r="N672" s="20"/>
      <c r="O672" s="20"/>
      <c r="P672" s="20"/>
      <c r="Q672" s="20"/>
      <c r="R672" s="20"/>
      <c r="S672" s="20"/>
      <c r="T672" s="20"/>
      <c r="U672" s="20"/>
      <c r="V672" s="20"/>
      <c r="W672" s="20"/>
      <c r="X672" s="20"/>
    </row>
    <row r="673">
      <c r="A673" s="20"/>
      <c r="B673" s="20"/>
      <c r="C673" s="20"/>
      <c r="D673" s="70"/>
      <c r="E673" s="70"/>
      <c r="F673" s="70"/>
      <c r="G673" s="20"/>
      <c r="H673" s="20"/>
      <c r="I673" s="70"/>
      <c r="J673" s="70"/>
      <c r="K673" s="70"/>
      <c r="L673" s="70"/>
      <c r="M673" s="20"/>
      <c r="N673" s="20"/>
      <c r="O673" s="20"/>
      <c r="P673" s="20"/>
      <c r="Q673" s="20"/>
      <c r="R673" s="20"/>
      <c r="S673" s="20"/>
      <c r="T673" s="20"/>
      <c r="U673" s="20"/>
      <c r="V673" s="20"/>
      <c r="W673" s="20"/>
      <c r="X673" s="20"/>
    </row>
    <row r="674">
      <c r="A674" s="20"/>
      <c r="B674" s="20"/>
      <c r="C674" s="20"/>
      <c r="D674" s="70"/>
      <c r="E674" s="70"/>
      <c r="F674" s="70"/>
      <c r="G674" s="20"/>
      <c r="H674" s="20"/>
      <c r="I674" s="70"/>
      <c r="J674" s="70"/>
      <c r="K674" s="70"/>
      <c r="L674" s="70"/>
      <c r="M674" s="20"/>
      <c r="N674" s="20"/>
      <c r="O674" s="20"/>
      <c r="P674" s="20"/>
      <c r="Q674" s="20"/>
      <c r="R674" s="20"/>
      <c r="S674" s="20"/>
      <c r="T674" s="20"/>
      <c r="U674" s="20"/>
      <c r="V674" s="20"/>
      <c r="W674" s="20"/>
      <c r="X674" s="20"/>
    </row>
    <row r="675">
      <c r="A675" s="20"/>
      <c r="B675" s="20"/>
      <c r="C675" s="20"/>
      <c r="D675" s="70"/>
      <c r="E675" s="70"/>
      <c r="F675" s="70"/>
      <c r="G675" s="20"/>
      <c r="H675" s="20"/>
      <c r="I675" s="70"/>
      <c r="J675" s="70"/>
      <c r="K675" s="70"/>
      <c r="L675" s="70"/>
      <c r="M675" s="20"/>
      <c r="N675" s="20"/>
      <c r="O675" s="20"/>
      <c r="P675" s="20"/>
      <c r="Q675" s="20"/>
      <c r="R675" s="20"/>
      <c r="S675" s="20"/>
      <c r="T675" s="20"/>
      <c r="U675" s="20"/>
      <c r="V675" s="20"/>
      <c r="W675" s="20"/>
      <c r="X675" s="20"/>
    </row>
    <row r="676">
      <c r="A676" s="20"/>
      <c r="B676" s="20"/>
      <c r="C676" s="20"/>
      <c r="D676" s="70"/>
      <c r="E676" s="70"/>
      <c r="F676" s="70"/>
      <c r="G676" s="20"/>
      <c r="H676" s="20"/>
      <c r="I676" s="70"/>
      <c r="J676" s="70"/>
      <c r="K676" s="70"/>
      <c r="L676" s="70"/>
      <c r="M676" s="20"/>
      <c r="N676" s="20"/>
      <c r="O676" s="20"/>
      <c r="P676" s="20"/>
      <c r="Q676" s="20"/>
      <c r="R676" s="20"/>
      <c r="S676" s="20"/>
      <c r="T676" s="20"/>
      <c r="U676" s="20"/>
      <c r="V676" s="20"/>
      <c r="W676" s="20"/>
      <c r="X676" s="20"/>
    </row>
    <row r="677">
      <c r="A677" s="20"/>
      <c r="B677" s="20"/>
      <c r="C677" s="20"/>
      <c r="D677" s="70"/>
      <c r="E677" s="70"/>
      <c r="F677" s="70"/>
      <c r="G677" s="20"/>
      <c r="H677" s="20"/>
      <c r="I677" s="70"/>
      <c r="J677" s="70"/>
      <c r="K677" s="70"/>
      <c r="L677" s="70"/>
      <c r="M677" s="20"/>
      <c r="N677" s="20"/>
      <c r="O677" s="20"/>
      <c r="P677" s="20"/>
      <c r="Q677" s="20"/>
      <c r="R677" s="20"/>
      <c r="S677" s="20"/>
      <c r="T677" s="20"/>
      <c r="U677" s="20"/>
      <c r="V677" s="20"/>
      <c r="W677" s="20"/>
      <c r="X677" s="20"/>
    </row>
    <row r="678">
      <c r="A678" s="20"/>
      <c r="B678" s="20"/>
      <c r="C678" s="20"/>
      <c r="D678" s="70"/>
      <c r="E678" s="70"/>
      <c r="F678" s="70"/>
      <c r="G678" s="20"/>
      <c r="H678" s="20"/>
      <c r="I678" s="70"/>
      <c r="J678" s="70"/>
      <c r="K678" s="70"/>
      <c r="L678" s="70"/>
      <c r="M678" s="20"/>
      <c r="N678" s="20"/>
      <c r="O678" s="20"/>
      <c r="P678" s="20"/>
      <c r="Q678" s="20"/>
      <c r="R678" s="20"/>
      <c r="S678" s="20"/>
      <c r="T678" s="20"/>
      <c r="U678" s="20"/>
      <c r="V678" s="20"/>
      <c r="W678" s="20"/>
      <c r="X678" s="20"/>
    </row>
    <row r="679">
      <c r="A679" s="20"/>
      <c r="B679" s="20"/>
      <c r="C679" s="20"/>
      <c r="D679" s="70"/>
      <c r="E679" s="70"/>
      <c r="F679" s="70"/>
      <c r="G679" s="20"/>
      <c r="H679" s="20"/>
      <c r="I679" s="70"/>
      <c r="J679" s="70"/>
      <c r="K679" s="70"/>
      <c r="L679" s="70"/>
      <c r="M679" s="20"/>
      <c r="N679" s="20"/>
      <c r="O679" s="20"/>
      <c r="P679" s="20"/>
      <c r="Q679" s="20"/>
      <c r="R679" s="20"/>
      <c r="S679" s="20"/>
      <c r="T679" s="20"/>
      <c r="U679" s="20"/>
      <c r="V679" s="20"/>
      <c r="W679" s="20"/>
      <c r="X679" s="20"/>
    </row>
    <row r="680">
      <c r="A680" s="20"/>
      <c r="B680" s="20"/>
      <c r="C680" s="20"/>
      <c r="D680" s="70"/>
      <c r="E680" s="70"/>
      <c r="F680" s="70"/>
      <c r="G680" s="20"/>
      <c r="H680" s="20"/>
      <c r="I680" s="70"/>
      <c r="J680" s="70"/>
      <c r="K680" s="70"/>
      <c r="L680" s="70"/>
      <c r="M680" s="20"/>
      <c r="N680" s="20"/>
      <c r="O680" s="20"/>
      <c r="P680" s="20"/>
      <c r="Q680" s="20"/>
      <c r="R680" s="20"/>
      <c r="S680" s="20"/>
      <c r="T680" s="20"/>
      <c r="U680" s="20"/>
      <c r="V680" s="20"/>
      <c r="W680" s="20"/>
      <c r="X680" s="20"/>
    </row>
    <row r="681">
      <c r="A681" s="20"/>
      <c r="B681" s="20"/>
      <c r="C681" s="20"/>
      <c r="D681" s="70"/>
      <c r="E681" s="70"/>
      <c r="F681" s="70"/>
      <c r="G681" s="20"/>
      <c r="H681" s="20"/>
      <c r="I681" s="70"/>
      <c r="J681" s="70"/>
      <c r="K681" s="70"/>
      <c r="L681" s="70"/>
      <c r="M681" s="20"/>
      <c r="N681" s="20"/>
      <c r="O681" s="20"/>
      <c r="P681" s="20"/>
      <c r="Q681" s="20"/>
      <c r="R681" s="20"/>
      <c r="S681" s="20"/>
      <c r="T681" s="20"/>
      <c r="U681" s="20"/>
      <c r="V681" s="20"/>
      <c r="W681" s="20"/>
      <c r="X681" s="20"/>
    </row>
    <row r="682">
      <c r="A682" s="20"/>
      <c r="B682" s="20"/>
      <c r="C682" s="20"/>
      <c r="D682" s="70"/>
      <c r="E682" s="70"/>
      <c r="F682" s="70"/>
      <c r="G682" s="20"/>
      <c r="H682" s="20"/>
      <c r="I682" s="70"/>
      <c r="J682" s="70"/>
      <c r="K682" s="70"/>
      <c r="L682" s="70"/>
      <c r="M682" s="20"/>
      <c r="N682" s="20"/>
      <c r="O682" s="20"/>
      <c r="P682" s="20"/>
      <c r="Q682" s="20"/>
      <c r="R682" s="20"/>
      <c r="S682" s="20"/>
      <c r="T682" s="20"/>
      <c r="U682" s="20"/>
      <c r="V682" s="20"/>
      <c r="W682" s="20"/>
      <c r="X682" s="20"/>
    </row>
    <row r="683">
      <c r="A683" s="20"/>
      <c r="B683" s="20"/>
      <c r="C683" s="20"/>
      <c r="D683" s="70"/>
      <c r="E683" s="70"/>
      <c r="F683" s="70"/>
      <c r="G683" s="20"/>
      <c r="H683" s="20"/>
      <c r="I683" s="70"/>
      <c r="J683" s="70"/>
      <c r="K683" s="70"/>
      <c r="L683" s="70"/>
      <c r="M683" s="20"/>
      <c r="N683" s="20"/>
      <c r="O683" s="20"/>
      <c r="P683" s="20"/>
      <c r="Q683" s="20"/>
      <c r="R683" s="20"/>
      <c r="S683" s="20"/>
      <c r="T683" s="20"/>
      <c r="U683" s="20"/>
      <c r="V683" s="20"/>
      <c r="W683" s="20"/>
      <c r="X683" s="20"/>
    </row>
    <row r="684">
      <c r="A684" s="20"/>
      <c r="B684" s="20"/>
      <c r="C684" s="20"/>
      <c r="D684" s="70"/>
      <c r="E684" s="70"/>
      <c r="F684" s="70"/>
      <c r="G684" s="20"/>
      <c r="H684" s="20"/>
      <c r="I684" s="70"/>
      <c r="J684" s="70"/>
      <c r="K684" s="70"/>
      <c r="L684" s="70"/>
      <c r="M684" s="20"/>
      <c r="N684" s="20"/>
      <c r="O684" s="20"/>
      <c r="P684" s="20"/>
      <c r="Q684" s="20"/>
      <c r="R684" s="20"/>
      <c r="S684" s="20"/>
      <c r="T684" s="20"/>
      <c r="U684" s="20"/>
      <c r="V684" s="20"/>
      <c r="W684" s="20"/>
      <c r="X684" s="20"/>
    </row>
    <row r="685">
      <c r="A685" s="20"/>
      <c r="B685" s="20"/>
      <c r="C685" s="20"/>
      <c r="D685" s="70"/>
      <c r="E685" s="70"/>
      <c r="F685" s="70"/>
      <c r="G685" s="20"/>
      <c r="H685" s="20"/>
      <c r="I685" s="70"/>
      <c r="J685" s="70"/>
      <c r="K685" s="70"/>
      <c r="L685" s="70"/>
      <c r="M685" s="20"/>
      <c r="N685" s="20"/>
      <c r="O685" s="20"/>
      <c r="P685" s="20"/>
      <c r="Q685" s="20"/>
      <c r="R685" s="20"/>
      <c r="S685" s="20"/>
      <c r="T685" s="20"/>
      <c r="U685" s="20"/>
      <c r="V685" s="20"/>
      <c r="W685" s="20"/>
      <c r="X685" s="20"/>
    </row>
    <row r="686">
      <c r="A686" s="20"/>
      <c r="B686" s="20"/>
      <c r="C686" s="20"/>
      <c r="D686" s="70"/>
      <c r="E686" s="70"/>
      <c r="F686" s="70"/>
      <c r="G686" s="20"/>
      <c r="H686" s="20"/>
      <c r="I686" s="70"/>
      <c r="J686" s="70"/>
      <c r="K686" s="70"/>
      <c r="L686" s="70"/>
      <c r="M686" s="20"/>
      <c r="N686" s="20"/>
      <c r="O686" s="20"/>
      <c r="P686" s="20"/>
      <c r="Q686" s="20"/>
      <c r="R686" s="20"/>
      <c r="S686" s="20"/>
      <c r="T686" s="20"/>
      <c r="U686" s="20"/>
      <c r="V686" s="20"/>
      <c r="W686" s="20"/>
      <c r="X686" s="20"/>
    </row>
    <row r="687">
      <c r="A687" s="20"/>
      <c r="B687" s="20"/>
      <c r="C687" s="20"/>
      <c r="D687" s="70"/>
      <c r="E687" s="70"/>
      <c r="F687" s="70"/>
      <c r="G687" s="20"/>
      <c r="H687" s="20"/>
      <c r="I687" s="70"/>
      <c r="J687" s="70"/>
      <c r="K687" s="70"/>
      <c r="L687" s="70"/>
      <c r="M687" s="20"/>
      <c r="N687" s="20"/>
      <c r="O687" s="20"/>
      <c r="P687" s="20"/>
      <c r="Q687" s="20"/>
      <c r="R687" s="20"/>
      <c r="S687" s="20"/>
      <c r="T687" s="20"/>
      <c r="U687" s="20"/>
      <c r="V687" s="20"/>
      <c r="W687" s="20"/>
      <c r="X687" s="20"/>
    </row>
    <row r="688">
      <c r="A688" s="20"/>
      <c r="B688" s="20"/>
      <c r="C688" s="20"/>
      <c r="D688" s="70"/>
      <c r="E688" s="70"/>
      <c r="F688" s="70"/>
      <c r="G688" s="20"/>
      <c r="H688" s="20"/>
      <c r="I688" s="70"/>
      <c r="J688" s="70"/>
      <c r="K688" s="70"/>
      <c r="L688" s="70"/>
      <c r="M688" s="20"/>
      <c r="N688" s="20"/>
      <c r="O688" s="20"/>
      <c r="P688" s="20"/>
      <c r="Q688" s="20"/>
      <c r="R688" s="20"/>
      <c r="S688" s="20"/>
      <c r="T688" s="20"/>
      <c r="U688" s="20"/>
      <c r="V688" s="20"/>
      <c r="W688" s="20"/>
      <c r="X688" s="20"/>
    </row>
    <row r="689">
      <c r="A689" s="20"/>
      <c r="B689" s="20"/>
      <c r="C689" s="20"/>
      <c r="D689" s="70"/>
      <c r="E689" s="70"/>
      <c r="F689" s="70"/>
      <c r="G689" s="20"/>
      <c r="H689" s="20"/>
      <c r="I689" s="70"/>
      <c r="J689" s="70"/>
      <c r="K689" s="70"/>
      <c r="L689" s="70"/>
      <c r="M689" s="20"/>
      <c r="N689" s="20"/>
      <c r="O689" s="20"/>
      <c r="P689" s="20"/>
      <c r="Q689" s="20"/>
      <c r="R689" s="20"/>
      <c r="S689" s="20"/>
      <c r="T689" s="20"/>
      <c r="U689" s="20"/>
      <c r="V689" s="20"/>
      <c r="W689" s="20"/>
      <c r="X689" s="20"/>
    </row>
    <row r="690">
      <c r="A690" s="20"/>
      <c r="B690" s="20"/>
      <c r="C690" s="20"/>
      <c r="D690" s="70"/>
      <c r="E690" s="70"/>
      <c r="F690" s="70"/>
      <c r="G690" s="20"/>
      <c r="H690" s="20"/>
      <c r="I690" s="70"/>
      <c r="J690" s="70"/>
      <c r="K690" s="70"/>
      <c r="L690" s="70"/>
      <c r="M690" s="20"/>
      <c r="N690" s="20"/>
      <c r="O690" s="20"/>
      <c r="P690" s="20"/>
      <c r="Q690" s="20"/>
      <c r="R690" s="20"/>
      <c r="S690" s="20"/>
      <c r="T690" s="20"/>
      <c r="U690" s="20"/>
      <c r="V690" s="20"/>
      <c r="W690" s="20"/>
      <c r="X690" s="20"/>
    </row>
    <row r="691">
      <c r="A691" s="20"/>
      <c r="B691" s="20"/>
      <c r="C691" s="20"/>
      <c r="D691" s="70"/>
      <c r="E691" s="70"/>
      <c r="F691" s="70"/>
      <c r="G691" s="20"/>
      <c r="H691" s="20"/>
      <c r="I691" s="70"/>
      <c r="J691" s="70"/>
      <c r="K691" s="70"/>
      <c r="L691" s="70"/>
      <c r="M691" s="20"/>
      <c r="N691" s="20"/>
      <c r="O691" s="20"/>
      <c r="P691" s="20"/>
      <c r="Q691" s="20"/>
      <c r="R691" s="20"/>
      <c r="S691" s="20"/>
      <c r="T691" s="20"/>
      <c r="U691" s="20"/>
      <c r="V691" s="20"/>
      <c r="W691" s="20"/>
      <c r="X691" s="20"/>
    </row>
    <row r="692">
      <c r="A692" s="20"/>
      <c r="B692" s="20"/>
      <c r="C692" s="20"/>
      <c r="D692" s="70"/>
      <c r="E692" s="70"/>
      <c r="F692" s="70"/>
      <c r="G692" s="20"/>
      <c r="H692" s="20"/>
      <c r="I692" s="70"/>
      <c r="J692" s="70"/>
      <c r="K692" s="70"/>
      <c r="L692" s="70"/>
      <c r="M692" s="20"/>
      <c r="N692" s="20"/>
      <c r="O692" s="20"/>
      <c r="P692" s="20"/>
      <c r="Q692" s="20"/>
      <c r="R692" s="20"/>
      <c r="S692" s="20"/>
      <c r="T692" s="20"/>
      <c r="U692" s="20"/>
      <c r="V692" s="20"/>
      <c r="W692" s="20"/>
      <c r="X692" s="20"/>
    </row>
    <row r="693">
      <c r="A693" s="20"/>
      <c r="B693" s="20"/>
      <c r="C693" s="20"/>
      <c r="D693" s="70"/>
      <c r="E693" s="70"/>
      <c r="F693" s="70"/>
      <c r="G693" s="20"/>
      <c r="H693" s="20"/>
      <c r="I693" s="70"/>
      <c r="J693" s="70"/>
      <c r="K693" s="70"/>
      <c r="L693" s="70"/>
      <c r="M693" s="20"/>
      <c r="N693" s="20"/>
      <c r="O693" s="20"/>
      <c r="P693" s="20"/>
      <c r="Q693" s="20"/>
      <c r="R693" s="20"/>
      <c r="S693" s="20"/>
      <c r="T693" s="20"/>
      <c r="U693" s="20"/>
      <c r="V693" s="20"/>
      <c r="W693" s="20"/>
      <c r="X693" s="20"/>
    </row>
    <row r="694">
      <c r="A694" s="20"/>
      <c r="B694" s="20"/>
      <c r="C694" s="20"/>
      <c r="D694" s="70"/>
      <c r="E694" s="70"/>
      <c r="F694" s="70"/>
      <c r="G694" s="20"/>
      <c r="H694" s="20"/>
      <c r="I694" s="70"/>
      <c r="J694" s="70"/>
      <c r="K694" s="70"/>
      <c r="L694" s="70"/>
      <c r="M694" s="20"/>
      <c r="N694" s="20"/>
      <c r="O694" s="20"/>
      <c r="P694" s="20"/>
      <c r="Q694" s="20"/>
      <c r="R694" s="20"/>
      <c r="S694" s="20"/>
      <c r="T694" s="20"/>
      <c r="U694" s="20"/>
      <c r="V694" s="20"/>
      <c r="W694" s="20"/>
      <c r="X694" s="20"/>
    </row>
    <row r="695">
      <c r="A695" s="20"/>
      <c r="B695" s="20"/>
      <c r="C695" s="20"/>
      <c r="D695" s="70"/>
      <c r="E695" s="70"/>
      <c r="F695" s="70"/>
      <c r="G695" s="20"/>
      <c r="H695" s="20"/>
      <c r="I695" s="70"/>
      <c r="J695" s="70"/>
      <c r="K695" s="70"/>
      <c r="L695" s="70"/>
      <c r="M695" s="20"/>
      <c r="N695" s="20"/>
      <c r="O695" s="20"/>
      <c r="P695" s="20"/>
      <c r="Q695" s="20"/>
      <c r="R695" s="20"/>
      <c r="S695" s="20"/>
      <c r="T695" s="20"/>
      <c r="U695" s="20"/>
      <c r="V695" s="20"/>
      <c r="W695" s="20"/>
      <c r="X695" s="20"/>
    </row>
    <row r="696">
      <c r="A696" s="20"/>
      <c r="B696" s="20"/>
      <c r="C696" s="20"/>
      <c r="D696" s="70"/>
      <c r="E696" s="70"/>
      <c r="F696" s="70"/>
      <c r="G696" s="20"/>
      <c r="H696" s="20"/>
      <c r="I696" s="70"/>
      <c r="J696" s="70"/>
      <c r="K696" s="70"/>
      <c r="L696" s="70"/>
      <c r="M696" s="20"/>
      <c r="N696" s="20"/>
      <c r="O696" s="20"/>
      <c r="P696" s="20"/>
      <c r="Q696" s="20"/>
      <c r="R696" s="20"/>
      <c r="S696" s="20"/>
      <c r="T696" s="20"/>
      <c r="U696" s="20"/>
      <c r="V696" s="20"/>
      <c r="W696" s="20"/>
      <c r="X696" s="20"/>
    </row>
    <row r="697">
      <c r="A697" s="20"/>
      <c r="B697" s="20"/>
      <c r="C697" s="20"/>
      <c r="D697" s="70"/>
      <c r="E697" s="70"/>
      <c r="F697" s="70"/>
      <c r="G697" s="20"/>
      <c r="H697" s="20"/>
      <c r="I697" s="70"/>
      <c r="J697" s="70"/>
      <c r="K697" s="70"/>
      <c r="L697" s="70"/>
      <c r="M697" s="20"/>
      <c r="N697" s="20"/>
      <c r="O697" s="20"/>
      <c r="P697" s="20"/>
      <c r="Q697" s="20"/>
      <c r="R697" s="20"/>
      <c r="S697" s="20"/>
      <c r="T697" s="20"/>
      <c r="U697" s="20"/>
      <c r="V697" s="20"/>
      <c r="W697" s="20"/>
      <c r="X697" s="20"/>
    </row>
    <row r="698">
      <c r="A698" s="20"/>
      <c r="B698" s="20"/>
      <c r="C698" s="20"/>
      <c r="D698" s="70"/>
      <c r="E698" s="70"/>
      <c r="F698" s="70"/>
      <c r="G698" s="20"/>
      <c r="H698" s="20"/>
      <c r="I698" s="70"/>
      <c r="J698" s="70"/>
      <c r="K698" s="70"/>
      <c r="L698" s="70"/>
      <c r="M698" s="20"/>
      <c r="N698" s="20"/>
      <c r="O698" s="20"/>
      <c r="P698" s="20"/>
      <c r="Q698" s="20"/>
      <c r="R698" s="20"/>
      <c r="S698" s="20"/>
      <c r="T698" s="20"/>
      <c r="U698" s="20"/>
      <c r="V698" s="20"/>
      <c r="W698" s="20"/>
      <c r="X698" s="20"/>
    </row>
    <row r="699">
      <c r="A699" s="20"/>
      <c r="B699" s="20"/>
      <c r="C699" s="20"/>
      <c r="D699" s="70"/>
      <c r="E699" s="70"/>
      <c r="F699" s="70"/>
      <c r="G699" s="20"/>
      <c r="H699" s="20"/>
      <c r="I699" s="70"/>
      <c r="J699" s="70"/>
      <c r="K699" s="70"/>
      <c r="L699" s="70"/>
      <c r="M699" s="20"/>
      <c r="N699" s="20"/>
      <c r="O699" s="20"/>
      <c r="P699" s="20"/>
      <c r="Q699" s="20"/>
      <c r="R699" s="20"/>
      <c r="S699" s="20"/>
      <c r="T699" s="20"/>
      <c r="U699" s="20"/>
      <c r="V699" s="20"/>
      <c r="W699" s="20"/>
      <c r="X699" s="20"/>
    </row>
    <row r="700">
      <c r="A700" s="20"/>
      <c r="B700" s="20"/>
      <c r="C700" s="20"/>
      <c r="D700" s="70"/>
      <c r="E700" s="70"/>
      <c r="F700" s="70"/>
      <c r="G700" s="20"/>
      <c r="H700" s="20"/>
      <c r="I700" s="70"/>
      <c r="J700" s="70"/>
      <c r="K700" s="70"/>
      <c r="L700" s="70"/>
      <c r="M700" s="20"/>
      <c r="N700" s="20"/>
      <c r="O700" s="20"/>
      <c r="P700" s="20"/>
      <c r="Q700" s="20"/>
      <c r="R700" s="20"/>
      <c r="S700" s="20"/>
      <c r="T700" s="20"/>
      <c r="U700" s="20"/>
      <c r="V700" s="20"/>
      <c r="W700" s="20"/>
      <c r="X700" s="20"/>
    </row>
    <row r="701">
      <c r="A701" s="20"/>
      <c r="B701" s="20"/>
      <c r="C701" s="20"/>
      <c r="D701" s="70"/>
      <c r="E701" s="70"/>
      <c r="F701" s="70"/>
      <c r="G701" s="20"/>
      <c r="H701" s="20"/>
      <c r="I701" s="70"/>
      <c r="J701" s="70"/>
      <c r="K701" s="70"/>
      <c r="L701" s="70"/>
      <c r="M701" s="20"/>
      <c r="N701" s="20"/>
      <c r="O701" s="20"/>
      <c r="P701" s="20"/>
      <c r="Q701" s="20"/>
      <c r="R701" s="20"/>
      <c r="S701" s="20"/>
      <c r="T701" s="20"/>
      <c r="U701" s="20"/>
      <c r="V701" s="20"/>
      <c r="W701" s="20"/>
      <c r="X701" s="20"/>
    </row>
    <row r="702">
      <c r="A702" s="20"/>
      <c r="B702" s="20"/>
      <c r="C702" s="20"/>
      <c r="D702" s="70"/>
      <c r="E702" s="70"/>
      <c r="F702" s="70"/>
      <c r="G702" s="20"/>
      <c r="H702" s="20"/>
      <c r="I702" s="70"/>
      <c r="J702" s="70"/>
      <c r="K702" s="70"/>
      <c r="L702" s="70"/>
      <c r="M702" s="20"/>
      <c r="N702" s="20"/>
      <c r="O702" s="20"/>
      <c r="P702" s="20"/>
      <c r="Q702" s="20"/>
      <c r="R702" s="20"/>
      <c r="S702" s="20"/>
      <c r="T702" s="20"/>
      <c r="U702" s="20"/>
      <c r="V702" s="20"/>
      <c r="W702" s="20"/>
      <c r="X702" s="20"/>
    </row>
    <row r="703">
      <c r="A703" s="20"/>
      <c r="B703" s="20"/>
      <c r="C703" s="20"/>
      <c r="D703" s="70"/>
      <c r="E703" s="70"/>
      <c r="F703" s="70"/>
      <c r="G703" s="20"/>
      <c r="H703" s="20"/>
      <c r="I703" s="70"/>
      <c r="J703" s="70"/>
      <c r="K703" s="70"/>
      <c r="L703" s="70"/>
      <c r="M703" s="20"/>
      <c r="N703" s="20"/>
      <c r="O703" s="20"/>
      <c r="P703" s="20"/>
      <c r="Q703" s="20"/>
      <c r="R703" s="20"/>
      <c r="S703" s="20"/>
      <c r="T703" s="20"/>
      <c r="U703" s="20"/>
      <c r="V703" s="20"/>
      <c r="W703" s="20"/>
      <c r="X703" s="20"/>
    </row>
    <row r="704">
      <c r="A704" s="20"/>
      <c r="B704" s="20"/>
      <c r="C704" s="20"/>
      <c r="D704" s="70"/>
      <c r="E704" s="70"/>
      <c r="F704" s="70"/>
      <c r="G704" s="20"/>
      <c r="H704" s="20"/>
      <c r="I704" s="70"/>
      <c r="J704" s="70"/>
      <c r="K704" s="70"/>
      <c r="L704" s="70"/>
      <c r="M704" s="20"/>
      <c r="N704" s="20"/>
      <c r="O704" s="20"/>
      <c r="P704" s="20"/>
      <c r="Q704" s="20"/>
      <c r="R704" s="20"/>
      <c r="S704" s="20"/>
      <c r="T704" s="20"/>
      <c r="U704" s="20"/>
      <c r="V704" s="20"/>
      <c r="W704" s="20"/>
      <c r="X704" s="20"/>
    </row>
    <row r="705">
      <c r="A705" s="20"/>
      <c r="B705" s="20"/>
      <c r="C705" s="20"/>
      <c r="D705" s="70"/>
      <c r="E705" s="70"/>
      <c r="F705" s="70"/>
      <c r="G705" s="20"/>
      <c r="H705" s="20"/>
      <c r="I705" s="70"/>
      <c r="J705" s="70"/>
      <c r="K705" s="70"/>
      <c r="L705" s="70"/>
      <c r="M705" s="20"/>
      <c r="N705" s="20"/>
      <c r="O705" s="20"/>
      <c r="P705" s="20"/>
      <c r="Q705" s="20"/>
      <c r="R705" s="20"/>
      <c r="S705" s="20"/>
      <c r="T705" s="20"/>
      <c r="U705" s="20"/>
      <c r="V705" s="20"/>
      <c r="W705" s="20"/>
      <c r="X705" s="20"/>
    </row>
    <row r="706">
      <c r="A706" s="20"/>
      <c r="B706" s="20"/>
      <c r="C706" s="20"/>
      <c r="D706" s="70"/>
      <c r="E706" s="70"/>
      <c r="F706" s="70"/>
      <c r="G706" s="20"/>
      <c r="H706" s="20"/>
      <c r="I706" s="70"/>
      <c r="J706" s="70"/>
      <c r="K706" s="70"/>
      <c r="L706" s="70"/>
      <c r="M706" s="20"/>
      <c r="N706" s="20"/>
      <c r="O706" s="20"/>
      <c r="P706" s="20"/>
      <c r="Q706" s="20"/>
      <c r="R706" s="20"/>
      <c r="S706" s="20"/>
      <c r="T706" s="20"/>
      <c r="U706" s="20"/>
      <c r="V706" s="20"/>
      <c r="W706" s="20"/>
      <c r="X706" s="20"/>
    </row>
    <row r="707">
      <c r="A707" s="20"/>
      <c r="B707" s="20"/>
      <c r="C707" s="20"/>
      <c r="D707" s="70"/>
      <c r="E707" s="70"/>
      <c r="F707" s="70"/>
      <c r="G707" s="20"/>
      <c r="H707" s="20"/>
      <c r="I707" s="70"/>
      <c r="J707" s="70"/>
      <c r="K707" s="70"/>
      <c r="L707" s="70"/>
      <c r="M707" s="20"/>
      <c r="N707" s="20"/>
      <c r="O707" s="20"/>
      <c r="P707" s="20"/>
      <c r="Q707" s="20"/>
      <c r="R707" s="20"/>
      <c r="S707" s="20"/>
      <c r="T707" s="20"/>
      <c r="U707" s="20"/>
      <c r="V707" s="20"/>
      <c r="W707" s="20"/>
      <c r="X707" s="20"/>
    </row>
    <row r="708">
      <c r="A708" s="20"/>
      <c r="B708" s="20"/>
      <c r="C708" s="20"/>
      <c r="D708" s="70"/>
      <c r="E708" s="70"/>
      <c r="F708" s="70"/>
      <c r="G708" s="20"/>
      <c r="H708" s="20"/>
      <c r="I708" s="70"/>
      <c r="J708" s="70"/>
      <c r="K708" s="70"/>
      <c r="L708" s="70"/>
      <c r="M708" s="20"/>
      <c r="N708" s="20"/>
      <c r="O708" s="20"/>
      <c r="P708" s="20"/>
      <c r="Q708" s="20"/>
      <c r="R708" s="20"/>
      <c r="S708" s="20"/>
      <c r="T708" s="20"/>
      <c r="U708" s="20"/>
      <c r="V708" s="20"/>
      <c r="W708" s="20"/>
      <c r="X708" s="20"/>
    </row>
    <row r="709">
      <c r="A709" s="20"/>
      <c r="B709" s="20"/>
      <c r="C709" s="20"/>
      <c r="D709" s="70"/>
      <c r="E709" s="70"/>
      <c r="F709" s="70"/>
      <c r="G709" s="20"/>
      <c r="H709" s="20"/>
      <c r="I709" s="70"/>
      <c r="J709" s="70"/>
      <c r="K709" s="70"/>
      <c r="L709" s="70"/>
      <c r="M709" s="20"/>
      <c r="N709" s="20"/>
      <c r="O709" s="20"/>
      <c r="P709" s="20"/>
      <c r="Q709" s="20"/>
      <c r="R709" s="20"/>
      <c r="S709" s="20"/>
      <c r="T709" s="20"/>
      <c r="U709" s="20"/>
      <c r="V709" s="20"/>
      <c r="W709" s="20"/>
      <c r="X709" s="20"/>
    </row>
    <row r="710">
      <c r="A710" s="20"/>
      <c r="B710" s="20"/>
      <c r="C710" s="20"/>
      <c r="D710" s="70"/>
      <c r="E710" s="70"/>
      <c r="F710" s="70"/>
      <c r="G710" s="20"/>
      <c r="H710" s="20"/>
      <c r="I710" s="70"/>
      <c r="J710" s="70"/>
      <c r="K710" s="70"/>
      <c r="L710" s="70"/>
      <c r="M710" s="20"/>
      <c r="N710" s="20"/>
      <c r="O710" s="20"/>
      <c r="P710" s="20"/>
      <c r="Q710" s="20"/>
      <c r="R710" s="20"/>
      <c r="S710" s="20"/>
      <c r="T710" s="20"/>
      <c r="U710" s="20"/>
      <c r="V710" s="20"/>
      <c r="W710" s="20"/>
      <c r="X710" s="20"/>
    </row>
    <row r="711">
      <c r="A711" s="20"/>
      <c r="B711" s="20"/>
      <c r="C711" s="20"/>
      <c r="D711" s="70"/>
      <c r="E711" s="70"/>
      <c r="F711" s="70"/>
      <c r="G711" s="20"/>
      <c r="H711" s="20"/>
      <c r="I711" s="70"/>
      <c r="J711" s="70"/>
      <c r="K711" s="70"/>
      <c r="L711" s="70"/>
      <c r="M711" s="20"/>
      <c r="N711" s="20"/>
      <c r="O711" s="20"/>
      <c r="P711" s="20"/>
      <c r="Q711" s="20"/>
      <c r="R711" s="20"/>
      <c r="S711" s="20"/>
      <c r="T711" s="20"/>
      <c r="U711" s="20"/>
      <c r="V711" s="20"/>
      <c r="W711" s="20"/>
      <c r="X711" s="20"/>
    </row>
    <row r="712">
      <c r="A712" s="20"/>
      <c r="B712" s="20"/>
      <c r="C712" s="20"/>
      <c r="D712" s="70"/>
      <c r="E712" s="70"/>
      <c r="F712" s="70"/>
      <c r="G712" s="20"/>
      <c r="H712" s="20"/>
      <c r="I712" s="70"/>
      <c r="J712" s="70"/>
      <c r="K712" s="70"/>
      <c r="L712" s="70"/>
      <c r="M712" s="20"/>
      <c r="N712" s="20"/>
      <c r="O712" s="20"/>
      <c r="P712" s="20"/>
      <c r="Q712" s="20"/>
      <c r="R712" s="20"/>
      <c r="S712" s="20"/>
      <c r="T712" s="20"/>
      <c r="U712" s="20"/>
      <c r="V712" s="20"/>
      <c r="W712" s="20"/>
      <c r="X712" s="20"/>
    </row>
    <row r="713">
      <c r="A713" s="20"/>
      <c r="B713" s="20"/>
      <c r="C713" s="20"/>
      <c r="D713" s="70"/>
      <c r="E713" s="70"/>
      <c r="F713" s="70"/>
      <c r="G713" s="20"/>
      <c r="H713" s="20"/>
      <c r="I713" s="70"/>
      <c r="J713" s="70"/>
      <c r="K713" s="70"/>
      <c r="L713" s="70"/>
      <c r="M713" s="20"/>
      <c r="N713" s="20"/>
      <c r="O713" s="20"/>
      <c r="P713" s="20"/>
      <c r="Q713" s="20"/>
      <c r="R713" s="20"/>
      <c r="S713" s="20"/>
      <c r="T713" s="20"/>
      <c r="U713" s="20"/>
      <c r="V713" s="20"/>
      <c r="W713" s="20"/>
      <c r="X713" s="20"/>
    </row>
    <row r="714">
      <c r="A714" s="20"/>
      <c r="B714" s="20"/>
      <c r="C714" s="20"/>
      <c r="D714" s="70"/>
      <c r="E714" s="70"/>
      <c r="F714" s="70"/>
      <c r="G714" s="20"/>
      <c r="H714" s="20"/>
      <c r="I714" s="70"/>
      <c r="J714" s="70"/>
      <c r="K714" s="70"/>
      <c r="L714" s="70"/>
      <c r="M714" s="20"/>
      <c r="N714" s="20"/>
      <c r="O714" s="20"/>
      <c r="P714" s="20"/>
      <c r="Q714" s="20"/>
      <c r="R714" s="20"/>
      <c r="S714" s="20"/>
      <c r="T714" s="20"/>
      <c r="U714" s="20"/>
      <c r="V714" s="20"/>
      <c r="W714" s="20"/>
      <c r="X714" s="20"/>
    </row>
    <row r="715">
      <c r="A715" s="20"/>
      <c r="B715" s="20"/>
      <c r="C715" s="20"/>
      <c r="D715" s="70"/>
      <c r="E715" s="70"/>
      <c r="F715" s="70"/>
      <c r="G715" s="20"/>
      <c r="H715" s="20"/>
      <c r="I715" s="70"/>
      <c r="J715" s="70"/>
      <c r="K715" s="70"/>
      <c r="L715" s="70"/>
      <c r="M715" s="20"/>
      <c r="N715" s="20"/>
      <c r="O715" s="20"/>
      <c r="P715" s="20"/>
      <c r="Q715" s="20"/>
      <c r="R715" s="20"/>
      <c r="S715" s="20"/>
      <c r="T715" s="20"/>
      <c r="U715" s="20"/>
      <c r="V715" s="20"/>
      <c r="W715" s="20"/>
      <c r="X715" s="20"/>
    </row>
    <row r="716">
      <c r="A716" s="20"/>
      <c r="B716" s="20"/>
      <c r="C716" s="20"/>
      <c r="D716" s="70"/>
      <c r="E716" s="70"/>
      <c r="F716" s="70"/>
      <c r="G716" s="20"/>
      <c r="H716" s="20"/>
      <c r="I716" s="70"/>
      <c r="J716" s="70"/>
      <c r="K716" s="70"/>
      <c r="L716" s="70"/>
      <c r="M716" s="20"/>
      <c r="N716" s="20"/>
      <c r="O716" s="20"/>
      <c r="P716" s="20"/>
      <c r="Q716" s="20"/>
      <c r="R716" s="20"/>
      <c r="S716" s="20"/>
      <c r="T716" s="20"/>
      <c r="U716" s="20"/>
      <c r="V716" s="20"/>
      <c r="W716" s="20"/>
      <c r="X716" s="20"/>
    </row>
    <row r="717">
      <c r="A717" s="20"/>
      <c r="B717" s="20"/>
      <c r="C717" s="20"/>
      <c r="D717" s="70"/>
      <c r="E717" s="70"/>
      <c r="F717" s="70"/>
      <c r="G717" s="20"/>
      <c r="H717" s="20"/>
      <c r="I717" s="70"/>
      <c r="J717" s="70"/>
      <c r="K717" s="70"/>
      <c r="L717" s="70"/>
      <c r="M717" s="20"/>
      <c r="N717" s="20"/>
      <c r="O717" s="20"/>
      <c r="P717" s="20"/>
      <c r="Q717" s="20"/>
      <c r="R717" s="20"/>
      <c r="S717" s="20"/>
      <c r="T717" s="20"/>
      <c r="U717" s="20"/>
      <c r="V717" s="20"/>
      <c r="W717" s="20"/>
      <c r="X717" s="20"/>
    </row>
    <row r="718">
      <c r="A718" s="20"/>
      <c r="B718" s="20"/>
      <c r="C718" s="20"/>
      <c r="D718" s="70"/>
      <c r="E718" s="70"/>
      <c r="F718" s="70"/>
      <c r="G718" s="20"/>
      <c r="H718" s="20"/>
      <c r="I718" s="70"/>
      <c r="J718" s="70"/>
      <c r="K718" s="70"/>
      <c r="L718" s="70"/>
      <c r="M718" s="20"/>
      <c r="N718" s="20"/>
      <c r="O718" s="20"/>
      <c r="P718" s="20"/>
      <c r="Q718" s="20"/>
      <c r="R718" s="20"/>
      <c r="S718" s="20"/>
      <c r="T718" s="20"/>
      <c r="U718" s="20"/>
      <c r="V718" s="20"/>
      <c r="W718" s="20"/>
      <c r="X718" s="20"/>
    </row>
    <row r="719">
      <c r="A719" s="20"/>
      <c r="B719" s="20"/>
      <c r="C719" s="20"/>
      <c r="D719" s="70"/>
      <c r="E719" s="70"/>
      <c r="F719" s="70"/>
      <c r="G719" s="20"/>
      <c r="H719" s="20"/>
      <c r="I719" s="70"/>
      <c r="J719" s="70"/>
      <c r="K719" s="70"/>
      <c r="L719" s="70"/>
      <c r="M719" s="20"/>
      <c r="N719" s="20"/>
      <c r="O719" s="20"/>
      <c r="P719" s="20"/>
      <c r="Q719" s="20"/>
      <c r="R719" s="20"/>
      <c r="S719" s="20"/>
      <c r="T719" s="20"/>
      <c r="U719" s="20"/>
      <c r="V719" s="20"/>
      <c r="W719" s="20"/>
      <c r="X719" s="20"/>
    </row>
    <row r="720">
      <c r="A720" s="20"/>
      <c r="B720" s="20"/>
      <c r="C720" s="20"/>
      <c r="D720" s="70"/>
      <c r="E720" s="70"/>
      <c r="F720" s="70"/>
      <c r="G720" s="20"/>
      <c r="H720" s="20"/>
      <c r="I720" s="70"/>
      <c r="J720" s="70"/>
      <c r="K720" s="70"/>
      <c r="L720" s="70"/>
      <c r="M720" s="20"/>
      <c r="N720" s="20"/>
      <c r="O720" s="20"/>
      <c r="P720" s="20"/>
      <c r="Q720" s="20"/>
      <c r="R720" s="20"/>
      <c r="S720" s="20"/>
      <c r="T720" s="20"/>
      <c r="U720" s="20"/>
      <c r="V720" s="20"/>
      <c r="W720" s="20"/>
      <c r="X720" s="20"/>
    </row>
    <row r="721">
      <c r="A721" s="20"/>
      <c r="B721" s="20"/>
      <c r="C721" s="20"/>
      <c r="D721" s="70"/>
      <c r="E721" s="70"/>
      <c r="F721" s="70"/>
      <c r="G721" s="20"/>
      <c r="H721" s="20"/>
      <c r="I721" s="70"/>
      <c r="J721" s="70"/>
      <c r="K721" s="70"/>
      <c r="L721" s="70"/>
      <c r="M721" s="20"/>
      <c r="N721" s="20"/>
      <c r="O721" s="20"/>
      <c r="P721" s="20"/>
      <c r="Q721" s="20"/>
      <c r="R721" s="20"/>
      <c r="S721" s="20"/>
      <c r="T721" s="20"/>
      <c r="U721" s="20"/>
      <c r="V721" s="20"/>
      <c r="W721" s="20"/>
      <c r="X721" s="20"/>
    </row>
    <row r="722">
      <c r="A722" s="20"/>
      <c r="B722" s="20"/>
      <c r="C722" s="20"/>
      <c r="D722" s="70"/>
      <c r="E722" s="70"/>
      <c r="F722" s="70"/>
      <c r="G722" s="20"/>
      <c r="H722" s="20"/>
      <c r="I722" s="70"/>
      <c r="J722" s="70"/>
      <c r="K722" s="70"/>
      <c r="L722" s="70"/>
      <c r="M722" s="20"/>
      <c r="N722" s="20"/>
      <c r="O722" s="20"/>
      <c r="P722" s="20"/>
      <c r="Q722" s="20"/>
      <c r="R722" s="20"/>
      <c r="S722" s="20"/>
      <c r="T722" s="20"/>
      <c r="U722" s="20"/>
      <c r="V722" s="20"/>
      <c r="W722" s="20"/>
      <c r="X722" s="20"/>
    </row>
    <row r="723">
      <c r="A723" s="20"/>
      <c r="B723" s="20"/>
      <c r="C723" s="20"/>
      <c r="D723" s="70"/>
      <c r="E723" s="70"/>
      <c r="F723" s="70"/>
      <c r="G723" s="20"/>
      <c r="H723" s="20"/>
      <c r="I723" s="70"/>
      <c r="J723" s="70"/>
      <c r="K723" s="70"/>
      <c r="L723" s="70"/>
      <c r="M723" s="20"/>
      <c r="N723" s="20"/>
      <c r="O723" s="20"/>
      <c r="P723" s="20"/>
      <c r="Q723" s="20"/>
      <c r="R723" s="20"/>
      <c r="S723" s="20"/>
      <c r="T723" s="20"/>
      <c r="U723" s="20"/>
      <c r="V723" s="20"/>
      <c r="W723" s="20"/>
      <c r="X723" s="20"/>
    </row>
    <row r="724">
      <c r="A724" s="20"/>
      <c r="B724" s="20"/>
      <c r="C724" s="20"/>
      <c r="D724" s="70"/>
      <c r="E724" s="70"/>
      <c r="F724" s="70"/>
      <c r="G724" s="20"/>
      <c r="H724" s="20"/>
      <c r="I724" s="70"/>
      <c r="J724" s="70"/>
      <c r="K724" s="70"/>
      <c r="L724" s="70"/>
      <c r="M724" s="20"/>
      <c r="N724" s="20"/>
      <c r="O724" s="20"/>
      <c r="P724" s="20"/>
      <c r="Q724" s="20"/>
      <c r="R724" s="20"/>
      <c r="S724" s="20"/>
      <c r="T724" s="20"/>
      <c r="U724" s="20"/>
      <c r="V724" s="20"/>
      <c r="W724" s="20"/>
      <c r="X724" s="20"/>
    </row>
    <row r="725">
      <c r="A725" s="20"/>
      <c r="B725" s="20"/>
      <c r="C725" s="20"/>
      <c r="D725" s="70"/>
      <c r="E725" s="70"/>
      <c r="F725" s="70"/>
      <c r="G725" s="20"/>
      <c r="H725" s="20"/>
      <c r="I725" s="70"/>
      <c r="J725" s="70"/>
      <c r="K725" s="70"/>
      <c r="L725" s="70"/>
      <c r="M725" s="20"/>
      <c r="N725" s="20"/>
      <c r="O725" s="20"/>
      <c r="P725" s="20"/>
      <c r="Q725" s="20"/>
      <c r="R725" s="20"/>
      <c r="S725" s="20"/>
      <c r="T725" s="20"/>
      <c r="U725" s="20"/>
      <c r="V725" s="20"/>
      <c r="W725" s="20"/>
      <c r="X725" s="20"/>
    </row>
    <row r="726">
      <c r="A726" s="20"/>
      <c r="B726" s="20"/>
      <c r="C726" s="20"/>
      <c r="D726" s="70"/>
      <c r="E726" s="70"/>
      <c r="F726" s="70"/>
      <c r="G726" s="20"/>
      <c r="H726" s="20"/>
      <c r="I726" s="70"/>
      <c r="J726" s="70"/>
      <c r="K726" s="70"/>
      <c r="L726" s="70"/>
      <c r="M726" s="20"/>
      <c r="N726" s="20"/>
      <c r="O726" s="20"/>
      <c r="P726" s="20"/>
      <c r="Q726" s="20"/>
      <c r="R726" s="20"/>
      <c r="S726" s="20"/>
      <c r="T726" s="20"/>
      <c r="U726" s="20"/>
      <c r="V726" s="20"/>
      <c r="W726" s="20"/>
      <c r="X726" s="20"/>
    </row>
    <row r="727">
      <c r="A727" s="20"/>
      <c r="B727" s="20"/>
      <c r="C727" s="20"/>
      <c r="D727" s="70"/>
      <c r="E727" s="70"/>
      <c r="F727" s="70"/>
      <c r="G727" s="20"/>
      <c r="H727" s="20"/>
      <c r="I727" s="70"/>
      <c r="J727" s="70"/>
      <c r="K727" s="70"/>
      <c r="L727" s="70"/>
      <c r="M727" s="20"/>
      <c r="N727" s="20"/>
      <c r="O727" s="20"/>
      <c r="P727" s="20"/>
      <c r="Q727" s="20"/>
      <c r="R727" s="20"/>
      <c r="S727" s="20"/>
      <c r="T727" s="20"/>
      <c r="U727" s="20"/>
      <c r="V727" s="20"/>
      <c r="W727" s="20"/>
      <c r="X727" s="20"/>
    </row>
    <row r="728">
      <c r="A728" s="20"/>
      <c r="B728" s="20"/>
      <c r="C728" s="20"/>
      <c r="D728" s="70"/>
      <c r="E728" s="70"/>
      <c r="F728" s="70"/>
      <c r="G728" s="20"/>
      <c r="H728" s="20"/>
      <c r="I728" s="70"/>
      <c r="J728" s="70"/>
      <c r="K728" s="70"/>
      <c r="L728" s="70"/>
      <c r="M728" s="20"/>
      <c r="N728" s="20"/>
      <c r="O728" s="20"/>
      <c r="P728" s="20"/>
      <c r="Q728" s="20"/>
      <c r="R728" s="20"/>
      <c r="S728" s="20"/>
      <c r="T728" s="20"/>
      <c r="U728" s="20"/>
      <c r="V728" s="20"/>
      <c r="W728" s="20"/>
      <c r="X728" s="20"/>
    </row>
    <row r="729">
      <c r="A729" s="20"/>
      <c r="B729" s="20"/>
      <c r="C729" s="20"/>
      <c r="D729" s="70"/>
      <c r="E729" s="70"/>
      <c r="F729" s="70"/>
      <c r="G729" s="20"/>
      <c r="H729" s="20"/>
      <c r="I729" s="70"/>
      <c r="J729" s="70"/>
      <c r="K729" s="70"/>
      <c r="L729" s="70"/>
      <c r="M729" s="20"/>
      <c r="N729" s="20"/>
      <c r="O729" s="20"/>
      <c r="P729" s="20"/>
      <c r="Q729" s="20"/>
      <c r="R729" s="20"/>
      <c r="S729" s="20"/>
      <c r="T729" s="20"/>
      <c r="U729" s="20"/>
      <c r="V729" s="20"/>
      <c r="W729" s="20"/>
      <c r="X729" s="20"/>
    </row>
    <row r="730">
      <c r="A730" s="20"/>
      <c r="B730" s="20"/>
      <c r="C730" s="20"/>
      <c r="D730" s="70"/>
      <c r="E730" s="70"/>
      <c r="F730" s="70"/>
      <c r="G730" s="20"/>
      <c r="H730" s="20"/>
      <c r="I730" s="70"/>
      <c r="J730" s="70"/>
      <c r="K730" s="70"/>
      <c r="L730" s="70"/>
      <c r="M730" s="20"/>
      <c r="N730" s="20"/>
      <c r="O730" s="20"/>
      <c r="P730" s="20"/>
      <c r="Q730" s="20"/>
      <c r="R730" s="20"/>
      <c r="S730" s="20"/>
      <c r="T730" s="20"/>
      <c r="U730" s="20"/>
      <c r="V730" s="20"/>
      <c r="W730" s="20"/>
      <c r="X730" s="20"/>
    </row>
    <row r="731">
      <c r="A731" s="20"/>
      <c r="B731" s="20"/>
      <c r="C731" s="20"/>
      <c r="D731" s="70"/>
      <c r="E731" s="70"/>
      <c r="F731" s="70"/>
      <c r="G731" s="20"/>
      <c r="H731" s="20"/>
      <c r="I731" s="70"/>
      <c r="J731" s="70"/>
      <c r="K731" s="70"/>
      <c r="L731" s="70"/>
      <c r="M731" s="20"/>
      <c r="N731" s="20"/>
      <c r="O731" s="20"/>
      <c r="P731" s="20"/>
      <c r="Q731" s="20"/>
      <c r="R731" s="20"/>
      <c r="S731" s="20"/>
      <c r="T731" s="20"/>
      <c r="U731" s="20"/>
      <c r="V731" s="20"/>
      <c r="W731" s="20"/>
      <c r="X731" s="20"/>
    </row>
    <row r="732">
      <c r="A732" s="20"/>
      <c r="B732" s="20"/>
      <c r="C732" s="20"/>
      <c r="D732" s="70"/>
      <c r="E732" s="70"/>
      <c r="F732" s="70"/>
      <c r="G732" s="20"/>
      <c r="H732" s="20"/>
      <c r="I732" s="70"/>
      <c r="J732" s="70"/>
      <c r="K732" s="70"/>
      <c r="L732" s="70"/>
      <c r="M732" s="20"/>
      <c r="N732" s="20"/>
      <c r="O732" s="20"/>
      <c r="P732" s="20"/>
      <c r="Q732" s="20"/>
      <c r="R732" s="20"/>
      <c r="S732" s="20"/>
      <c r="T732" s="20"/>
      <c r="U732" s="20"/>
      <c r="V732" s="20"/>
      <c r="W732" s="20"/>
      <c r="X732" s="20"/>
    </row>
    <row r="733">
      <c r="A733" s="20"/>
      <c r="B733" s="20"/>
      <c r="C733" s="20"/>
      <c r="D733" s="70"/>
      <c r="E733" s="70"/>
      <c r="F733" s="70"/>
      <c r="G733" s="20"/>
      <c r="H733" s="20"/>
      <c r="I733" s="70"/>
      <c r="J733" s="70"/>
      <c r="K733" s="70"/>
      <c r="L733" s="70"/>
      <c r="M733" s="20"/>
      <c r="N733" s="20"/>
      <c r="O733" s="20"/>
      <c r="P733" s="20"/>
      <c r="Q733" s="20"/>
      <c r="R733" s="20"/>
      <c r="S733" s="20"/>
      <c r="T733" s="20"/>
      <c r="U733" s="20"/>
      <c r="V733" s="20"/>
      <c r="W733" s="20"/>
      <c r="X733" s="20"/>
    </row>
    <row r="734">
      <c r="A734" s="20"/>
      <c r="B734" s="20"/>
      <c r="C734" s="20"/>
      <c r="D734" s="70"/>
      <c r="E734" s="70"/>
      <c r="F734" s="70"/>
      <c r="G734" s="20"/>
      <c r="H734" s="20"/>
      <c r="I734" s="70"/>
      <c r="J734" s="70"/>
      <c r="K734" s="70"/>
      <c r="L734" s="70"/>
      <c r="M734" s="20"/>
      <c r="N734" s="20"/>
      <c r="O734" s="20"/>
      <c r="P734" s="20"/>
      <c r="Q734" s="20"/>
      <c r="R734" s="20"/>
      <c r="S734" s="20"/>
      <c r="T734" s="20"/>
      <c r="U734" s="20"/>
      <c r="V734" s="20"/>
      <c r="W734" s="20"/>
      <c r="X734" s="20"/>
    </row>
    <row r="735">
      <c r="A735" s="20"/>
      <c r="B735" s="20"/>
      <c r="C735" s="20"/>
      <c r="D735" s="70"/>
      <c r="E735" s="70"/>
      <c r="F735" s="70"/>
      <c r="G735" s="20"/>
      <c r="H735" s="20"/>
      <c r="I735" s="70"/>
      <c r="J735" s="70"/>
      <c r="K735" s="70"/>
      <c r="L735" s="70"/>
      <c r="M735" s="20"/>
      <c r="N735" s="20"/>
      <c r="O735" s="20"/>
      <c r="P735" s="20"/>
      <c r="Q735" s="20"/>
      <c r="R735" s="20"/>
      <c r="S735" s="20"/>
      <c r="T735" s="20"/>
      <c r="U735" s="20"/>
      <c r="V735" s="20"/>
      <c r="W735" s="20"/>
      <c r="X735" s="20"/>
    </row>
    <row r="736">
      <c r="A736" s="20"/>
      <c r="B736" s="20"/>
      <c r="C736" s="20"/>
      <c r="D736" s="70"/>
      <c r="E736" s="70"/>
      <c r="F736" s="70"/>
      <c r="G736" s="20"/>
      <c r="H736" s="20"/>
      <c r="I736" s="70"/>
      <c r="J736" s="70"/>
      <c r="K736" s="70"/>
      <c r="L736" s="70"/>
      <c r="M736" s="20"/>
      <c r="N736" s="20"/>
      <c r="O736" s="20"/>
      <c r="P736" s="20"/>
      <c r="Q736" s="20"/>
      <c r="R736" s="20"/>
      <c r="S736" s="20"/>
      <c r="T736" s="20"/>
      <c r="U736" s="20"/>
      <c r="V736" s="20"/>
      <c r="W736" s="20"/>
      <c r="X736" s="20"/>
    </row>
    <row r="737">
      <c r="A737" s="20"/>
      <c r="B737" s="20"/>
      <c r="C737" s="20"/>
      <c r="D737" s="70"/>
      <c r="E737" s="70"/>
      <c r="F737" s="70"/>
      <c r="G737" s="20"/>
      <c r="H737" s="20"/>
      <c r="I737" s="70"/>
      <c r="J737" s="70"/>
      <c r="K737" s="70"/>
      <c r="L737" s="70"/>
      <c r="M737" s="20"/>
      <c r="N737" s="20"/>
      <c r="O737" s="20"/>
      <c r="P737" s="20"/>
      <c r="Q737" s="20"/>
      <c r="R737" s="20"/>
      <c r="S737" s="20"/>
      <c r="T737" s="20"/>
      <c r="U737" s="20"/>
      <c r="V737" s="20"/>
      <c r="W737" s="20"/>
      <c r="X737" s="20"/>
    </row>
    <row r="738">
      <c r="A738" s="20"/>
      <c r="B738" s="20"/>
      <c r="C738" s="20"/>
      <c r="D738" s="70"/>
      <c r="E738" s="70"/>
      <c r="F738" s="70"/>
      <c r="G738" s="20"/>
      <c r="H738" s="20"/>
      <c r="I738" s="70"/>
      <c r="J738" s="70"/>
      <c r="K738" s="70"/>
      <c r="L738" s="70"/>
      <c r="M738" s="20"/>
      <c r="N738" s="20"/>
      <c r="O738" s="20"/>
      <c r="P738" s="20"/>
      <c r="Q738" s="20"/>
      <c r="R738" s="20"/>
      <c r="S738" s="20"/>
      <c r="T738" s="20"/>
      <c r="U738" s="20"/>
      <c r="V738" s="20"/>
      <c r="W738" s="20"/>
      <c r="X738" s="20"/>
    </row>
    <row r="739">
      <c r="A739" s="20"/>
      <c r="B739" s="20"/>
      <c r="C739" s="20"/>
      <c r="D739" s="70"/>
      <c r="E739" s="70"/>
      <c r="F739" s="70"/>
      <c r="G739" s="20"/>
      <c r="H739" s="20"/>
      <c r="I739" s="70"/>
      <c r="J739" s="70"/>
      <c r="K739" s="70"/>
      <c r="L739" s="70"/>
      <c r="M739" s="20"/>
      <c r="N739" s="20"/>
      <c r="O739" s="20"/>
      <c r="P739" s="20"/>
      <c r="Q739" s="20"/>
      <c r="R739" s="20"/>
      <c r="S739" s="20"/>
      <c r="T739" s="20"/>
      <c r="U739" s="20"/>
      <c r="V739" s="20"/>
      <c r="W739" s="20"/>
      <c r="X739" s="20"/>
    </row>
    <row r="740">
      <c r="A740" s="20"/>
      <c r="B740" s="20"/>
      <c r="C740" s="20"/>
      <c r="D740" s="70"/>
      <c r="E740" s="70"/>
      <c r="F740" s="70"/>
      <c r="G740" s="20"/>
      <c r="H740" s="20"/>
      <c r="I740" s="70"/>
      <c r="J740" s="70"/>
      <c r="K740" s="70"/>
      <c r="L740" s="70"/>
      <c r="M740" s="20"/>
      <c r="N740" s="20"/>
      <c r="O740" s="20"/>
      <c r="P740" s="20"/>
      <c r="Q740" s="20"/>
      <c r="R740" s="20"/>
      <c r="S740" s="20"/>
      <c r="T740" s="20"/>
      <c r="U740" s="20"/>
      <c r="V740" s="20"/>
      <c r="W740" s="20"/>
      <c r="X740" s="20"/>
    </row>
    <row r="741">
      <c r="A741" s="20"/>
      <c r="B741" s="20"/>
      <c r="C741" s="20"/>
      <c r="D741" s="70"/>
      <c r="E741" s="70"/>
      <c r="F741" s="70"/>
      <c r="G741" s="20"/>
      <c r="H741" s="20"/>
      <c r="I741" s="70"/>
      <c r="J741" s="70"/>
      <c r="K741" s="70"/>
      <c r="L741" s="70"/>
      <c r="M741" s="20"/>
      <c r="N741" s="20"/>
      <c r="O741" s="20"/>
      <c r="P741" s="20"/>
      <c r="Q741" s="20"/>
      <c r="R741" s="20"/>
      <c r="S741" s="20"/>
      <c r="T741" s="20"/>
      <c r="U741" s="20"/>
      <c r="V741" s="20"/>
      <c r="W741" s="20"/>
      <c r="X741" s="20"/>
    </row>
    <row r="742">
      <c r="A742" s="20"/>
      <c r="B742" s="20"/>
      <c r="C742" s="20"/>
      <c r="D742" s="70"/>
      <c r="E742" s="70"/>
      <c r="F742" s="70"/>
      <c r="G742" s="20"/>
      <c r="H742" s="20"/>
      <c r="I742" s="70"/>
      <c r="J742" s="70"/>
      <c r="K742" s="70"/>
      <c r="L742" s="70"/>
      <c r="M742" s="20"/>
      <c r="N742" s="20"/>
      <c r="O742" s="20"/>
      <c r="P742" s="20"/>
      <c r="Q742" s="20"/>
      <c r="R742" s="20"/>
      <c r="S742" s="20"/>
      <c r="T742" s="20"/>
      <c r="U742" s="20"/>
      <c r="V742" s="20"/>
      <c r="W742" s="20"/>
      <c r="X742" s="20"/>
    </row>
    <row r="743">
      <c r="A743" s="20"/>
      <c r="B743" s="20"/>
      <c r="C743" s="20"/>
      <c r="D743" s="70"/>
      <c r="E743" s="70"/>
      <c r="F743" s="70"/>
      <c r="G743" s="20"/>
      <c r="H743" s="20"/>
      <c r="I743" s="70"/>
      <c r="J743" s="70"/>
      <c r="K743" s="70"/>
      <c r="L743" s="70"/>
      <c r="M743" s="20"/>
      <c r="N743" s="20"/>
      <c r="O743" s="20"/>
      <c r="P743" s="20"/>
      <c r="Q743" s="20"/>
      <c r="R743" s="20"/>
      <c r="S743" s="20"/>
      <c r="T743" s="20"/>
      <c r="U743" s="20"/>
      <c r="V743" s="20"/>
      <c r="W743" s="20"/>
      <c r="X743" s="20"/>
    </row>
    <row r="744">
      <c r="A744" s="20"/>
      <c r="B744" s="20"/>
      <c r="C744" s="20"/>
      <c r="D744" s="70"/>
      <c r="E744" s="70"/>
      <c r="F744" s="70"/>
      <c r="G744" s="20"/>
      <c r="H744" s="20"/>
      <c r="I744" s="70"/>
      <c r="J744" s="70"/>
      <c r="K744" s="70"/>
      <c r="L744" s="70"/>
      <c r="M744" s="20"/>
      <c r="N744" s="20"/>
      <c r="O744" s="20"/>
      <c r="P744" s="20"/>
      <c r="Q744" s="20"/>
      <c r="R744" s="20"/>
      <c r="S744" s="20"/>
      <c r="T744" s="20"/>
      <c r="U744" s="20"/>
      <c r="V744" s="20"/>
      <c r="W744" s="20"/>
      <c r="X744" s="20"/>
    </row>
    <row r="745">
      <c r="A745" s="20"/>
      <c r="B745" s="20"/>
      <c r="C745" s="20"/>
      <c r="D745" s="70"/>
      <c r="E745" s="70"/>
      <c r="F745" s="70"/>
      <c r="G745" s="20"/>
      <c r="H745" s="20"/>
      <c r="I745" s="70"/>
      <c r="J745" s="70"/>
      <c r="K745" s="70"/>
      <c r="L745" s="70"/>
      <c r="M745" s="20"/>
      <c r="N745" s="20"/>
      <c r="O745" s="20"/>
      <c r="P745" s="20"/>
      <c r="Q745" s="20"/>
      <c r="R745" s="20"/>
      <c r="S745" s="20"/>
      <c r="T745" s="20"/>
      <c r="U745" s="20"/>
      <c r="V745" s="20"/>
      <c r="W745" s="20"/>
      <c r="X745" s="20"/>
    </row>
    <row r="746">
      <c r="A746" s="20"/>
      <c r="B746" s="20"/>
      <c r="C746" s="20"/>
      <c r="D746" s="70"/>
      <c r="E746" s="70"/>
      <c r="F746" s="70"/>
      <c r="G746" s="20"/>
      <c r="H746" s="20"/>
      <c r="I746" s="70"/>
      <c r="J746" s="70"/>
      <c r="K746" s="70"/>
      <c r="L746" s="70"/>
      <c r="M746" s="20"/>
      <c r="N746" s="20"/>
      <c r="O746" s="20"/>
      <c r="P746" s="20"/>
      <c r="Q746" s="20"/>
      <c r="R746" s="20"/>
      <c r="S746" s="20"/>
      <c r="T746" s="20"/>
      <c r="U746" s="20"/>
      <c r="V746" s="20"/>
      <c r="W746" s="20"/>
      <c r="X746" s="20"/>
    </row>
    <row r="747">
      <c r="A747" s="20"/>
      <c r="B747" s="20"/>
      <c r="C747" s="20"/>
      <c r="D747" s="70"/>
      <c r="E747" s="70"/>
      <c r="F747" s="70"/>
      <c r="G747" s="20"/>
      <c r="H747" s="20"/>
      <c r="I747" s="70"/>
      <c r="J747" s="70"/>
      <c r="K747" s="70"/>
      <c r="L747" s="70"/>
      <c r="M747" s="20"/>
      <c r="N747" s="20"/>
      <c r="O747" s="20"/>
      <c r="P747" s="20"/>
      <c r="Q747" s="20"/>
      <c r="R747" s="20"/>
      <c r="S747" s="20"/>
      <c r="T747" s="20"/>
      <c r="U747" s="20"/>
      <c r="V747" s="20"/>
      <c r="W747" s="20"/>
      <c r="X747" s="20"/>
    </row>
    <row r="748">
      <c r="A748" s="20"/>
      <c r="B748" s="20"/>
      <c r="C748" s="20"/>
      <c r="D748" s="70"/>
      <c r="E748" s="70"/>
      <c r="F748" s="70"/>
      <c r="G748" s="20"/>
      <c r="H748" s="20"/>
      <c r="I748" s="70"/>
      <c r="J748" s="70"/>
      <c r="K748" s="70"/>
      <c r="L748" s="70"/>
      <c r="M748" s="20"/>
      <c r="N748" s="20"/>
      <c r="O748" s="20"/>
      <c r="P748" s="20"/>
      <c r="Q748" s="20"/>
      <c r="R748" s="20"/>
      <c r="S748" s="20"/>
      <c r="T748" s="20"/>
      <c r="U748" s="20"/>
      <c r="V748" s="20"/>
      <c r="W748" s="20"/>
      <c r="X748" s="20"/>
    </row>
    <row r="749">
      <c r="A749" s="20"/>
      <c r="B749" s="20"/>
      <c r="C749" s="20"/>
      <c r="D749" s="70"/>
      <c r="E749" s="70"/>
      <c r="F749" s="70"/>
      <c r="G749" s="20"/>
      <c r="H749" s="20"/>
      <c r="I749" s="70"/>
      <c r="J749" s="70"/>
      <c r="K749" s="70"/>
      <c r="L749" s="70"/>
      <c r="M749" s="20"/>
      <c r="N749" s="20"/>
      <c r="O749" s="20"/>
      <c r="P749" s="20"/>
      <c r="Q749" s="20"/>
      <c r="R749" s="20"/>
      <c r="S749" s="20"/>
      <c r="T749" s="20"/>
      <c r="U749" s="20"/>
      <c r="V749" s="20"/>
      <c r="W749" s="20"/>
      <c r="X749" s="20"/>
    </row>
    <row r="750">
      <c r="A750" s="20"/>
      <c r="B750" s="20"/>
      <c r="C750" s="20"/>
      <c r="D750" s="70"/>
      <c r="E750" s="70"/>
      <c r="F750" s="70"/>
      <c r="G750" s="20"/>
      <c r="H750" s="20"/>
      <c r="I750" s="70"/>
      <c r="J750" s="70"/>
      <c r="K750" s="70"/>
      <c r="L750" s="70"/>
      <c r="M750" s="20"/>
      <c r="N750" s="20"/>
      <c r="O750" s="20"/>
      <c r="P750" s="20"/>
      <c r="Q750" s="20"/>
      <c r="R750" s="20"/>
      <c r="S750" s="20"/>
      <c r="T750" s="20"/>
      <c r="U750" s="20"/>
      <c r="V750" s="20"/>
      <c r="W750" s="20"/>
      <c r="X750" s="20"/>
    </row>
    <row r="751">
      <c r="A751" s="20"/>
      <c r="B751" s="20"/>
      <c r="C751" s="20"/>
      <c r="D751" s="70"/>
      <c r="E751" s="70"/>
      <c r="F751" s="70"/>
      <c r="G751" s="20"/>
      <c r="H751" s="20"/>
      <c r="I751" s="70"/>
      <c r="J751" s="70"/>
      <c r="K751" s="70"/>
      <c r="L751" s="70"/>
      <c r="M751" s="20"/>
      <c r="N751" s="20"/>
      <c r="O751" s="20"/>
      <c r="P751" s="20"/>
      <c r="Q751" s="20"/>
      <c r="R751" s="20"/>
      <c r="S751" s="20"/>
      <c r="T751" s="20"/>
      <c r="U751" s="20"/>
      <c r="V751" s="20"/>
      <c r="W751" s="20"/>
      <c r="X751" s="20"/>
    </row>
    <row r="752">
      <c r="A752" s="20"/>
      <c r="B752" s="20"/>
      <c r="C752" s="20"/>
      <c r="D752" s="70"/>
      <c r="E752" s="70"/>
      <c r="F752" s="70"/>
      <c r="G752" s="20"/>
      <c r="H752" s="20"/>
      <c r="I752" s="70"/>
      <c r="J752" s="70"/>
      <c r="K752" s="70"/>
      <c r="L752" s="70"/>
      <c r="M752" s="20"/>
      <c r="N752" s="20"/>
      <c r="O752" s="20"/>
      <c r="P752" s="20"/>
      <c r="Q752" s="20"/>
      <c r="R752" s="20"/>
      <c r="S752" s="20"/>
      <c r="T752" s="20"/>
      <c r="U752" s="20"/>
      <c r="V752" s="20"/>
      <c r="W752" s="20"/>
      <c r="X752" s="20"/>
    </row>
    <row r="753">
      <c r="A753" s="20"/>
      <c r="B753" s="20"/>
      <c r="C753" s="20"/>
      <c r="D753" s="70"/>
      <c r="E753" s="70"/>
      <c r="F753" s="70"/>
      <c r="G753" s="20"/>
      <c r="H753" s="20"/>
      <c r="I753" s="70"/>
      <c r="J753" s="70"/>
      <c r="K753" s="70"/>
      <c r="L753" s="70"/>
      <c r="M753" s="20"/>
      <c r="N753" s="20"/>
      <c r="O753" s="20"/>
      <c r="P753" s="20"/>
      <c r="Q753" s="20"/>
      <c r="R753" s="20"/>
      <c r="S753" s="20"/>
      <c r="T753" s="20"/>
      <c r="U753" s="20"/>
      <c r="V753" s="20"/>
      <c r="W753" s="20"/>
      <c r="X753" s="20"/>
    </row>
    <row r="754">
      <c r="A754" s="20"/>
      <c r="B754" s="20"/>
      <c r="C754" s="20"/>
      <c r="D754" s="70"/>
      <c r="E754" s="70"/>
      <c r="F754" s="70"/>
      <c r="G754" s="20"/>
      <c r="H754" s="20"/>
      <c r="I754" s="70"/>
      <c r="J754" s="70"/>
      <c r="K754" s="70"/>
      <c r="L754" s="70"/>
      <c r="M754" s="20"/>
      <c r="N754" s="20"/>
      <c r="O754" s="20"/>
      <c r="P754" s="20"/>
      <c r="Q754" s="20"/>
      <c r="R754" s="20"/>
      <c r="S754" s="20"/>
      <c r="T754" s="20"/>
      <c r="U754" s="20"/>
      <c r="V754" s="20"/>
      <c r="W754" s="20"/>
      <c r="X754" s="20"/>
    </row>
    <row r="755">
      <c r="A755" s="20"/>
      <c r="B755" s="20"/>
      <c r="C755" s="20"/>
      <c r="D755" s="70"/>
      <c r="E755" s="70"/>
      <c r="F755" s="70"/>
      <c r="G755" s="20"/>
      <c r="H755" s="20"/>
      <c r="I755" s="70"/>
      <c r="J755" s="70"/>
      <c r="K755" s="70"/>
      <c r="L755" s="70"/>
      <c r="M755" s="20"/>
      <c r="N755" s="20"/>
      <c r="O755" s="20"/>
      <c r="P755" s="20"/>
      <c r="Q755" s="20"/>
      <c r="R755" s="20"/>
      <c r="S755" s="20"/>
      <c r="T755" s="20"/>
      <c r="U755" s="20"/>
      <c r="V755" s="20"/>
      <c r="W755" s="20"/>
      <c r="X755" s="20"/>
    </row>
    <row r="756">
      <c r="A756" s="20"/>
      <c r="B756" s="20"/>
      <c r="C756" s="20"/>
      <c r="D756" s="70"/>
      <c r="E756" s="70"/>
      <c r="F756" s="70"/>
      <c r="G756" s="20"/>
      <c r="H756" s="20"/>
      <c r="I756" s="70"/>
      <c r="J756" s="70"/>
      <c r="K756" s="70"/>
      <c r="L756" s="70"/>
      <c r="M756" s="20"/>
      <c r="N756" s="20"/>
      <c r="O756" s="20"/>
      <c r="P756" s="20"/>
      <c r="Q756" s="20"/>
      <c r="R756" s="20"/>
      <c r="S756" s="20"/>
      <c r="T756" s="20"/>
      <c r="U756" s="20"/>
      <c r="V756" s="20"/>
      <c r="W756" s="20"/>
      <c r="X756" s="20"/>
    </row>
    <row r="757">
      <c r="A757" s="20"/>
      <c r="B757" s="20"/>
      <c r="C757" s="20"/>
      <c r="D757" s="70"/>
      <c r="E757" s="70"/>
      <c r="F757" s="70"/>
      <c r="G757" s="20"/>
      <c r="H757" s="20"/>
      <c r="I757" s="70"/>
      <c r="J757" s="70"/>
      <c r="K757" s="70"/>
      <c r="L757" s="70"/>
      <c r="M757" s="20"/>
      <c r="N757" s="20"/>
      <c r="O757" s="20"/>
      <c r="P757" s="20"/>
      <c r="Q757" s="20"/>
      <c r="R757" s="20"/>
      <c r="S757" s="20"/>
      <c r="T757" s="20"/>
      <c r="U757" s="20"/>
      <c r="V757" s="20"/>
      <c r="W757" s="20"/>
      <c r="X757" s="20"/>
    </row>
    <row r="758">
      <c r="A758" s="20"/>
      <c r="B758" s="20"/>
      <c r="C758" s="20"/>
      <c r="D758" s="70"/>
      <c r="E758" s="70"/>
      <c r="F758" s="70"/>
      <c r="G758" s="20"/>
      <c r="H758" s="20"/>
      <c r="I758" s="70"/>
      <c r="J758" s="70"/>
      <c r="K758" s="70"/>
      <c r="L758" s="70"/>
      <c r="M758" s="20"/>
      <c r="N758" s="20"/>
      <c r="O758" s="20"/>
      <c r="P758" s="20"/>
      <c r="Q758" s="20"/>
      <c r="R758" s="20"/>
      <c r="S758" s="20"/>
      <c r="T758" s="20"/>
      <c r="U758" s="20"/>
      <c r="V758" s="20"/>
      <c r="W758" s="20"/>
      <c r="X758" s="20"/>
    </row>
    <row r="759">
      <c r="A759" s="20"/>
      <c r="B759" s="20"/>
      <c r="C759" s="20"/>
      <c r="D759" s="70"/>
      <c r="E759" s="70"/>
      <c r="F759" s="70"/>
      <c r="G759" s="20"/>
      <c r="H759" s="20"/>
      <c r="I759" s="70"/>
      <c r="J759" s="70"/>
      <c r="K759" s="70"/>
      <c r="L759" s="70"/>
      <c r="M759" s="20"/>
      <c r="N759" s="20"/>
      <c r="O759" s="20"/>
      <c r="P759" s="20"/>
      <c r="Q759" s="20"/>
      <c r="R759" s="20"/>
      <c r="S759" s="20"/>
      <c r="T759" s="20"/>
      <c r="U759" s="20"/>
      <c r="V759" s="20"/>
      <c r="W759" s="20"/>
      <c r="X759" s="20"/>
    </row>
    <row r="760">
      <c r="A760" s="20"/>
      <c r="B760" s="20"/>
      <c r="C760" s="20"/>
      <c r="D760" s="70"/>
      <c r="E760" s="70"/>
      <c r="F760" s="70"/>
      <c r="G760" s="20"/>
      <c r="H760" s="20"/>
      <c r="I760" s="70"/>
      <c r="J760" s="70"/>
      <c r="K760" s="70"/>
      <c r="L760" s="70"/>
      <c r="M760" s="20"/>
      <c r="N760" s="20"/>
      <c r="O760" s="20"/>
      <c r="P760" s="20"/>
      <c r="Q760" s="20"/>
      <c r="R760" s="20"/>
      <c r="S760" s="20"/>
      <c r="T760" s="20"/>
      <c r="U760" s="20"/>
      <c r="V760" s="20"/>
      <c r="W760" s="20"/>
      <c r="X760" s="20"/>
    </row>
    <row r="761">
      <c r="A761" s="20"/>
      <c r="B761" s="20"/>
      <c r="C761" s="20"/>
      <c r="D761" s="70"/>
      <c r="E761" s="70"/>
      <c r="F761" s="70"/>
      <c r="G761" s="20"/>
      <c r="H761" s="20"/>
      <c r="I761" s="70"/>
      <c r="J761" s="70"/>
      <c r="K761" s="70"/>
      <c r="L761" s="70"/>
      <c r="M761" s="20"/>
      <c r="N761" s="20"/>
      <c r="O761" s="20"/>
      <c r="P761" s="20"/>
      <c r="Q761" s="20"/>
      <c r="R761" s="20"/>
      <c r="S761" s="20"/>
      <c r="T761" s="20"/>
      <c r="U761" s="20"/>
      <c r="V761" s="20"/>
      <c r="W761" s="20"/>
      <c r="X761" s="20"/>
    </row>
    <row r="762">
      <c r="A762" s="20"/>
      <c r="B762" s="20"/>
      <c r="C762" s="20"/>
      <c r="D762" s="70"/>
      <c r="E762" s="70"/>
      <c r="F762" s="70"/>
      <c r="G762" s="20"/>
      <c r="H762" s="20"/>
      <c r="I762" s="70"/>
      <c r="J762" s="70"/>
      <c r="K762" s="70"/>
      <c r="L762" s="70"/>
      <c r="M762" s="20"/>
      <c r="N762" s="20"/>
      <c r="O762" s="20"/>
      <c r="P762" s="20"/>
      <c r="Q762" s="20"/>
      <c r="R762" s="20"/>
      <c r="S762" s="20"/>
      <c r="T762" s="20"/>
      <c r="U762" s="20"/>
      <c r="V762" s="20"/>
      <c r="W762" s="20"/>
      <c r="X762" s="20"/>
    </row>
    <row r="763">
      <c r="A763" s="20"/>
      <c r="B763" s="20"/>
      <c r="C763" s="20"/>
      <c r="D763" s="70"/>
      <c r="E763" s="70"/>
      <c r="F763" s="70"/>
      <c r="G763" s="20"/>
      <c r="H763" s="20"/>
      <c r="I763" s="70"/>
      <c r="J763" s="70"/>
      <c r="K763" s="70"/>
      <c r="L763" s="70"/>
      <c r="M763" s="20"/>
      <c r="N763" s="20"/>
      <c r="O763" s="20"/>
      <c r="P763" s="20"/>
      <c r="Q763" s="20"/>
      <c r="R763" s="20"/>
      <c r="S763" s="20"/>
      <c r="T763" s="20"/>
      <c r="U763" s="20"/>
      <c r="V763" s="20"/>
      <c r="W763" s="20"/>
      <c r="X763" s="20"/>
    </row>
    <row r="764">
      <c r="A764" s="20"/>
      <c r="B764" s="20"/>
      <c r="C764" s="20"/>
      <c r="D764" s="70"/>
      <c r="E764" s="70"/>
      <c r="F764" s="70"/>
      <c r="G764" s="20"/>
      <c r="H764" s="20"/>
      <c r="I764" s="70"/>
      <c r="J764" s="70"/>
      <c r="K764" s="70"/>
      <c r="L764" s="70"/>
      <c r="M764" s="20"/>
      <c r="N764" s="20"/>
      <c r="O764" s="20"/>
      <c r="P764" s="20"/>
      <c r="Q764" s="20"/>
      <c r="R764" s="20"/>
      <c r="S764" s="20"/>
      <c r="T764" s="20"/>
      <c r="U764" s="20"/>
      <c r="V764" s="20"/>
      <c r="W764" s="20"/>
      <c r="X764" s="20"/>
    </row>
    <row r="765">
      <c r="A765" s="20"/>
      <c r="B765" s="20"/>
      <c r="C765" s="20"/>
      <c r="D765" s="70"/>
      <c r="E765" s="70"/>
      <c r="F765" s="70"/>
      <c r="G765" s="20"/>
      <c r="H765" s="20"/>
      <c r="I765" s="70"/>
      <c r="J765" s="70"/>
      <c r="K765" s="70"/>
      <c r="L765" s="70"/>
      <c r="M765" s="20"/>
      <c r="N765" s="20"/>
      <c r="O765" s="20"/>
      <c r="P765" s="20"/>
      <c r="Q765" s="20"/>
      <c r="R765" s="20"/>
      <c r="S765" s="20"/>
      <c r="T765" s="20"/>
      <c r="U765" s="20"/>
      <c r="V765" s="20"/>
      <c r="W765" s="20"/>
      <c r="X765" s="20"/>
    </row>
    <row r="766">
      <c r="A766" s="20"/>
      <c r="B766" s="20"/>
      <c r="C766" s="20"/>
      <c r="D766" s="70"/>
      <c r="E766" s="70"/>
      <c r="F766" s="70"/>
      <c r="G766" s="20"/>
      <c r="H766" s="20"/>
      <c r="I766" s="70"/>
      <c r="J766" s="70"/>
      <c r="K766" s="70"/>
      <c r="L766" s="70"/>
      <c r="M766" s="20"/>
      <c r="N766" s="20"/>
      <c r="O766" s="20"/>
      <c r="P766" s="20"/>
      <c r="Q766" s="20"/>
      <c r="R766" s="20"/>
      <c r="S766" s="20"/>
      <c r="T766" s="20"/>
      <c r="U766" s="20"/>
      <c r="V766" s="20"/>
      <c r="W766" s="20"/>
      <c r="X766" s="20"/>
    </row>
    <row r="767">
      <c r="A767" s="20"/>
      <c r="B767" s="20"/>
      <c r="C767" s="20"/>
      <c r="D767" s="70"/>
      <c r="E767" s="70"/>
      <c r="F767" s="70"/>
      <c r="G767" s="20"/>
      <c r="H767" s="20"/>
      <c r="I767" s="70"/>
      <c r="J767" s="70"/>
      <c r="K767" s="70"/>
      <c r="L767" s="70"/>
      <c r="M767" s="20"/>
      <c r="N767" s="20"/>
      <c r="O767" s="20"/>
      <c r="P767" s="20"/>
      <c r="Q767" s="20"/>
      <c r="R767" s="20"/>
      <c r="S767" s="20"/>
      <c r="T767" s="20"/>
      <c r="U767" s="20"/>
      <c r="V767" s="20"/>
      <c r="W767" s="20"/>
      <c r="X767" s="20"/>
    </row>
    <row r="768">
      <c r="A768" s="20"/>
      <c r="B768" s="20"/>
      <c r="C768" s="20"/>
      <c r="D768" s="70"/>
      <c r="E768" s="70"/>
      <c r="F768" s="70"/>
      <c r="G768" s="20"/>
      <c r="H768" s="20"/>
      <c r="I768" s="70"/>
      <c r="J768" s="70"/>
      <c r="K768" s="70"/>
      <c r="L768" s="70"/>
      <c r="M768" s="20"/>
      <c r="N768" s="20"/>
      <c r="O768" s="20"/>
      <c r="P768" s="20"/>
      <c r="Q768" s="20"/>
      <c r="R768" s="20"/>
      <c r="S768" s="20"/>
      <c r="T768" s="20"/>
      <c r="U768" s="20"/>
      <c r="V768" s="20"/>
      <c r="W768" s="20"/>
      <c r="X768" s="20"/>
    </row>
    <row r="769">
      <c r="A769" s="20"/>
      <c r="B769" s="20"/>
      <c r="C769" s="20"/>
      <c r="D769" s="70"/>
      <c r="E769" s="70"/>
      <c r="F769" s="70"/>
      <c r="G769" s="20"/>
      <c r="H769" s="20"/>
      <c r="I769" s="70"/>
      <c r="J769" s="70"/>
      <c r="K769" s="70"/>
      <c r="L769" s="70"/>
      <c r="M769" s="20"/>
      <c r="N769" s="20"/>
      <c r="O769" s="20"/>
      <c r="P769" s="20"/>
      <c r="Q769" s="20"/>
      <c r="R769" s="20"/>
      <c r="S769" s="20"/>
      <c r="T769" s="20"/>
      <c r="U769" s="20"/>
      <c r="V769" s="20"/>
      <c r="W769" s="20"/>
      <c r="X769" s="20"/>
    </row>
    <row r="770">
      <c r="A770" s="20"/>
      <c r="B770" s="20"/>
      <c r="C770" s="20"/>
      <c r="D770" s="70"/>
      <c r="E770" s="70"/>
      <c r="F770" s="70"/>
      <c r="G770" s="20"/>
      <c r="H770" s="20"/>
      <c r="I770" s="70"/>
      <c r="J770" s="70"/>
      <c r="K770" s="70"/>
      <c r="L770" s="70"/>
      <c r="M770" s="20"/>
      <c r="N770" s="20"/>
      <c r="O770" s="20"/>
      <c r="P770" s="20"/>
      <c r="Q770" s="20"/>
      <c r="R770" s="20"/>
      <c r="S770" s="20"/>
      <c r="T770" s="20"/>
      <c r="U770" s="20"/>
      <c r="V770" s="20"/>
      <c r="W770" s="20"/>
      <c r="X770" s="20"/>
    </row>
    <row r="771">
      <c r="A771" s="20"/>
      <c r="B771" s="20"/>
      <c r="C771" s="20"/>
      <c r="D771" s="70"/>
      <c r="E771" s="70"/>
      <c r="F771" s="70"/>
      <c r="G771" s="20"/>
      <c r="H771" s="20"/>
      <c r="I771" s="70"/>
      <c r="J771" s="70"/>
      <c r="K771" s="70"/>
      <c r="L771" s="70"/>
      <c r="M771" s="20"/>
      <c r="N771" s="20"/>
      <c r="O771" s="20"/>
      <c r="P771" s="20"/>
      <c r="Q771" s="20"/>
      <c r="R771" s="20"/>
      <c r="S771" s="20"/>
      <c r="T771" s="20"/>
      <c r="U771" s="20"/>
      <c r="V771" s="20"/>
      <c r="W771" s="20"/>
      <c r="X771" s="20"/>
    </row>
    <row r="772">
      <c r="A772" s="20"/>
      <c r="B772" s="20"/>
      <c r="C772" s="20"/>
      <c r="D772" s="70"/>
      <c r="E772" s="70"/>
      <c r="F772" s="70"/>
      <c r="G772" s="20"/>
      <c r="H772" s="20"/>
      <c r="I772" s="70"/>
      <c r="J772" s="70"/>
      <c r="K772" s="70"/>
      <c r="L772" s="70"/>
      <c r="M772" s="20"/>
      <c r="N772" s="20"/>
      <c r="O772" s="20"/>
      <c r="P772" s="20"/>
      <c r="Q772" s="20"/>
      <c r="R772" s="20"/>
      <c r="S772" s="20"/>
      <c r="T772" s="20"/>
      <c r="U772" s="20"/>
      <c r="V772" s="20"/>
      <c r="W772" s="20"/>
      <c r="X772" s="20"/>
    </row>
    <row r="773">
      <c r="A773" s="20"/>
      <c r="B773" s="20"/>
      <c r="C773" s="20"/>
      <c r="D773" s="70"/>
      <c r="E773" s="70"/>
      <c r="F773" s="70"/>
      <c r="G773" s="20"/>
      <c r="H773" s="20"/>
      <c r="I773" s="70"/>
      <c r="J773" s="70"/>
      <c r="K773" s="70"/>
      <c r="L773" s="70"/>
      <c r="M773" s="20"/>
      <c r="N773" s="20"/>
      <c r="O773" s="20"/>
      <c r="P773" s="20"/>
      <c r="Q773" s="20"/>
      <c r="R773" s="20"/>
      <c r="S773" s="20"/>
      <c r="T773" s="20"/>
      <c r="U773" s="20"/>
      <c r="V773" s="20"/>
      <c r="W773" s="20"/>
      <c r="X773" s="20"/>
    </row>
    <row r="774">
      <c r="A774" s="20"/>
      <c r="B774" s="20"/>
      <c r="C774" s="20"/>
      <c r="D774" s="70"/>
      <c r="E774" s="70"/>
      <c r="F774" s="70"/>
      <c r="G774" s="20"/>
      <c r="H774" s="20"/>
      <c r="I774" s="70"/>
      <c r="J774" s="70"/>
      <c r="K774" s="70"/>
      <c r="L774" s="70"/>
      <c r="M774" s="20"/>
      <c r="N774" s="20"/>
      <c r="O774" s="20"/>
      <c r="P774" s="20"/>
      <c r="Q774" s="20"/>
      <c r="R774" s="20"/>
      <c r="S774" s="20"/>
      <c r="T774" s="20"/>
      <c r="U774" s="20"/>
      <c r="V774" s="20"/>
      <c r="W774" s="20"/>
      <c r="X774" s="20"/>
    </row>
    <row r="775">
      <c r="A775" s="20"/>
      <c r="B775" s="20"/>
      <c r="C775" s="20"/>
      <c r="D775" s="70"/>
      <c r="E775" s="70"/>
      <c r="F775" s="70"/>
      <c r="G775" s="20"/>
      <c r="H775" s="20"/>
      <c r="I775" s="70"/>
      <c r="J775" s="70"/>
      <c r="K775" s="70"/>
      <c r="L775" s="70"/>
      <c r="M775" s="20"/>
      <c r="N775" s="20"/>
      <c r="O775" s="20"/>
      <c r="P775" s="20"/>
      <c r="Q775" s="20"/>
      <c r="R775" s="20"/>
      <c r="S775" s="20"/>
      <c r="T775" s="20"/>
      <c r="U775" s="20"/>
      <c r="V775" s="20"/>
      <c r="W775" s="20"/>
      <c r="X775" s="20"/>
    </row>
    <row r="776">
      <c r="A776" s="20"/>
      <c r="B776" s="20"/>
      <c r="C776" s="20"/>
      <c r="D776" s="70"/>
      <c r="E776" s="70"/>
      <c r="F776" s="70"/>
      <c r="G776" s="20"/>
      <c r="H776" s="20"/>
      <c r="I776" s="70"/>
      <c r="J776" s="70"/>
      <c r="K776" s="70"/>
      <c r="L776" s="70"/>
      <c r="M776" s="20"/>
      <c r="N776" s="20"/>
      <c r="O776" s="20"/>
      <c r="P776" s="20"/>
      <c r="Q776" s="20"/>
      <c r="R776" s="20"/>
      <c r="S776" s="20"/>
      <c r="T776" s="20"/>
      <c r="U776" s="20"/>
      <c r="V776" s="20"/>
      <c r="W776" s="20"/>
      <c r="X776" s="20"/>
    </row>
    <row r="777">
      <c r="A777" s="20"/>
      <c r="B777" s="20"/>
      <c r="C777" s="20"/>
      <c r="D777" s="70"/>
      <c r="E777" s="70"/>
      <c r="F777" s="70"/>
      <c r="G777" s="20"/>
      <c r="H777" s="20"/>
      <c r="I777" s="70"/>
      <c r="J777" s="70"/>
      <c r="K777" s="70"/>
      <c r="L777" s="70"/>
      <c r="M777" s="20"/>
      <c r="N777" s="20"/>
      <c r="O777" s="20"/>
      <c r="P777" s="20"/>
      <c r="Q777" s="20"/>
      <c r="R777" s="20"/>
      <c r="S777" s="20"/>
      <c r="T777" s="20"/>
      <c r="U777" s="20"/>
      <c r="V777" s="20"/>
      <c r="W777" s="20"/>
      <c r="X777" s="20"/>
    </row>
    <row r="778">
      <c r="A778" s="20"/>
      <c r="B778" s="20"/>
      <c r="C778" s="20"/>
      <c r="D778" s="70"/>
      <c r="E778" s="70"/>
      <c r="F778" s="70"/>
      <c r="G778" s="20"/>
      <c r="H778" s="20"/>
      <c r="I778" s="70"/>
      <c r="J778" s="70"/>
      <c r="K778" s="70"/>
      <c r="L778" s="70"/>
      <c r="M778" s="20"/>
      <c r="N778" s="20"/>
      <c r="O778" s="20"/>
      <c r="P778" s="20"/>
      <c r="Q778" s="20"/>
      <c r="R778" s="20"/>
      <c r="S778" s="20"/>
      <c r="T778" s="20"/>
      <c r="U778" s="20"/>
      <c r="V778" s="20"/>
      <c r="W778" s="20"/>
      <c r="X778" s="20"/>
    </row>
    <row r="779">
      <c r="A779" s="20"/>
      <c r="B779" s="20"/>
      <c r="C779" s="20"/>
      <c r="D779" s="70"/>
      <c r="E779" s="70"/>
      <c r="F779" s="70"/>
      <c r="G779" s="20"/>
      <c r="H779" s="20"/>
      <c r="I779" s="70"/>
      <c r="J779" s="70"/>
      <c r="K779" s="70"/>
      <c r="L779" s="70"/>
      <c r="M779" s="20"/>
      <c r="N779" s="20"/>
      <c r="O779" s="20"/>
      <c r="P779" s="20"/>
      <c r="Q779" s="20"/>
      <c r="R779" s="20"/>
      <c r="S779" s="20"/>
      <c r="T779" s="20"/>
      <c r="U779" s="20"/>
      <c r="V779" s="20"/>
      <c r="W779" s="20"/>
      <c r="X779" s="20"/>
    </row>
    <row r="780">
      <c r="A780" s="20"/>
      <c r="B780" s="20"/>
      <c r="C780" s="20"/>
      <c r="D780" s="70"/>
      <c r="E780" s="70"/>
      <c r="F780" s="70"/>
      <c r="G780" s="20"/>
      <c r="H780" s="20"/>
      <c r="I780" s="70"/>
      <c r="J780" s="70"/>
      <c r="K780" s="70"/>
      <c r="L780" s="70"/>
      <c r="M780" s="20"/>
      <c r="N780" s="20"/>
      <c r="O780" s="20"/>
      <c r="P780" s="20"/>
      <c r="Q780" s="20"/>
      <c r="R780" s="20"/>
      <c r="S780" s="20"/>
      <c r="T780" s="20"/>
      <c r="U780" s="20"/>
      <c r="V780" s="20"/>
      <c r="W780" s="20"/>
      <c r="X780" s="20"/>
    </row>
    <row r="781">
      <c r="A781" s="20"/>
      <c r="B781" s="20"/>
      <c r="C781" s="20"/>
      <c r="D781" s="70"/>
      <c r="E781" s="70"/>
      <c r="F781" s="70"/>
      <c r="G781" s="20"/>
      <c r="H781" s="20"/>
      <c r="I781" s="70"/>
      <c r="J781" s="70"/>
      <c r="K781" s="70"/>
      <c r="L781" s="70"/>
      <c r="M781" s="20"/>
      <c r="N781" s="20"/>
      <c r="O781" s="20"/>
      <c r="P781" s="20"/>
      <c r="Q781" s="20"/>
      <c r="R781" s="20"/>
      <c r="S781" s="20"/>
      <c r="T781" s="20"/>
      <c r="U781" s="20"/>
      <c r="V781" s="20"/>
      <c r="W781" s="20"/>
      <c r="X781" s="20"/>
    </row>
    <row r="782">
      <c r="A782" s="20"/>
      <c r="B782" s="20"/>
      <c r="C782" s="20"/>
      <c r="D782" s="70"/>
      <c r="E782" s="70"/>
      <c r="F782" s="70"/>
      <c r="G782" s="20"/>
      <c r="H782" s="20"/>
      <c r="I782" s="70"/>
      <c r="J782" s="70"/>
      <c r="K782" s="70"/>
      <c r="L782" s="70"/>
      <c r="M782" s="20"/>
      <c r="N782" s="20"/>
      <c r="O782" s="20"/>
      <c r="P782" s="20"/>
      <c r="Q782" s="20"/>
      <c r="R782" s="20"/>
      <c r="S782" s="20"/>
      <c r="T782" s="20"/>
      <c r="U782" s="20"/>
      <c r="V782" s="20"/>
      <c r="W782" s="20"/>
      <c r="X782" s="20"/>
    </row>
    <row r="783">
      <c r="A783" s="20"/>
      <c r="B783" s="20"/>
      <c r="C783" s="20"/>
      <c r="D783" s="70"/>
      <c r="E783" s="70"/>
      <c r="F783" s="70"/>
      <c r="G783" s="20"/>
      <c r="H783" s="20"/>
      <c r="I783" s="70"/>
      <c r="J783" s="70"/>
      <c r="K783" s="70"/>
      <c r="L783" s="70"/>
      <c r="M783" s="20"/>
      <c r="N783" s="20"/>
      <c r="O783" s="20"/>
      <c r="P783" s="20"/>
      <c r="Q783" s="20"/>
      <c r="R783" s="20"/>
      <c r="S783" s="20"/>
      <c r="T783" s="20"/>
      <c r="U783" s="20"/>
      <c r="V783" s="20"/>
      <c r="W783" s="20"/>
      <c r="X783" s="20"/>
    </row>
    <row r="784">
      <c r="A784" s="20"/>
      <c r="B784" s="20"/>
      <c r="C784" s="20"/>
      <c r="D784" s="70"/>
      <c r="E784" s="70"/>
      <c r="F784" s="70"/>
      <c r="G784" s="20"/>
      <c r="H784" s="20"/>
      <c r="I784" s="70"/>
      <c r="J784" s="70"/>
      <c r="K784" s="70"/>
      <c r="L784" s="70"/>
      <c r="M784" s="20"/>
      <c r="N784" s="20"/>
      <c r="O784" s="20"/>
      <c r="P784" s="20"/>
      <c r="Q784" s="20"/>
      <c r="R784" s="20"/>
      <c r="S784" s="20"/>
      <c r="T784" s="20"/>
      <c r="U784" s="20"/>
      <c r="V784" s="20"/>
      <c r="W784" s="20"/>
      <c r="X784" s="20"/>
    </row>
    <row r="785">
      <c r="A785" s="20"/>
      <c r="B785" s="20"/>
      <c r="C785" s="20"/>
      <c r="D785" s="70"/>
      <c r="E785" s="70"/>
      <c r="F785" s="70"/>
      <c r="G785" s="20"/>
      <c r="H785" s="20"/>
      <c r="I785" s="70"/>
      <c r="J785" s="70"/>
      <c r="K785" s="70"/>
      <c r="L785" s="70"/>
      <c r="M785" s="20"/>
      <c r="N785" s="20"/>
      <c r="O785" s="20"/>
      <c r="P785" s="20"/>
      <c r="Q785" s="20"/>
      <c r="R785" s="20"/>
      <c r="S785" s="20"/>
      <c r="T785" s="20"/>
      <c r="U785" s="20"/>
      <c r="V785" s="20"/>
      <c r="W785" s="20"/>
      <c r="X785" s="20"/>
    </row>
    <row r="786">
      <c r="A786" s="20"/>
      <c r="B786" s="20"/>
      <c r="C786" s="20"/>
      <c r="D786" s="70"/>
      <c r="E786" s="70"/>
      <c r="F786" s="70"/>
      <c r="G786" s="20"/>
      <c r="H786" s="20"/>
      <c r="I786" s="70"/>
      <c r="J786" s="70"/>
      <c r="K786" s="70"/>
      <c r="L786" s="70"/>
      <c r="M786" s="20"/>
      <c r="N786" s="20"/>
      <c r="O786" s="20"/>
      <c r="P786" s="20"/>
      <c r="Q786" s="20"/>
      <c r="R786" s="20"/>
      <c r="S786" s="20"/>
      <c r="T786" s="20"/>
      <c r="U786" s="20"/>
      <c r="V786" s="20"/>
      <c r="W786" s="20"/>
      <c r="X786" s="20"/>
    </row>
    <row r="787">
      <c r="A787" s="20"/>
      <c r="B787" s="20"/>
      <c r="C787" s="20"/>
      <c r="D787" s="70"/>
      <c r="E787" s="70"/>
      <c r="F787" s="70"/>
      <c r="G787" s="20"/>
      <c r="H787" s="20"/>
      <c r="I787" s="70"/>
      <c r="J787" s="70"/>
      <c r="K787" s="70"/>
      <c r="L787" s="70"/>
      <c r="M787" s="20"/>
      <c r="N787" s="20"/>
      <c r="O787" s="20"/>
      <c r="P787" s="20"/>
      <c r="Q787" s="20"/>
      <c r="R787" s="20"/>
      <c r="S787" s="20"/>
      <c r="T787" s="20"/>
      <c r="U787" s="20"/>
      <c r="V787" s="20"/>
      <c r="W787" s="20"/>
      <c r="X787" s="20"/>
    </row>
    <row r="788">
      <c r="A788" s="20"/>
      <c r="B788" s="20"/>
      <c r="C788" s="20"/>
      <c r="D788" s="70"/>
      <c r="E788" s="70"/>
      <c r="F788" s="70"/>
      <c r="G788" s="20"/>
      <c r="H788" s="20"/>
      <c r="I788" s="70"/>
      <c r="J788" s="70"/>
      <c r="K788" s="70"/>
      <c r="L788" s="70"/>
      <c r="M788" s="20"/>
      <c r="N788" s="20"/>
      <c r="O788" s="20"/>
      <c r="P788" s="20"/>
      <c r="Q788" s="20"/>
      <c r="R788" s="20"/>
      <c r="S788" s="20"/>
      <c r="T788" s="20"/>
      <c r="U788" s="20"/>
      <c r="V788" s="20"/>
      <c r="W788" s="20"/>
      <c r="X788" s="20"/>
    </row>
    <row r="789">
      <c r="A789" s="20"/>
      <c r="B789" s="20"/>
      <c r="C789" s="20"/>
      <c r="D789" s="70"/>
      <c r="E789" s="70"/>
      <c r="F789" s="70"/>
      <c r="G789" s="20"/>
      <c r="H789" s="20"/>
      <c r="I789" s="70"/>
      <c r="J789" s="70"/>
      <c r="K789" s="70"/>
      <c r="L789" s="70"/>
      <c r="M789" s="20"/>
      <c r="N789" s="20"/>
      <c r="O789" s="20"/>
      <c r="P789" s="20"/>
      <c r="Q789" s="20"/>
      <c r="R789" s="20"/>
      <c r="S789" s="20"/>
      <c r="T789" s="20"/>
      <c r="U789" s="20"/>
      <c r="V789" s="20"/>
      <c r="W789" s="20"/>
      <c r="X789" s="20"/>
    </row>
    <row r="790">
      <c r="A790" s="20"/>
      <c r="B790" s="20"/>
      <c r="C790" s="20"/>
      <c r="D790" s="70"/>
      <c r="E790" s="70"/>
      <c r="F790" s="70"/>
      <c r="G790" s="20"/>
      <c r="H790" s="20"/>
      <c r="I790" s="70"/>
      <c r="J790" s="70"/>
      <c r="K790" s="70"/>
      <c r="L790" s="70"/>
      <c r="M790" s="20"/>
      <c r="N790" s="20"/>
      <c r="O790" s="20"/>
      <c r="P790" s="20"/>
      <c r="Q790" s="20"/>
      <c r="R790" s="20"/>
      <c r="S790" s="20"/>
      <c r="T790" s="20"/>
      <c r="U790" s="20"/>
      <c r="V790" s="20"/>
      <c r="W790" s="20"/>
      <c r="X790" s="20"/>
    </row>
    <row r="791">
      <c r="A791" s="20"/>
      <c r="B791" s="20"/>
      <c r="C791" s="20"/>
      <c r="D791" s="70"/>
      <c r="E791" s="70"/>
      <c r="F791" s="70"/>
      <c r="G791" s="20"/>
      <c r="H791" s="20"/>
      <c r="I791" s="70"/>
      <c r="J791" s="70"/>
      <c r="K791" s="70"/>
      <c r="L791" s="70"/>
      <c r="M791" s="20"/>
      <c r="N791" s="20"/>
      <c r="O791" s="20"/>
      <c r="P791" s="20"/>
      <c r="Q791" s="20"/>
      <c r="R791" s="20"/>
      <c r="S791" s="20"/>
      <c r="T791" s="20"/>
      <c r="U791" s="20"/>
      <c r="V791" s="20"/>
      <c r="W791" s="20"/>
      <c r="X791" s="20"/>
    </row>
    <row r="792">
      <c r="A792" s="20"/>
      <c r="B792" s="20"/>
      <c r="C792" s="20"/>
      <c r="D792" s="70"/>
      <c r="E792" s="70"/>
      <c r="F792" s="70"/>
      <c r="G792" s="20"/>
      <c r="H792" s="20"/>
      <c r="I792" s="70"/>
      <c r="J792" s="70"/>
      <c r="K792" s="70"/>
      <c r="L792" s="70"/>
      <c r="M792" s="20"/>
      <c r="N792" s="20"/>
      <c r="O792" s="20"/>
      <c r="P792" s="20"/>
      <c r="Q792" s="20"/>
      <c r="R792" s="20"/>
      <c r="S792" s="20"/>
      <c r="T792" s="20"/>
      <c r="U792" s="20"/>
      <c r="V792" s="20"/>
      <c r="W792" s="20"/>
      <c r="X792" s="20"/>
    </row>
    <row r="793">
      <c r="A793" s="20"/>
      <c r="B793" s="20"/>
      <c r="C793" s="20"/>
      <c r="D793" s="70"/>
      <c r="E793" s="70"/>
      <c r="F793" s="70"/>
      <c r="G793" s="20"/>
      <c r="H793" s="20"/>
      <c r="I793" s="70"/>
      <c r="J793" s="70"/>
      <c r="K793" s="70"/>
      <c r="L793" s="70"/>
      <c r="M793" s="20"/>
      <c r="N793" s="20"/>
      <c r="O793" s="20"/>
      <c r="P793" s="20"/>
      <c r="Q793" s="20"/>
      <c r="R793" s="20"/>
      <c r="S793" s="20"/>
      <c r="T793" s="20"/>
      <c r="U793" s="20"/>
      <c r="V793" s="20"/>
      <c r="W793" s="20"/>
      <c r="X793" s="20"/>
    </row>
    <row r="794">
      <c r="A794" s="20"/>
      <c r="B794" s="20"/>
      <c r="C794" s="20"/>
      <c r="D794" s="70"/>
      <c r="E794" s="70"/>
      <c r="F794" s="70"/>
      <c r="G794" s="20"/>
      <c r="H794" s="20"/>
      <c r="I794" s="70"/>
      <c r="J794" s="70"/>
      <c r="K794" s="70"/>
      <c r="L794" s="70"/>
      <c r="M794" s="20"/>
      <c r="N794" s="20"/>
      <c r="O794" s="20"/>
      <c r="P794" s="20"/>
      <c r="Q794" s="20"/>
      <c r="R794" s="20"/>
      <c r="S794" s="20"/>
      <c r="T794" s="20"/>
      <c r="U794" s="20"/>
      <c r="V794" s="20"/>
      <c r="W794" s="20"/>
      <c r="X794" s="20"/>
    </row>
    <row r="795">
      <c r="A795" s="20"/>
      <c r="B795" s="20"/>
      <c r="C795" s="20"/>
      <c r="D795" s="70"/>
      <c r="E795" s="70"/>
      <c r="F795" s="70"/>
      <c r="G795" s="20"/>
      <c r="H795" s="20"/>
      <c r="I795" s="70"/>
      <c r="J795" s="70"/>
      <c r="K795" s="70"/>
      <c r="L795" s="70"/>
      <c r="M795" s="20"/>
      <c r="N795" s="20"/>
      <c r="O795" s="20"/>
      <c r="P795" s="20"/>
      <c r="Q795" s="20"/>
      <c r="R795" s="20"/>
      <c r="S795" s="20"/>
      <c r="T795" s="20"/>
      <c r="U795" s="20"/>
      <c r="V795" s="20"/>
      <c r="W795" s="20"/>
      <c r="X795" s="20"/>
    </row>
    <row r="796">
      <c r="A796" s="20"/>
      <c r="B796" s="20"/>
      <c r="C796" s="20"/>
      <c r="D796" s="70"/>
      <c r="E796" s="70"/>
      <c r="F796" s="70"/>
      <c r="G796" s="20"/>
      <c r="H796" s="20"/>
      <c r="I796" s="70"/>
      <c r="J796" s="70"/>
      <c r="K796" s="70"/>
      <c r="L796" s="70"/>
      <c r="M796" s="20"/>
      <c r="N796" s="20"/>
      <c r="O796" s="20"/>
      <c r="P796" s="20"/>
      <c r="Q796" s="20"/>
      <c r="R796" s="20"/>
      <c r="S796" s="20"/>
      <c r="T796" s="20"/>
      <c r="U796" s="20"/>
      <c r="V796" s="20"/>
      <c r="W796" s="20"/>
      <c r="X796" s="20"/>
    </row>
    <row r="797">
      <c r="A797" s="20"/>
      <c r="B797" s="20"/>
      <c r="C797" s="20"/>
      <c r="D797" s="70"/>
      <c r="E797" s="70"/>
      <c r="F797" s="70"/>
      <c r="G797" s="20"/>
      <c r="H797" s="20"/>
      <c r="I797" s="70"/>
      <c r="J797" s="70"/>
      <c r="K797" s="70"/>
      <c r="L797" s="70"/>
      <c r="M797" s="20"/>
      <c r="N797" s="20"/>
      <c r="O797" s="20"/>
      <c r="P797" s="20"/>
      <c r="Q797" s="20"/>
      <c r="R797" s="20"/>
      <c r="S797" s="20"/>
      <c r="T797" s="20"/>
      <c r="U797" s="20"/>
      <c r="V797" s="20"/>
      <c r="W797" s="20"/>
      <c r="X797" s="20"/>
    </row>
    <row r="798">
      <c r="A798" s="20"/>
      <c r="B798" s="20"/>
      <c r="C798" s="20"/>
      <c r="D798" s="70"/>
      <c r="E798" s="70"/>
      <c r="F798" s="70"/>
      <c r="G798" s="20"/>
      <c r="H798" s="20"/>
      <c r="I798" s="70"/>
      <c r="J798" s="70"/>
      <c r="K798" s="70"/>
      <c r="L798" s="70"/>
      <c r="M798" s="20"/>
      <c r="N798" s="20"/>
      <c r="O798" s="20"/>
      <c r="P798" s="20"/>
      <c r="Q798" s="20"/>
      <c r="R798" s="20"/>
      <c r="S798" s="20"/>
      <c r="T798" s="20"/>
      <c r="U798" s="20"/>
      <c r="V798" s="20"/>
      <c r="W798" s="20"/>
      <c r="X798" s="20"/>
    </row>
    <row r="799">
      <c r="A799" s="20"/>
      <c r="B799" s="20"/>
      <c r="C799" s="20"/>
      <c r="D799" s="70"/>
      <c r="E799" s="70"/>
      <c r="F799" s="70"/>
      <c r="G799" s="20"/>
      <c r="H799" s="20"/>
      <c r="I799" s="70"/>
      <c r="J799" s="70"/>
      <c r="K799" s="70"/>
      <c r="L799" s="70"/>
      <c r="M799" s="20"/>
      <c r="N799" s="20"/>
      <c r="O799" s="20"/>
      <c r="P799" s="20"/>
      <c r="Q799" s="20"/>
      <c r="R799" s="20"/>
      <c r="S799" s="20"/>
      <c r="T799" s="20"/>
      <c r="U799" s="20"/>
      <c r="V799" s="20"/>
      <c r="W799" s="20"/>
      <c r="X799" s="20"/>
    </row>
    <row r="800">
      <c r="A800" s="20"/>
      <c r="B800" s="20"/>
      <c r="C800" s="20"/>
      <c r="D800" s="70"/>
      <c r="E800" s="70"/>
      <c r="F800" s="70"/>
      <c r="G800" s="20"/>
      <c r="H800" s="20"/>
      <c r="I800" s="70"/>
      <c r="J800" s="70"/>
      <c r="K800" s="70"/>
      <c r="L800" s="70"/>
      <c r="M800" s="20"/>
      <c r="N800" s="20"/>
      <c r="O800" s="20"/>
      <c r="P800" s="20"/>
      <c r="Q800" s="20"/>
      <c r="R800" s="20"/>
      <c r="S800" s="20"/>
      <c r="T800" s="20"/>
      <c r="U800" s="20"/>
      <c r="V800" s="20"/>
      <c r="W800" s="20"/>
      <c r="X800" s="20"/>
    </row>
    <row r="801">
      <c r="A801" s="20"/>
      <c r="B801" s="20"/>
      <c r="C801" s="20"/>
      <c r="D801" s="70"/>
      <c r="E801" s="70"/>
      <c r="F801" s="70"/>
      <c r="G801" s="20"/>
      <c r="H801" s="20"/>
      <c r="I801" s="70"/>
      <c r="J801" s="70"/>
      <c r="K801" s="70"/>
      <c r="L801" s="70"/>
      <c r="M801" s="20"/>
      <c r="N801" s="20"/>
      <c r="O801" s="20"/>
      <c r="P801" s="20"/>
      <c r="Q801" s="20"/>
      <c r="R801" s="20"/>
      <c r="S801" s="20"/>
      <c r="T801" s="20"/>
      <c r="U801" s="20"/>
      <c r="V801" s="20"/>
      <c r="W801" s="20"/>
      <c r="X801" s="20"/>
    </row>
    <row r="802">
      <c r="A802" s="20"/>
      <c r="B802" s="20"/>
      <c r="C802" s="20"/>
      <c r="D802" s="70"/>
      <c r="E802" s="70"/>
      <c r="F802" s="70"/>
      <c r="G802" s="20"/>
      <c r="H802" s="20"/>
      <c r="I802" s="70"/>
      <c r="J802" s="70"/>
      <c r="K802" s="70"/>
      <c r="L802" s="70"/>
      <c r="M802" s="20"/>
      <c r="N802" s="20"/>
      <c r="O802" s="20"/>
      <c r="P802" s="20"/>
      <c r="Q802" s="20"/>
      <c r="R802" s="20"/>
      <c r="S802" s="20"/>
      <c r="T802" s="20"/>
      <c r="U802" s="20"/>
      <c r="V802" s="20"/>
      <c r="W802" s="20"/>
      <c r="X802" s="20"/>
    </row>
    <row r="803">
      <c r="A803" s="20"/>
      <c r="B803" s="20"/>
      <c r="C803" s="20"/>
      <c r="D803" s="70"/>
      <c r="E803" s="70"/>
      <c r="F803" s="70"/>
      <c r="G803" s="20"/>
      <c r="H803" s="20"/>
      <c r="I803" s="70"/>
      <c r="J803" s="70"/>
      <c r="K803" s="70"/>
      <c r="L803" s="70"/>
      <c r="M803" s="20"/>
      <c r="N803" s="20"/>
      <c r="O803" s="20"/>
      <c r="P803" s="20"/>
      <c r="Q803" s="20"/>
      <c r="R803" s="20"/>
      <c r="S803" s="20"/>
      <c r="T803" s="20"/>
      <c r="U803" s="20"/>
      <c r="V803" s="20"/>
      <c r="W803" s="20"/>
      <c r="X803" s="20"/>
    </row>
    <row r="804">
      <c r="A804" s="20"/>
      <c r="B804" s="20"/>
      <c r="C804" s="20"/>
      <c r="D804" s="70"/>
      <c r="E804" s="70"/>
      <c r="F804" s="70"/>
      <c r="G804" s="20"/>
      <c r="H804" s="20"/>
      <c r="I804" s="70"/>
      <c r="J804" s="70"/>
      <c r="K804" s="70"/>
      <c r="L804" s="70"/>
      <c r="M804" s="20"/>
      <c r="N804" s="20"/>
      <c r="O804" s="20"/>
      <c r="P804" s="20"/>
      <c r="Q804" s="20"/>
      <c r="R804" s="20"/>
      <c r="S804" s="20"/>
      <c r="T804" s="20"/>
      <c r="U804" s="20"/>
      <c r="V804" s="20"/>
      <c r="W804" s="20"/>
      <c r="X804" s="20"/>
    </row>
    <row r="805">
      <c r="A805" s="20"/>
      <c r="B805" s="20"/>
      <c r="C805" s="20"/>
      <c r="D805" s="70"/>
      <c r="E805" s="70"/>
      <c r="F805" s="70"/>
      <c r="G805" s="20"/>
      <c r="H805" s="20"/>
      <c r="I805" s="70"/>
      <c r="J805" s="70"/>
      <c r="K805" s="70"/>
      <c r="L805" s="70"/>
      <c r="M805" s="20"/>
      <c r="N805" s="20"/>
      <c r="O805" s="20"/>
      <c r="P805" s="20"/>
      <c r="Q805" s="20"/>
      <c r="R805" s="20"/>
      <c r="S805" s="20"/>
      <c r="T805" s="20"/>
      <c r="U805" s="20"/>
      <c r="V805" s="20"/>
      <c r="W805" s="20"/>
      <c r="X805" s="20"/>
    </row>
    <row r="806">
      <c r="A806" s="20"/>
      <c r="B806" s="20"/>
      <c r="C806" s="20"/>
      <c r="D806" s="70"/>
      <c r="E806" s="70"/>
      <c r="F806" s="70"/>
      <c r="G806" s="20"/>
      <c r="H806" s="20"/>
      <c r="I806" s="70"/>
      <c r="J806" s="70"/>
      <c r="K806" s="70"/>
      <c r="L806" s="70"/>
      <c r="M806" s="20"/>
      <c r="N806" s="20"/>
      <c r="O806" s="20"/>
      <c r="P806" s="20"/>
      <c r="Q806" s="20"/>
      <c r="R806" s="20"/>
      <c r="S806" s="20"/>
      <c r="T806" s="20"/>
      <c r="U806" s="20"/>
      <c r="V806" s="20"/>
      <c r="W806" s="20"/>
      <c r="X806" s="20"/>
    </row>
    <row r="807">
      <c r="A807" s="20"/>
      <c r="B807" s="20"/>
      <c r="C807" s="20"/>
      <c r="D807" s="70"/>
      <c r="E807" s="70"/>
      <c r="F807" s="70"/>
      <c r="G807" s="20"/>
      <c r="H807" s="20"/>
      <c r="I807" s="70"/>
      <c r="J807" s="70"/>
      <c r="K807" s="70"/>
      <c r="L807" s="70"/>
      <c r="M807" s="20"/>
      <c r="N807" s="20"/>
      <c r="O807" s="20"/>
      <c r="P807" s="20"/>
      <c r="Q807" s="20"/>
      <c r="R807" s="20"/>
      <c r="S807" s="20"/>
      <c r="T807" s="20"/>
      <c r="U807" s="20"/>
      <c r="V807" s="20"/>
      <c r="W807" s="20"/>
      <c r="X807" s="20"/>
    </row>
    <row r="808">
      <c r="A808" s="20"/>
      <c r="B808" s="20"/>
      <c r="C808" s="20"/>
      <c r="D808" s="70"/>
      <c r="E808" s="70"/>
      <c r="F808" s="70"/>
      <c r="G808" s="20"/>
      <c r="H808" s="20"/>
      <c r="I808" s="70"/>
      <c r="J808" s="70"/>
      <c r="K808" s="70"/>
      <c r="L808" s="70"/>
      <c r="M808" s="20"/>
      <c r="N808" s="20"/>
      <c r="O808" s="20"/>
      <c r="P808" s="20"/>
      <c r="Q808" s="20"/>
      <c r="R808" s="20"/>
      <c r="S808" s="20"/>
      <c r="T808" s="20"/>
      <c r="U808" s="20"/>
      <c r="V808" s="20"/>
      <c r="W808" s="20"/>
      <c r="X808" s="20"/>
    </row>
    <row r="809">
      <c r="A809" s="20"/>
      <c r="B809" s="20"/>
      <c r="C809" s="20"/>
      <c r="D809" s="70"/>
      <c r="E809" s="70"/>
      <c r="F809" s="70"/>
      <c r="G809" s="20"/>
      <c r="H809" s="20"/>
      <c r="I809" s="70"/>
      <c r="J809" s="70"/>
      <c r="K809" s="70"/>
      <c r="L809" s="70"/>
      <c r="M809" s="20"/>
      <c r="N809" s="20"/>
      <c r="O809" s="20"/>
      <c r="P809" s="20"/>
      <c r="Q809" s="20"/>
      <c r="R809" s="20"/>
      <c r="S809" s="20"/>
      <c r="T809" s="20"/>
      <c r="U809" s="20"/>
      <c r="V809" s="20"/>
      <c r="W809" s="20"/>
      <c r="X809" s="20"/>
    </row>
    <row r="810">
      <c r="A810" s="20"/>
      <c r="B810" s="20"/>
      <c r="C810" s="20"/>
      <c r="D810" s="70"/>
      <c r="E810" s="70"/>
      <c r="F810" s="70"/>
      <c r="G810" s="20"/>
      <c r="H810" s="20"/>
      <c r="I810" s="70"/>
      <c r="J810" s="70"/>
      <c r="K810" s="70"/>
      <c r="L810" s="70"/>
      <c r="M810" s="20"/>
      <c r="N810" s="20"/>
      <c r="O810" s="20"/>
      <c r="P810" s="20"/>
      <c r="Q810" s="20"/>
      <c r="R810" s="20"/>
      <c r="S810" s="20"/>
      <c r="T810" s="20"/>
      <c r="U810" s="20"/>
      <c r="V810" s="20"/>
      <c r="W810" s="20"/>
      <c r="X810" s="20"/>
    </row>
    <row r="811">
      <c r="A811" s="20"/>
      <c r="B811" s="20"/>
      <c r="C811" s="20"/>
      <c r="D811" s="70"/>
      <c r="E811" s="70"/>
      <c r="F811" s="70"/>
      <c r="G811" s="20"/>
      <c r="H811" s="20"/>
      <c r="I811" s="70"/>
      <c r="J811" s="70"/>
      <c r="K811" s="70"/>
      <c r="L811" s="70"/>
      <c r="M811" s="20"/>
      <c r="N811" s="20"/>
      <c r="O811" s="20"/>
      <c r="P811" s="20"/>
      <c r="Q811" s="20"/>
      <c r="R811" s="20"/>
      <c r="S811" s="20"/>
      <c r="T811" s="20"/>
      <c r="U811" s="20"/>
      <c r="V811" s="20"/>
      <c r="W811" s="20"/>
      <c r="X811" s="20"/>
    </row>
    <row r="812">
      <c r="A812" s="20"/>
      <c r="B812" s="20"/>
      <c r="C812" s="20"/>
      <c r="D812" s="70"/>
      <c r="E812" s="70"/>
      <c r="F812" s="70"/>
      <c r="G812" s="20"/>
      <c r="H812" s="20"/>
      <c r="I812" s="70"/>
      <c r="J812" s="70"/>
      <c r="K812" s="70"/>
      <c r="L812" s="70"/>
      <c r="M812" s="20"/>
      <c r="N812" s="20"/>
      <c r="O812" s="20"/>
      <c r="P812" s="20"/>
      <c r="Q812" s="20"/>
      <c r="R812" s="20"/>
      <c r="S812" s="20"/>
      <c r="T812" s="20"/>
      <c r="U812" s="20"/>
      <c r="V812" s="20"/>
      <c r="W812" s="20"/>
      <c r="X812" s="20"/>
    </row>
    <row r="813">
      <c r="A813" s="20"/>
      <c r="B813" s="20"/>
      <c r="C813" s="20"/>
      <c r="D813" s="70"/>
      <c r="E813" s="70"/>
      <c r="F813" s="70"/>
      <c r="G813" s="20"/>
      <c r="H813" s="20"/>
      <c r="I813" s="70"/>
      <c r="J813" s="70"/>
      <c r="K813" s="70"/>
      <c r="L813" s="70"/>
      <c r="M813" s="20"/>
      <c r="N813" s="20"/>
      <c r="O813" s="20"/>
      <c r="P813" s="20"/>
      <c r="Q813" s="20"/>
      <c r="R813" s="20"/>
      <c r="S813" s="20"/>
      <c r="T813" s="20"/>
      <c r="U813" s="20"/>
      <c r="V813" s="20"/>
      <c r="W813" s="20"/>
      <c r="X813" s="20"/>
    </row>
    <row r="814">
      <c r="A814" s="20"/>
      <c r="B814" s="20"/>
      <c r="C814" s="20"/>
      <c r="D814" s="70"/>
      <c r="E814" s="70"/>
      <c r="F814" s="70"/>
      <c r="G814" s="20"/>
      <c r="H814" s="20"/>
      <c r="I814" s="70"/>
      <c r="J814" s="70"/>
      <c r="K814" s="70"/>
      <c r="L814" s="70"/>
      <c r="M814" s="20"/>
      <c r="N814" s="20"/>
      <c r="O814" s="20"/>
      <c r="P814" s="20"/>
      <c r="Q814" s="20"/>
      <c r="R814" s="20"/>
      <c r="S814" s="20"/>
      <c r="T814" s="20"/>
      <c r="U814" s="20"/>
      <c r="V814" s="20"/>
      <c r="W814" s="20"/>
      <c r="X814" s="20"/>
    </row>
    <row r="815">
      <c r="A815" s="20"/>
      <c r="B815" s="20"/>
      <c r="C815" s="20"/>
      <c r="D815" s="70"/>
      <c r="E815" s="70"/>
      <c r="F815" s="70"/>
      <c r="G815" s="20"/>
      <c r="H815" s="20"/>
      <c r="I815" s="70"/>
      <c r="J815" s="70"/>
      <c r="K815" s="70"/>
      <c r="L815" s="70"/>
      <c r="M815" s="20"/>
      <c r="N815" s="20"/>
      <c r="O815" s="20"/>
      <c r="P815" s="20"/>
      <c r="Q815" s="20"/>
      <c r="R815" s="20"/>
      <c r="S815" s="20"/>
      <c r="T815" s="20"/>
      <c r="U815" s="20"/>
      <c r="V815" s="20"/>
      <c r="W815" s="20"/>
      <c r="X815" s="20"/>
    </row>
    <row r="816">
      <c r="A816" s="20"/>
      <c r="B816" s="20"/>
      <c r="C816" s="20"/>
      <c r="D816" s="70"/>
      <c r="E816" s="70"/>
      <c r="F816" s="70"/>
      <c r="G816" s="20"/>
      <c r="H816" s="20"/>
      <c r="I816" s="70"/>
      <c r="J816" s="70"/>
      <c r="K816" s="70"/>
      <c r="L816" s="70"/>
      <c r="M816" s="20"/>
      <c r="N816" s="20"/>
      <c r="O816" s="20"/>
      <c r="P816" s="20"/>
      <c r="Q816" s="20"/>
      <c r="R816" s="20"/>
      <c r="S816" s="20"/>
      <c r="T816" s="20"/>
      <c r="U816" s="20"/>
      <c r="V816" s="20"/>
      <c r="W816" s="20"/>
      <c r="X816" s="20"/>
    </row>
    <row r="817">
      <c r="A817" s="20"/>
      <c r="B817" s="20"/>
      <c r="C817" s="20"/>
      <c r="D817" s="70"/>
      <c r="E817" s="70"/>
      <c r="F817" s="70"/>
      <c r="G817" s="20"/>
      <c r="H817" s="20"/>
      <c r="I817" s="70"/>
      <c r="J817" s="70"/>
      <c r="K817" s="70"/>
      <c r="L817" s="70"/>
      <c r="M817" s="20"/>
      <c r="N817" s="20"/>
      <c r="O817" s="20"/>
      <c r="P817" s="20"/>
      <c r="Q817" s="20"/>
      <c r="R817" s="20"/>
      <c r="S817" s="20"/>
      <c r="T817" s="20"/>
      <c r="U817" s="20"/>
      <c r="V817" s="20"/>
      <c r="W817" s="20"/>
      <c r="X817" s="20"/>
    </row>
    <row r="818">
      <c r="A818" s="20"/>
      <c r="B818" s="20"/>
      <c r="C818" s="20"/>
      <c r="D818" s="70"/>
      <c r="E818" s="70"/>
      <c r="F818" s="70"/>
      <c r="G818" s="20"/>
      <c r="H818" s="20"/>
      <c r="I818" s="70"/>
      <c r="J818" s="70"/>
      <c r="K818" s="70"/>
      <c r="L818" s="70"/>
      <c r="M818" s="20"/>
      <c r="N818" s="20"/>
      <c r="O818" s="20"/>
      <c r="P818" s="20"/>
      <c r="Q818" s="20"/>
      <c r="R818" s="20"/>
      <c r="S818" s="20"/>
      <c r="T818" s="20"/>
      <c r="U818" s="20"/>
      <c r="V818" s="20"/>
      <c r="W818" s="20"/>
      <c r="X818" s="20"/>
    </row>
    <row r="819">
      <c r="A819" s="20"/>
      <c r="B819" s="20"/>
      <c r="C819" s="20"/>
      <c r="D819" s="70"/>
      <c r="E819" s="70"/>
      <c r="F819" s="70"/>
      <c r="G819" s="20"/>
      <c r="H819" s="20"/>
      <c r="I819" s="70"/>
      <c r="J819" s="70"/>
      <c r="K819" s="70"/>
      <c r="L819" s="70"/>
      <c r="M819" s="20"/>
      <c r="N819" s="20"/>
      <c r="O819" s="20"/>
      <c r="P819" s="20"/>
      <c r="Q819" s="20"/>
      <c r="R819" s="20"/>
      <c r="S819" s="20"/>
      <c r="T819" s="20"/>
      <c r="U819" s="20"/>
      <c r="V819" s="20"/>
      <c r="W819" s="20"/>
      <c r="X819" s="20"/>
    </row>
    <row r="820">
      <c r="A820" s="20"/>
      <c r="B820" s="20"/>
      <c r="C820" s="20"/>
      <c r="D820" s="70"/>
      <c r="E820" s="70"/>
      <c r="F820" s="70"/>
      <c r="G820" s="20"/>
      <c r="H820" s="20"/>
      <c r="I820" s="70"/>
      <c r="J820" s="70"/>
      <c r="K820" s="70"/>
      <c r="L820" s="70"/>
      <c r="M820" s="20"/>
      <c r="N820" s="20"/>
      <c r="O820" s="20"/>
      <c r="P820" s="20"/>
      <c r="Q820" s="20"/>
      <c r="R820" s="20"/>
      <c r="S820" s="20"/>
      <c r="T820" s="20"/>
      <c r="U820" s="20"/>
      <c r="V820" s="20"/>
      <c r="W820" s="20"/>
      <c r="X820" s="20"/>
    </row>
    <row r="821">
      <c r="A821" s="20"/>
      <c r="B821" s="20"/>
      <c r="C821" s="20"/>
      <c r="D821" s="70"/>
      <c r="E821" s="70"/>
      <c r="F821" s="70"/>
      <c r="G821" s="20"/>
      <c r="H821" s="20"/>
      <c r="I821" s="70"/>
      <c r="J821" s="70"/>
      <c r="K821" s="70"/>
      <c r="L821" s="70"/>
      <c r="M821" s="20"/>
      <c r="N821" s="20"/>
      <c r="O821" s="20"/>
      <c r="P821" s="20"/>
      <c r="Q821" s="20"/>
      <c r="R821" s="20"/>
      <c r="S821" s="20"/>
      <c r="T821" s="20"/>
      <c r="U821" s="20"/>
      <c r="V821" s="20"/>
      <c r="W821" s="20"/>
      <c r="X821" s="20"/>
    </row>
    <row r="822">
      <c r="A822" s="20"/>
      <c r="B822" s="20"/>
      <c r="C822" s="20"/>
      <c r="D822" s="70"/>
      <c r="E822" s="70"/>
      <c r="F822" s="70"/>
      <c r="G822" s="20"/>
      <c r="H822" s="20"/>
      <c r="I822" s="70"/>
      <c r="J822" s="70"/>
      <c r="K822" s="70"/>
      <c r="L822" s="70"/>
      <c r="M822" s="20"/>
      <c r="N822" s="20"/>
      <c r="O822" s="20"/>
      <c r="P822" s="20"/>
      <c r="Q822" s="20"/>
      <c r="R822" s="20"/>
      <c r="S822" s="20"/>
      <c r="T822" s="20"/>
      <c r="U822" s="20"/>
      <c r="V822" s="20"/>
      <c r="W822" s="20"/>
      <c r="X822" s="20"/>
    </row>
    <row r="823">
      <c r="A823" s="20"/>
      <c r="B823" s="20"/>
      <c r="C823" s="20"/>
      <c r="D823" s="70"/>
      <c r="E823" s="70"/>
      <c r="F823" s="70"/>
      <c r="G823" s="20"/>
      <c r="H823" s="20"/>
      <c r="I823" s="70"/>
      <c r="J823" s="70"/>
      <c r="K823" s="70"/>
      <c r="L823" s="70"/>
      <c r="M823" s="20"/>
      <c r="N823" s="20"/>
      <c r="O823" s="20"/>
      <c r="P823" s="20"/>
      <c r="Q823" s="20"/>
      <c r="R823" s="20"/>
      <c r="S823" s="20"/>
      <c r="T823" s="20"/>
      <c r="U823" s="20"/>
      <c r="V823" s="20"/>
      <c r="W823" s="20"/>
      <c r="X823" s="20"/>
    </row>
    <row r="824">
      <c r="A824" s="20"/>
      <c r="B824" s="20"/>
      <c r="C824" s="20"/>
      <c r="D824" s="70"/>
      <c r="E824" s="70"/>
      <c r="F824" s="70"/>
      <c r="G824" s="20"/>
      <c r="H824" s="20"/>
      <c r="I824" s="70"/>
      <c r="J824" s="70"/>
      <c r="K824" s="70"/>
      <c r="L824" s="70"/>
      <c r="M824" s="20"/>
      <c r="N824" s="20"/>
      <c r="O824" s="20"/>
      <c r="P824" s="20"/>
      <c r="Q824" s="20"/>
      <c r="R824" s="20"/>
      <c r="S824" s="20"/>
      <c r="T824" s="20"/>
      <c r="U824" s="20"/>
      <c r="V824" s="20"/>
      <c r="W824" s="20"/>
      <c r="X824" s="20"/>
    </row>
    <row r="825">
      <c r="A825" s="20"/>
      <c r="B825" s="20"/>
      <c r="C825" s="20"/>
      <c r="D825" s="70"/>
      <c r="E825" s="70"/>
      <c r="F825" s="70"/>
      <c r="G825" s="20"/>
      <c r="H825" s="20"/>
      <c r="I825" s="70"/>
      <c r="J825" s="70"/>
      <c r="K825" s="70"/>
      <c r="L825" s="70"/>
      <c r="M825" s="20"/>
      <c r="N825" s="20"/>
      <c r="O825" s="20"/>
      <c r="P825" s="20"/>
      <c r="Q825" s="20"/>
      <c r="R825" s="20"/>
      <c r="S825" s="20"/>
      <c r="T825" s="20"/>
      <c r="U825" s="20"/>
      <c r="V825" s="20"/>
      <c r="W825" s="20"/>
      <c r="X825" s="20"/>
    </row>
    <row r="826">
      <c r="A826" s="20"/>
      <c r="B826" s="20"/>
      <c r="C826" s="20"/>
      <c r="D826" s="70"/>
      <c r="E826" s="70"/>
      <c r="F826" s="70"/>
      <c r="G826" s="20"/>
      <c r="H826" s="20"/>
      <c r="I826" s="70"/>
      <c r="J826" s="70"/>
      <c r="K826" s="70"/>
      <c r="L826" s="70"/>
      <c r="M826" s="20"/>
      <c r="N826" s="20"/>
      <c r="O826" s="20"/>
      <c r="P826" s="20"/>
      <c r="Q826" s="20"/>
      <c r="R826" s="20"/>
      <c r="S826" s="20"/>
      <c r="T826" s="20"/>
      <c r="U826" s="20"/>
      <c r="V826" s="20"/>
      <c r="W826" s="20"/>
      <c r="X826" s="20"/>
    </row>
    <row r="827">
      <c r="A827" s="20"/>
      <c r="B827" s="20"/>
      <c r="C827" s="20"/>
      <c r="D827" s="70"/>
      <c r="E827" s="70"/>
      <c r="F827" s="70"/>
      <c r="G827" s="20"/>
      <c r="H827" s="20"/>
      <c r="I827" s="70"/>
      <c r="J827" s="70"/>
      <c r="K827" s="70"/>
      <c r="L827" s="70"/>
      <c r="M827" s="20"/>
      <c r="N827" s="20"/>
      <c r="O827" s="20"/>
      <c r="P827" s="20"/>
      <c r="Q827" s="20"/>
      <c r="R827" s="20"/>
      <c r="S827" s="20"/>
      <c r="T827" s="20"/>
      <c r="U827" s="20"/>
      <c r="V827" s="20"/>
      <c r="W827" s="20"/>
      <c r="X827" s="20"/>
    </row>
    <row r="828">
      <c r="A828" s="20"/>
      <c r="B828" s="20"/>
      <c r="C828" s="20"/>
      <c r="D828" s="70"/>
      <c r="E828" s="70"/>
      <c r="F828" s="70"/>
      <c r="G828" s="20"/>
      <c r="H828" s="20"/>
      <c r="I828" s="70"/>
      <c r="J828" s="70"/>
      <c r="K828" s="70"/>
      <c r="L828" s="70"/>
      <c r="M828" s="20"/>
      <c r="N828" s="20"/>
      <c r="O828" s="20"/>
      <c r="P828" s="20"/>
      <c r="Q828" s="20"/>
      <c r="R828" s="20"/>
      <c r="S828" s="20"/>
      <c r="T828" s="20"/>
      <c r="U828" s="20"/>
      <c r="V828" s="20"/>
      <c r="W828" s="20"/>
      <c r="X828" s="20"/>
    </row>
    <row r="829">
      <c r="A829" s="20"/>
      <c r="B829" s="20"/>
      <c r="C829" s="20"/>
      <c r="D829" s="70"/>
      <c r="E829" s="70"/>
      <c r="F829" s="70"/>
      <c r="G829" s="20"/>
      <c r="H829" s="20"/>
      <c r="I829" s="70"/>
      <c r="J829" s="70"/>
      <c r="K829" s="70"/>
      <c r="L829" s="70"/>
      <c r="M829" s="20"/>
      <c r="N829" s="20"/>
      <c r="O829" s="20"/>
      <c r="P829" s="20"/>
      <c r="Q829" s="20"/>
      <c r="R829" s="20"/>
      <c r="S829" s="20"/>
      <c r="T829" s="20"/>
      <c r="U829" s="20"/>
      <c r="V829" s="20"/>
      <c r="W829" s="20"/>
      <c r="X829" s="20"/>
    </row>
    <row r="830">
      <c r="A830" s="20"/>
      <c r="B830" s="20"/>
      <c r="C830" s="20"/>
      <c r="D830" s="70"/>
      <c r="E830" s="70"/>
      <c r="F830" s="70"/>
      <c r="G830" s="20"/>
      <c r="H830" s="20"/>
      <c r="I830" s="70"/>
      <c r="J830" s="70"/>
      <c r="K830" s="70"/>
      <c r="L830" s="70"/>
      <c r="M830" s="20"/>
      <c r="N830" s="20"/>
      <c r="O830" s="20"/>
      <c r="P830" s="20"/>
      <c r="Q830" s="20"/>
      <c r="R830" s="20"/>
      <c r="S830" s="20"/>
      <c r="T830" s="20"/>
      <c r="U830" s="20"/>
      <c r="V830" s="20"/>
      <c r="W830" s="20"/>
      <c r="X830" s="20"/>
    </row>
    <row r="831">
      <c r="A831" s="20"/>
      <c r="B831" s="20"/>
      <c r="C831" s="20"/>
      <c r="D831" s="70"/>
      <c r="E831" s="70"/>
      <c r="F831" s="70"/>
      <c r="G831" s="20"/>
      <c r="H831" s="20"/>
      <c r="I831" s="70"/>
      <c r="J831" s="70"/>
      <c r="K831" s="70"/>
      <c r="L831" s="70"/>
      <c r="M831" s="20"/>
      <c r="N831" s="20"/>
      <c r="O831" s="20"/>
      <c r="P831" s="20"/>
      <c r="Q831" s="20"/>
      <c r="R831" s="20"/>
      <c r="S831" s="20"/>
      <c r="T831" s="20"/>
      <c r="U831" s="20"/>
      <c r="V831" s="20"/>
      <c r="W831" s="20"/>
      <c r="X831" s="20"/>
    </row>
    <row r="832">
      <c r="A832" s="20"/>
      <c r="B832" s="20"/>
      <c r="C832" s="20"/>
      <c r="D832" s="70"/>
      <c r="E832" s="70"/>
      <c r="F832" s="70"/>
      <c r="G832" s="20"/>
      <c r="H832" s="20"/>
      <c r="I832" s="70"/>
      <c r="J832" s="70"/>
      <c r="K832" s="70"/>
      <c r="L832" s="70"/>
      <c r="M832" s="20"/>
      <c r="N832" s="20"/>
      <c r="O832" s="20"/>
      <c r="P832" s="20"/>
      <c r="Q832" s="20"/>
      <c r="R832" s="20"/>
      <c r="S832" s="20"/>
      <c r="T832" s="20"/>
      <c r="U832" s="20"/>
      <c r="V832" s="20"/>
      <c r="W832" s="20"/>
      <c r="X832" s="20"/>
    </row>
    <row r="833">
      <c r="A833" s="20"/>
      <c r="B833" s="20"/>
      <c r="C833" s="20"/>
      <c r="D833" s="70"/>
      <c r="E833" s="70"/>
      <c r="F833" s="70"/>
      <c r="G833" s="20"/>
      <c r="H833" s="20"/>
      <c r="I833" s="70"/>
      <c r="J833" s="70"/>
      <c r="K833" s="70"/>
      <c r="L833" s="70"/>
      <c r="M833" s="20"/>
      <c r="N833" s="20"/>
      <c r="O833" s="20"/>
      <c r="P833" s="20"/>
      <c r="Q833" s="20"/>
      <c r="R833" s="20"/>
      <c r="S833" s="20"/>
      <c r="T833" s="20"/>
      <c r="U833" s="20"/>
      <c r="V833" s="20"/>
      <c r="W833" s="20"/>
      <c r="X833" s="20"/>
    </row>
    <row r="834">
      <c r="A834" s="20"/>
      <c r="B834" s="20"/>
      <c r="C834" s="20"/>
      <c r="D834" s="70"/>
      <c r="E834" s="70"/>
      <c r="F834" s="70"/>
      <c r="G834" s="20"/>
      <c r="H834" s="20"/>
      <c r="I834" s="70"/>
      <c r="J834" s="70"/>
      <c r="K834" s="70"/>
      <c r="L834" s="70"/>
      <c r="M834" s="20"/>
      <c r="N834" s="20"/>
      <c r="O834" s="20"/>
      <c r="P834" s="20"/>
      <c r="Q834" s="20"/>
      <c r="R834" s="20"/>
      <c r="S834" s="20"/>
      <c r="T834" s="20"/>
      <c r="U834" s="20"/>
      <c r="V834" s="20"/>
      <c r="W834" s="20"/>
      <c r="X834" s="20"/>
    </row>
    <row r="835">
      <c r="A835" s="20"/>
      <c r="B835" s="20"/>
      <c r="C835" s="20"/>
      <c r="D835" s="70"/>
      <c r="E835" s="70"/>
      <c r="F835" s="70"/>
      <c r="G835" s="20"/>
      <c r="H835" s="20"/>
      <c r="I835" s="70"/>
      <c r="J835" s="70"/>
      <c r="K835" s="70"/>
      <c r="L835" s="70"/>
      <c r="M835" s="20"/>
      <c r="N835" s="20"/>
      <c r="O835" s="20"/>
      <c r="P835" s="20"/>
      <c r="Q835" s="20"/>
      <c r="R835" s="20"/>
      <c r="S835" s="20"/>
      <c r="T835" s="20"/>
      <c r="U835" s="20"/>
      <c r="V835" s="20"/>
      <c r="W835" s="20"/>
      <c r="X835" s="20"/>
    </row>
    <row r="836">
      <c r="A836" s="20"/>
      <c r="B836" s="20"/>
      <c r="C836" s="20"/>
      <c r="D836" s="70"/>
      <c r="E836" s="70"/>
      <c r="F836" s="70"/>
      <c r="G836" s="20"/>
      <c r="H836" s="20"/>
      <c r="I836" s="70"/>
      <c r="J836" s="70"/>
      <c r="K836" s="70"/>
      <c r="L836" s="70"/>
      <c r="M836" s="20"/>
      <c r="N836" s="20"/>
      <c r="O836" s="20"/>
      <c r="P836" s="20"/>
      <c r="Q836" s="20"/>
      <c r="R836" s="20"/>
      <c r="S836" s="20"/>
      <c r="T836" s="20"/>
      <c r="U836" s="20"/>
      <c r="V836" s="20"/>
      <c r="W836" s="20"/>
      <c r="X836" s="20"/>
    </row>
    <row r="837">
      <c r="A837" s="20"/>
      <c r="B837" s="20"/>
      <c r="C837" s="20"/>
      <c r="D837" s="70"/>
      <c r="E837" s="70"/>
      <c r="F837" s="70"/>
      <c r="G837" s="20"/>
      <c r="H837" s="20"/>
      <c r="I837" s="70"/>
      <c r="J837" s="70"/>
      <c r="K837" s="70"/>
      <c r="L837" s="70"/>
      <c r="M837" s="20"/>
      <c r="N837" s="20"/>
      <c r="O837" s="20"/>
      <c r="P837" s="20"/>
      <c r="Q837" s="20"/>
      <c r="R837" s="20"/>
      <c r="S837" s="20"/>
      <c r="T837" s="20"/>
      <c r="U837" s="20"/>
      <c r="V837" s="20"/>
      <c r="W837" s="20"/>
      <c r="X837" s="20"/>
    </row>
    <row r="838">
      <c r="A838" s="20"/>
      <c r="B838" s="20"/>
      <c r="C838" s="20"/>
      <c r="D838" s="70"/>
      <c r="E838" s="70"/>
      <c r="F838" s="70"/>
      <c r="G838" s="20"/>
      <c r="H838" s="20"/>
      <c r="I838" s="70"/>
      <c r="J838" s="70"/>
      <c r="K838" s="70"/>
      <c r="L838" s="70"/>
      <c r="M838" s="20"/>
      <c r="N838" s="20"/>
      <c r="O838" s="20"/>
      <c r="P838" s="20"/>
      <c r="Q838" s="20"/>
      <c r="R838" s="20"/>
      <c r="S838" s="20"/>
      <c r="T838" s="20"/>
      <c r="U838" s="20"/>
      <c r="V838" s="20"/>
      <c r="W838" s="20"/>
      <c r="X838" s="20"/>
    </row>
    <row r="839">
      <c r="A839" s="20"/>
      <c r="B839" s="20"/>
      <c r="C839" s="20"/>
      <c r="D839" s="70"/>
      <c r="E839" s="70"/>
      <c r="F839" s="70"/>
      <c r="G839" s="20"/>
      <c r="H839" s="20"/>
      <c r="I839" s="70"/>
      <c r="J839" s="70"/>
      <c r="K839" s="70"/>
      <c r="L839" s="70"/>
      <c r="M839" s="20"/>
      <c r="N839" s="20"/>
      <c r="O839" s="20"/>
      <c r="P839" s="20"/>
      <c r="Q839" s="20"/>
      <c r="R839" s="20"/>
      <c r="S839" s="20"/>
      <c r="T839" s="20"/>
      <c r="U839" s="20"/>
      <c r="V839" s="20"/>
      <c r="W839" s="20"/>
      <c r="X839" s="20"/>
    </row>
    <row r="840">
      <c r="A840" s="20"/>
      <c r="B840" s="20"/>
      <c r="C840" s="20"/>
      <c r="D840" s="70"/>
      <c r="E840" s="70"/>
      <c r="F840" s="70"/>
      <c r="G840" s="20"/>
      <c r="H840" s="20"/>
      <c r="I840" s="70"/>
      <c r="J840" s="70"/>
      <c r="K840" s="70"/>
      <c r="L840" s="70"/>
      <c r="M840" s="20"/>
      <c r="N840" s="20"/>
      <c r="O840" s="20"/>
      <c r="P840" s="20"/>
      <c r="Q840" s="20"/>
      <c r="R840" s="20"/>
      <c r="S840" s="20"/>
      <c r="T840" s="20"/>
      <c r="U840" s="20"/>
      <c r="V840" s="20"/>
      <c r="W840" s="20"/>
      <c r="X840" s="20"/>
    </row>
    <row r="841">
      <c r="A841" s="20"/>
      <c r="B841" s="20"/>
      <c r="C841" s="20"/>
      <c r="D841" s="70"/>
      <c r="E841" s="70"/>
      <c r="F841" s="70"/>
      <c r="G841" s="20"/>
      <c r="H841" s="20"/>
      <c r="I841" s="70"/>
      <c r="J841" s="70"/>
      <c r="K841" s="70"/>
      <c r="L841" s="70"/>
      <c r="M841" s="20"/>
      <c r="N841" s="20"/>
      <c r="O841" s="20"/>
      <c r="P841" s="20"/>
      <c r="Q841" s="20"/>
      <c r="R841" s="20"/>
      <c r="S841" s="20"/>
      <c r="T841" s="20"/>
      <c r="U841" s="20"/>
      <c r="V841" s="20"/>
      <c r="W841" s="20"/>
      <c r="X841" s="20"/>
    </row>
    <row r="842">
      <c r="A842" s="20"/>
      <c r="B842" s="20"/>
      <c r="C842" s="20"/>
      <c r="D842" s="70"/>
      <c r="E842" s="70"/>
      <c r="F842" s="70"/>
      <c r="G842" s="20"/>
      <c r="H842" s="20"/>
      <c r="I842" s="70"/>
      <c r="J842" s="70"/>
      <c r="K842" s="70"/>
      <c r="L842" s="70"/>
      <c r="M842" s="20"/>
      <c r="N842" s="20"/>
      <c r="O842" s="20"/>
      <c r="P842" s="20"/>
      <c r="Q842" s="20"/>
      <c r="R842" s="20"/>
      <c r="S842" s="20"/>
      <c r="T842" s="20"/>
      <c r="U842" s="20"/>
      <c r="V842" s="20"/>
      <c r="W842" s="20"/>
      <c r="X842" s="20"/>
    </row>
    <row r="843">
      <c r="A843" s="20"/>
      <c r="B843" s="20"/>
      <c r="C843" s="20"/>
      <c r="D843" s="70"/>
      <c r="E843" s="70"/>
      <c r="F843" s="70"/>
      <c r="G843" s="20"/>
      <c r="H843" s="20"/>
      <c r="I843" s="70"/>
      <c r="J843" s="70"/>
      <c r="K843" s="70"/>
      <c r="L843" s="70"/>
      <c r="M843" s="20"/>
      <c r="N843" s="20"/>
      <c r="O843" s="20"/>
      <c r="P843" s="20"/>
      <c r="Q843" s="20"/>
      <c r="R843" s="20"/>
      <c r="S843" s="20"/>
      <c r="T843" s="20"/>
      <c r="U843" s="20"/>
      <c r="V843" s="20"/>
      <c r="W843" s="20"/>
      <c r="X843" s="20"/>
    </row>
    <row r="844">
      <c r="A844" s="20"/>
      <c r="B844" s="20"/>
      <c r="C844" s="20"/>
      <c r="D844" s="70"/>
      <c r="E844" s="70"/>
      <c r="F844" s="70"/>
      <c r="G844" s="20"/>
      <c r="H844" s="20"/>
      <c r="I844" s="70"/>
      <c r="J844" s="70"/>
      <c r="K844" s="70"/>
      <c r="L844" s="70"/>
      <c r="M844" s="20"/>
      <c r="N844" s="20"/>
      <c r="O844" s="20"/>
      <c r="P844" s="20"/>
      <c r="Q844" s="20"/>
      <c r="R844" s="20"/>
      <c r="S844" s="20"/>
      <c r="T844" s="20"/>
      <c r="U844" s="20"/>
      <c r="V844" s="20"/>
      <c r="W844" s="20"/>
      <c r="X844" s="20"/>
    </row>
    <row r="845">
      <c r="A845" s="20"/>
      <c r="B845" s="20"/>
      <c r="C845" s="20"/>
      <c r="D845" s="70"/>
      <c r="E845" s="70"/>
      <c r="F845" s="70"/>
      <c r="G845" s="20"/>
      <c r="H845" s="20"/>
      <c r="I845" s="70"/>
      <c r="J845" s="70"/>
      <c r="K845" s="70"/>
      <c r="L845" s="70"/>
      <c r="M845" s="20"/>
      <c r="N845" s="20"/>
      <c r="O845" s="20"/>
      <c r="P845" s="20"/>
      <c r="Q845" s="20"/>
      <c r="R845" s="20"/>
      <c r="S845" s="20"/>
      <c r="T845" s="20"/>
      <c r="U845" s="20"/>
      <c r="V845" s="20"/>
      <c r="W845" s="20"/>
      <c r="X845" s="20"/>
    </row>
    <row r="846">
      <c r="A846" s="20"/>
      <c r="B846" s="20"/>
      <c r="C846" s="20"/>
      <c r="D846" s="70"/>
      <c r="E846" s="70"/>
      <c r="F846" s="70"/>
      <c r="G846" s="20"/>
      <c r="H846" s="20"/>
      <c r="I846" s="70"/>
      <c r="J846" s="70"/>
      <c r="K846" s="70"/>
      <c r="L846" s="70"/>
      <c r="M846" s="20"/>
      <c r="N846" s="20"/>
      <c r="O846" s="20"/>
      <c r="P846" s="20"/>
      <c r="Q846" s="20"/>
      <c r="R846" s="20"/>
      <c r="S846" s="20"/>
      <c r="T846" s="20"/>
      <c r="U846" s="20"/>
      <c r="V846" s="20"/>
      <c r="W846" s="20"/>
      <c r="X846" s="20"/>
    </row>
    <row r="847">
      <c r="A847" s="20"/>
      <c r="B847" s="20"/>
      <c r="C847" s="20"/>
      <c r="D847" s="70"/>
      <c r="E847" s="70"/>
      <c r="F847" s="70"/>
      <c r="G847" s="20"/>
      <c r="H847" s="20"/>
      <c r="I847" s="70"/>
      <c r="J847" s="70"/>
      <c r="K847" s="70"/>
      <c r="L847" s="70"/>
      <c r="M847" s="20"/>
      <c r="N847" s="20"/>
      <c r="O847" s="20"/>
      <c r="P847" s="20"/>
      <c r="Q847" s="20"/>
      <c r="R847" s="20"/>
      <c r="S847" s="20"/>
      <c r="T847" s="20"/>
      <c r="U847" s="20"/>
      <c r="V847" s="20"/>
      <c r="W847" s="20"/>
      <c r="X847" s="20"/>
    </row>
    <row r="848">
      <c r="A848" s="20"/>
      <c r="B848" s="20"/>
      <c r="C848" s="20"/>
      <c r="D848" s="70"/>
      <c r="E848" s="70"/>
      <c r="F848" s="70"/>
      <c r="G848" s="20"/>
      <c r="H848" s="20"/>
      <c r="I848" s="70"/>
      <c r="J848" s="70"/>
      <c r="K848" s="70"/>
      <c r="L848" s="70"/>
      <c r="M848" s="20"/>
      <c r="N848" s="20"/>
      <c r="O848" s="20"/>
      <c r="P848" s="20"/>
      <c r="Q848" s="20"/>
      <c r="R848" s="20"/>
      <c r="S848" s="20"/>
      <c r="T848" s="20"/>
      <c r="U848" s="20"/>
      <c r="V848" s="20"/>
      <c r="W848" s="20"/>
      <c r="X848" s="20"/>
    </row>
    <row r="849">
      <c r="A849" s="20"/>
      <c r="B849" s="20"/>
      <c r="C849" s="20"/>
      <c r="D849" s="70"/>
      <c r="E849" s="70"/>
      <c r="F849" s="70"/>
      <c r="G849" s="20"/>
      <c r="H849" s="20"/>
      <c r="I849" s="70"/>
      <c r="J849" s="70"/>
      <c r="K849" s="70"/>
      <c r="L849" s="70"/>
      <c r="M849" s="20"/>
      <c r="N849" s="20"/>
      <c r="O849" s="20"/>
      <c r="P849" s="20"/>
      <c r="Q849" s="20"/>
      <c r="R849" s="20"/>
      <c r="S849" s="20"/>
      <c r="T849" s="20"/>
      <c r="U849" s="20"/>
      <c r="V849" s="20"/>
      <c r="W849" s="20"/>
      <c r="X849" s="20"/>
    </row>
    <row r="850">
      <c r="A850" s="20"/>
      <c r="B850" s="20"/>
      <c r="C850" s="20"/>
      <c r="D850" s="70"/>
      <c r="E850" s="70"/>
      <c r="F850" s="70"/>
      <c r="G850" s="20"/>
      <c r="H850" s="20"/>
      <c r="I850" s="70"/>
      <c r="J850" s="70"/>
      <c r="K850" s="70"/>
      <c r="L850" s="70"/>
      <c r="M850" s="20"/>
      <c r="N850" s="20"/>
      <c r="O850" s="20"/>
      <c r="P850" s="20"/>
      <c r="Q850" s="20"/>
      <c r="R850" s="20"/>
      <c r="S850" s="20"/>
      <c r="T850" s="20"/>
      <c r="U850" s="20"/>
      <c r="V850" s="20"/>
      <c r="W850" s="20"/>
      <c r="X850" s="20"/>
    </row>
    <row r="851">
      <c r="A851" s="20"/>
      <c r="B851" s="20"/>
      <c r="C851" s="20"/>
      <c r="D851" s="70"/>
      <c r="E851" s="70"/>
      <c r="F851" s="70"/>
      <c r="G851" s="20"/>
      <c r="H851" s="20"/>
      <c r="I851" s="70"/>
      <c r="J851" s="70"/>
      <c r="K851" s="70"/>
      <c r="L851" s="70"/>
      <c r="M851" s="20"/>
      <c r="N851" s="20"/>
      <c r="O851" s="20"/>
      <c r="P851" s="20"/>
      <c r="Q851" s="20"/>
      <c r="R851" s="20"/>
      <c r="S851" s="20"/>
      <c r="T851" s="20"/>
      <c r="U851" s="20"/>
      <c r="V851" s="20"/>
      <c r="W851" s="20"/>
      <c r="X851" s="20"/>
    </row>
    <row r="852">
      <c r="A852" s="20"/>
      <c r="B852" s="20"/>
      <c r="C852" s="20"/>
      <c r="D852" s="70"/>
      <c r="E852" s="70"/>
      <c r="F852" s="70"/>
      <c r="G852" s="20"/>
      <c r="H852" s="20"/>
      <c r="I852" s="70"/>
      <c r="J852" s="70"/>
      <c r="K852" s="70"/>
      <c r="L852" s="70"/>
      <c r="M852" s="20"/>
      <c r="N852" s="20"/>
      <c r="O852" s="20"/>
      <c r="P852" s="20"/>
      <c r="Q852" s="20"/>
      <c r="R852" s="20"/>
      <c r="S852" s="20"/>
      <c r="T852" s="20"/>
      <c r="U852" s="20"/>
      <c r="V852" s="20"/>
      <c r="W852" s="20"/>
      <c r="X852" s="20"/>
    </row>
    <row r="853">
      <c r="A853" s="20"/>
      <c r="B853" s="20"/>
      <c r="C853" s="20"/>
      <c r="D853" s="70"/>
      <c r="E853" s="70"/>
      <c r="F853" s="70"/>
      <c r="G853" s="20"/>
      <c r="H853" s="20"/>
      <c r="I853" s="70"/>
      <c r="J853" s="70"/>
      <c r="K853" s="70"/>
      <c r="L853" s="70"/>
      <c r="M853" s="20"/>
      <c r="N853" s="20"/>
      <c r="O853" s="20"/>
      <c r="P853" s="20"/>
      <c r="Q853" s="20"/>
      <c r="R853" s="20"/>
      <c r="S853" s="20"/>
      <c r="T853" s="20"/>
      <c r="U853" s="20"/>
      <c r="V853" s="20"/>
      <c r="W853" s="20"/>
      <c r="X853" s="20"/>
    </row>
    <row r="854">
      <c r="A854" s="20"/>
      <c r="B854" s="20"/>
      <c r="C854" s="20"/>
      <c r="D854" s="70"/>
      <c r="E854" s="70"/>
      <c r="F854" s="70"/>
      <c r="G854" s="20"/>
      <c r="H854" s="20"/>
      <c r="I854" s="70"/>
      <c r="J854" s="70"/>
      <c r="K854" s="70"/>
      <c r="L854" s="70"/>
      <c r="M854" s="20"/>
      <c r="N854" s="20"/>
      <c r="O854" s="20"/>
      <c r="P854" s="20"/>
      <c r="Q854" s="20"/>
      <c r="R854" s="20"/>
      <c r="S854" s="20"/>
      <c r="T854" s="20"/>
      <c r="U854" s="20"/>
      <c r="V854" s="20"/>
      <c r="W854" s="20"/>
      <c r="X854" s="20"/>
    </row>
    <row r="855">
      <c r="A855" s="20"/>
      <c r="B855" s="20"/>
      <c r="C855" s="20"/>
      <c r="D855" s="70"/>
      <c r="E855" s="70"/>
      <c r="F855" s="70"/>
      <c r="G855" s="20"/>
      <c r="H855" s="20"/>
      <c r="I855" s="70"/>
      <c r="J855" s="70"/>
      <c r="K855" s="70"/>
      <c r="L855" s="70"/>
      <c r="M855" s="20"/>
      <c r="N855" s="20"/>
      <c r="O855" s="20"/>
      <c r="P855" s="20"/>
      <c r="Q855" s="20"/>
      <c r="R855" s="20"/>
      <c r="S855" s="20"/>
      <c r="T855" s="20"/>
      <c r="U855" s="20"/>
      <c r="V855" s="20"/>
      <c r="W855" s="20"/>
      <c r="X855" s="20"/>
    </row>
    <row r="856">
      <c r="A856" s="20"/>
      <c r="B856" s="20"/>
      <c r="C856" s="20"/>
      <c r="D856" s="70"/>
      <c r="E856" s="70"/>
      <c r="F856" s="70"/>
      <c r="G856" s="20"/>
      <c r="H856" s="20"/>
      <c r="I856" s="70"/>
      <c r="J856" s="70"/>
      <c r="K856" s="70"/>
      <c r="L856" s="70"/>
      <c r="M856" s="20"/>
      <c r="N856" s="20"/>
      <c r="O856" s="20"/>
      <c r="P856" s="20"/>
      <c r="Q856" s="20"/>
      <c r="R856" s="20"/>
      <c r="S856" s="20"/>
      <c r="T856" s="20"/>
      <c r="U856" s="20"/>
      <c r="V856" s="20"/>
      <c r="W856" s="20"/>
      <c r="X856" s="20"/>
    </row>
    <row r="857">
      <c r="A857" s="20"/>
      <c r="B857" s="20"/>
      <c r="C857" s="20"/>
      <c r="D857" s="70"/>
      <c r="E857" s="70"/>
      <c r="F857" s="70"/>
      <c r="G857" s="20"/>
      <c r="H857" s="20"/>
      <c r="I857" s="70"/>
      <c r="J857" s="70"/>
      <c r="K857" s="70"/>
      <c r="L857" s="70"/>
      <c r="M857" s="20"/>
      <c r="N857" s="20"/>
      <c r="O857" s="20"/>
      <c r="P857" s="20"/>
      <c r="Q857" s="20"/>
      <c r="R857" s="20"/>
      <c r="S857" s="20"/>
      <c r="T857" s="20"/>
      <c r="U857" s="20"/>
      <c r="V857" s="20"/>
      <c r="W857" s="20"/>
      <c r="X857" s="20"/>
    </row>
    <row r="858">
      <c r="A858" s="20"/>
      <c r="B858" s="20"/>
      <c r="C858" s="20"/>
      <c r="D858" s="70"/>
      <c r="E858" s="70"/>
      <c r="F858" s="70"/>
      <c r="G858" s="20"/>
      <c r="H858" s="20"/>
      <c r="I858" s="70"/>
      <c r="J858" s="70"/>
      <c r="K858" s="70"/>
      <c r="L858" s="70"/>
      <c r="M858" s="20"/>
      <c r="N858" s="20"/>
      <c r="O858" s="20"/>
      <c r="P858" s="20"/>
      <c r="Q858" s="20"/>
      <c r="R858" s="20"/>
      <c r="S858" s="20"/>
      <c r="T858" s="20"/>
      <c r="U858" s="20"/>
      <c r="V858" s="20"/>
      <c r="W858" s="20"/>
      <c r="X858" s="20"/>
    </row>
    <row r="859">
      <c r="A859" s="20"/>
      <c r="B859" s="20"/>
      <c r="C859" s="20"/>
      <c r="D859" s="70"/>
      <c r="E859" s="70"/>
      <c r="F859" s="70"/>
      <c r="G859" s="20"/>
      <c r="H859" s="20"/>
      <c r="I859" s="70"/>
      <c r="J859" s="70"/>
      <c r="K859" s="70"/>
      <c r="L859" s="70"/>
      <c r="M859" s="20"/>
      <c r="N859" s="20"/>
      <c r="O859" s="20"/>
      <c r="P859" s="20"/>
      <c r="Q859" s="20"/>
      <c r="R859" s="20"/>
      <c r="S859" s="20"/>
      <c r="T859" s="20"/>
      <c r="U859" s="20"/>
      <c r="V859" s="20"/>
      <c r="W859" s="20"/>
      <c r="X859" s="20"/>
    </row>
    <row r="860">
      <c r="A860" s="20"/>
      <c r="B860" s="20"/>
      <c r="C860" s="20"/>
      <c r="D860" s="70"/>
      <c r="E860" s="70"/>
      <c r="F860" s="70"/>
      <c r="G860" s="20"/>
      <c r="H860" s="20"/>
      <c r="I860" s="70"/>
      <c r="J860" s="70"/>
      <c r="K860" s="70"/>
      <c r="L860" s="70"/>
      <c r="M860" s="20"/>
      <c r="N860" s="20"/>
      <c r="O860" s="20"/>
      <c r="P860" s="20"/>
      <c r="Q860" s="20"/>
      <c r="R860" s="20"/>
      <c r="S860" s="20"/>
      <c r="T860" s="20"/>
      <c r="U860" s="20"/>
      <c r="V860" s="20"/>
      <c r="W860" s="20"/>
      <c r="X860" s="20"/>
    </row>
    <row r="861">
      <c r="A861" s="20"/>
      <c r="B861" s="20"/>
      <c r="C861" s="20"/>
      <c r="D861" s="70"/>
      <c r="E861" s="70"/>
      <c r="F861" s="70"/>
      <c r="G861" s="20"/>
      <c r="H861" s="20"/>
      <c r="I861" s="70"/>
      <c r="J861" s="70"/>
      <c r="K861" s="70"/>
      <c r="L861" s="70"/>
      <c r="M861" s="20"/>
      <c r="N861" s="20"/>
      <c r="O861" s="20"/>
      <c r="P861" s="20"/>
      <c r="Q861" s="20"/>
      <c r="R861" s="20"/>
      <c r="S861" s="20"/>
      <c r="T861" s="20"/>
      <c r="U861" s="20"/>
      <c r="V861" s="20"/>
      <c r="W861" s="20"/>
      <c r="X861" s="20"/>
    </row>
    <row r="862">
      <c r="A862" s="20"/>
      <c r="B862" s="20"/>
      <c r="C862" s="20"/>
      <c r="D862" s="70"/>
      <c r="E862" s="70"/>
      <c r="F862" s="70"/>
      <c r="G862" s="20"/>
      <c r="H862" s="20"/>
      <c r="I862" s="70"/>
      <c r="J862" s="70"/>
      <c r="K862" s="70"/>
      <c r="L862" s="70"/>
      <c r="M862" s="20"/>
      <c r="N862" s="20"/>
      <c r="O862" s="20"/>
      <c r="P862" s="20"/>
      <c r="Q862" s="20"/>
      <c r="R862" s="20"/>
      <c r="S862" s="20"/>
      <c r="T862" s="20"/>
      <c r="U862" s="20"/>
      <c r="V862" s="20"/>
      <c r="W862" s="20"/>
      <c r="X862" s="20"/>
    </row>
    <row r="863">
      <c r="A863" s="20"/>
      <c r="B863" s="20"/>
      <c r="C863" s="20"/>
      <c r="D863" s="70"/>
      <c r="E863" s="70"/>
      <c r="F863" s="70"/>
      <c r="G863" s="20"/>
      <c r="H863" s="20"/>
      <c r="I863" s="70"/>
      <c r="J863" s="70"/>
      <c r="K863" s="70"/>
      <c r="L863" s="70"/>
      <c r="M863" s="20"/>
      <c r="N863" s="20"/>
      <c r="O863" s="20"/>
      <c r="P863" s="20"/>
      <c r="Q863" s="20"/>
      <c r="R863" s="20"/>
      <c r="S863" s="20"/>
      <c r="T863" s="20"/>
      <c r="U863" s="20"/>
      <c r="V863" s="20"/>
      <c r="W863" s="20"/>
      <c r="X863" s="20"/>
    </row>
    <row r="864">
      <c r="A864" s="20"/>
      <c r="B864" s="20"/>
      <c r="C864" s="20"/>
      <c r="D864" s="70"/>
      <c r="E864" s="70"/>
      <c r="F864" s="70"/>
      <c r="G864" s="20"/>
      <c r="H864" s="20"/>
      <c r="I864" s="70"/>
      <c r="J864" s="70"/>
      <c r="K864" s="70"/>
      <c r="L864" s="70"/>
      <c r="M864" s="20"/>
      <c r="N864" s="20"/>
      <c r="O864" s="20"/>
      <c r="P864" s="20"/>
      <c r="Q864" s="20"/>
      <c r="R864" s="20"/>
      <c r="S864" s="20"/>
      <c r="T864" s="20"/>
      <c r="U864" s="20"/>
      <c r="V864" s="20"/>
      <c r="W864" s="20"/>
      <c r="X864" s="20"/>
    </row>
    <row r="865">
      <c r="A865" s="20"/>
      <c r="B865" s="20"/>
      <c r="C865" s="20"/>
      <c r="D865" s="70"/>
      <c r="E865" s="70"/>
      <c r="F865" s="70"/>
      <c r="G865" s="20"/>
      <c r="H865" s="20"/>
      <c r="I865" s="70"/>
      <c r="J865" s="70"/>
      <c r="K865" s="70"/>
      <c r="L865" s="70"/>
      <c r="M865" s="20"/>
      <c r="N865" s="20"/>
      <c r="O865" s="20"/>
      <c r="P865" s="20"/>
      <c r="Q865" s="20"/>
      <c r="R865" s="20"/>
      <c r="S865" s="20"/>
      <c r="T865" s="20"/>
      <c r="U865" s="20"/>
      <c r="V865" s="20"/>
      <c r="W865" s="20"/>
      <c r="X865" s="20"/>
    </row>
    <row r="866">
      <c r="A866" s="20"/>
      <c r="B866" s="20"/>
      <c r="C866" s="20"/>
      <c r="D866" s="70"/>
      <c r="E866" s="70"/>
      <c r="F866" s="70"/>
      <c r="G866" s="20"/>
      <c r="H866" s="20"/>
      <c r="I866" s="70"/>
      <c r="J866" s="70"/>
      <c r="K866" s="70"/>
      <c r="L866" s="70"/>
      <c r="M866" s="20"/>
      <c r="N866" s="20"/>
      <c r="O866" s="20"/>
      <c r="P866" s="20"/>
      <c r="Q866" s="20"/>
      <c r="R866" s="20"/>
      <c r="S866" s="20"/>
      <c r="T866" s="20"/>
      <c r="U866" s="20"/>
      <c r="V866" s="20"/>
      <c r="W866" s="20"/>
      <c r="X866" s="20"/>
    </row>
    <row r="867">
      <c r="A867" s="20"/>
      <c r="B867" s="20"/>
      <c r="C867" s="20"/>
      <c r="D867" s="70"/>
      <c r="E867" s="70"/>
      <c r="F867" s="70"/>
      <c r="G867" s="20"/>
      <c r="H867" s="20"/>
      <c r="I867" s="70"/>
      <c r="J867" s="70"/>
      <c r="K867" s="70"/>
      <c r="L867" s="70"/>
      <c r="M867" s="20"/>
      <c r="N867" s="20"/>
      <c r="O867" s="20"/>
      <c r="P867" s="20"/>
      <c r="Q867" s="20"/>
      <c r="R867" s="20"/>
      <c r="S867" s="20"/>
      <c r="T867" s="20"/>
      <c r="U867" s="20"/>
      <c r="V867" s="20"/>
      <c r="W867" s="20"/>
      <c r="X867" s="20"/>
    </row>
    <row r="868">
      <c r="A868" s="20"/>
      <c r="B868" s="20"/>
      <c r="C868" s="20"/>
      <c r="D868" s="70"/>
      <c r="E868" s="70"/>
      <c r="F868" s="70"/>
      <c r="G868" s="20"/>
      <c r="H868" s="20"/>
      <c r="I868" s="70"/>
      <c r="J868" s="70"/>
      <c r="K868" s="70"/>
      <c r="L868" s="70"/>
      <c r="M868" s="20"/>
      <c r="N868" s="20"/>
      <c r="O868" s="20"/>
      <c r="P868" s="20"/>
      <c r="Q868" s="20"/>
      <c r="R868" s="20"/>
      <c r="S868" s="20"/>
      <c r="T868" s="20"/>
      <c r="U868" s="20"/>
      <c r="V868" s="20"/>
      <c r="W868" s="20"/>
      <c r="X868" s="20"/>
    </row>
    <row r="869">
      <c r="A869" s="20"/>
      <c r="B869" s="20"/>
      <c r="C869" s="20"/>
      <c r="D869" s="70"/>
      <c r="E869" s="70"/>
      <c r="F869" s="70"/>
      <c r="G869" s="20"/>
      <c r="H869" s="20"/>
      <c r="I869" s="70"/>
      <c r="J869" s="70"/>
      <c r="K869" s="70"/>
      <c r="L869" s="70"/>
      <c r="M869" s="20"/>
      <c r="N869" s="20"/>
      <c r="O869" s="20"/>
      <c r="P869" s="20"/>
      <c r="Q869" s="20"/>
      <c r="R869" s="20"/>
      <c r="S869" s="20"/>
      <c r="T869" s="20"/>
      <c r="U869" s="20"/>
      <c r="V869" s="20"/>
      <c r="W869" s="20"/>
      <c r="X869" s="20"/>
    </row>
    <row r="870">
      <c r="A870" s="20"/>
      <c r="B870" s="20"/>
      <c r="C870" s="20"/>
      <c r="D870" s="70"/>
      <c r="E870" s="70"/>
      <c r="F870" s="70"/>
      <c r="G870" s="20"/>
      <c r="H870" s="20"/>
      <c r="I870" s="70"/>
      <c r="J870" s="70"/>
      <c r="K870" s="70"/>
      <c r="L870" s="70"/>
      <c r="M870" s="20"/>
      <c r="N870" s="20"/>
      <c r="O870" s="20"/>
      <c r="P870" s="20"/>
      <c r="Q870" s="20"/>
      <c r="R870" s="20"/>
      <c r="S870" s="20"/>
      <c r="T870" s="20"/>
      <c r="U870" s="20"/>
      <c r="V870" s="20"/>
      <c r="W870" s="20"/>
      <c r="X870" s="20"/>
    </row>
    <row r="871">
      <c r="A871" s="20"/>
      <c r="B871" s="20"/>
      <c r="C871" s="20"/>
      <c r="D871" s="70"/>
      <c r="E871" s="70"/>
      <c r="F871" s="70"/>
      <c r="G871" s="20"/>
      <c r="H871" s="20"/>
      <c r="I871" s="70"/>
      <c r="J871" s="70"/>
      <c r="K871" s="70"/>
      <c r="L871" s="70"/>
      <c r="M871" s="20"/>
      <c r="N871" s="20"/>
      <c r="O871" s="20"/>
      <c r="P871" s="20"/>
      <c r="Q871" s="20"/>
      <c r="R871" s="20"/>
      <c r="S871" s="20"/>
      <c r="T871" s="20"/>
      <c r="U871" s="20"/>
      <c r="V871" s="20"/>
      <c r="W871" s="20"/>
      <c r="X871" s="20"/>
    </row>
    <row r="872">
      <c r="A872" s="20"/>
      <c r="B872" s="20"/>
      <c r="C872" s="20"/>
      <c r="D872" s="70"/>
      <c r="E872" s="70"/>
      <c r="F872" s="70"/>
      <c r="G872" s="20"/>
      <c r="H872" s="20"/>
      <c r="I872" s="70"/>
      <c r="J872" s="70"/>
      <c r="K872" s="70"/>
      <c r="L872" s="70"/>
      <c r="M872" s="20"/>
      <c r="N872" s="20"/>
      <c r="O872" s="20"/>
      <c r="P872" s="20"/>
      <c r="Q872" s="20"/>
      <c r="R872" s="20"/>
      <c r="S872" s="20"/>
      <c r="T872" s="20"/>
      <c r="U872" s="20"/>
      <c r="V872" s="20"/>
      <c r="W872" s="20"/>
      <c r="X872" s="20"/>
    </row>
    <row r="873">
      <c r="A873" s="20"/>
      <c r="B873" s="20"/>
      <c r="C873" s="20"/>
      <c r="D873" s="70"/>
      <c r="E873" s="70"/>
      <c r="F873" s="70"/>
      <c r="G873" s="20"/>
      <c r="H873" s="20"/>
      <c r="I873" s="70"/>
      <c r="J873" s="70"/>
      <c r="K873" s="70"/>
      <c r="L873" s="70"/>
      <c r="M873" s="20"/>
      <c r="N873" s="20"/>
      <c r="O873" s="20"/>
      <c r="P873" s="20"/>
      <c r="Q873" s="20"/>
      <c r="R873" s="20"/>
      <c r="S873" s="20"/>
      <c r="T873" s="20"/>
      <c r="U873" s="20"/>
      <c r="V873" s="20"/>
      <c r="W873" s="20"/>
      <c r="X873" s="20"/>
    </row>
    <row r="874">
      <c r="A874" s="20"/>
      <c r="B874" s="20"/>
      <c r="C874" s="20"/>
      <c r="D874" s="70"/>
      <c r="E874" s="70"/>
      <c r="F874" s="70"/>
      <c r="G874" s="20"/>
      <c r="H874" s="20"/>
      <c r="I874" s="70"/>
      <c r="J874" s="70"/>
      <c r="K874" s="70"/>
      <c r="L874" s="70"/>
      <c r="M874" s="20"/>
      <c r="N874" s="20"/>
      <c r="O874" s="20"/>
      <c r="P874" s="20"/>
      <c r="Q874" s="20"/>
      <c r="R874" s="20"/>
      <c r="S874" s="20"/>
      <c r="T874" s="20"/>
      <c r="U874" s="20"/>
      <c r="V874" s="20"/>
      <c r="W874" s="20"/>
      <c r="X874" s="20"/>
    </row>
    <row r="875">
      <c r="A875" s="20"/>
      <c r="B875" s="20"/>
      <c r="C875" s="20"/>
      <c r="D875" s="70"/>
      <c r="E875" s="70"/>
      <c r="F875" s="70"/>
      <c r="G875" s="20"/>
      <c r="H875" s="20"/>
      <c r="I875" s="70"/>
      <c r="J875" s="70"/>
      <c r="K875" s="70"/>
      <c r="L875" s="70"/>
      <c r="M875" s="20"/>
      <c r="N875" s="20"/>
      <c r="O875" s="20"/>
      <c r="P875" s="20"/>
      <c r="Q875" s="20"/>
      <c r="R875" s="20"/>
      <c r="S875" s="20"/>
      <c r="T875" s="20"/>
      <c r="U875" s="20"/>
      <c r="V875" s="20"/>
      <c r="W875" s="20"/>
      <c r="X875" s="20"/>
    </row>
    <row r="876">
      <c r="A876" s="20"/>
      <c r="B876" s="20"/>
      <c r="C876" s="20"/>
      <c r="D876" s="70"/>
      <c r="E876" s="70"/>
      <c r="F876" s="70"/>
      <c r="G876" s="20"/>
      <c r="H876" s="20"/>
      <c r="I876" s="70"/>
      <c r="J876" s="70"/>
      <c r="K876" s="70"/>
      <c r="L876" s="70"/>
      <c r="M876" s="20"/>
      <c r="N876" s="20"/>
      <c r="O876" s="20"/>
      <c r="P876" s="20"/>
      <c r="Q876" s="20"/>
      <c r="R876" s="20"/>
      <c r="S876" s="20"/>
      <c r="T876" s="20"/>
      <c r="U876" s="20"/>
      <c r="V876" s="20"/>
      <c r="W876" s="20"/>
      <c r="X876" s="20"/>
    </row>
    <row r="877">
      <c r="A877" s="20"/>
      <c r="B877" s="20"/>
      <c r="C877" s="20"/>
      <c r="D877" s="70"/>
      <c r="E877" s="70"/>
      <c r="F877" s="70"/>
      <c r="G877" s="20"/>
      <c r="H877" s="20"/>
      <c r="I877" s="70"/>
      <c r="J877" s="70"/>
      <c r="K877" s="70"/>
      <c r="L877" s="70"/>
      <c r="M877" s="20"/>
      <c r="N877" s="20"/>
      <c r="O877" s="20"/>
      <c r="P877" s="20"/>
      <c r="Q877" s="20"/>
      <c r="R877" s="20"/>
      <c r="S877" s="20"/>
      <c r="T877" s="20"/>
      <c r="U877" s="20"/>
      <c r="V877" s="20"/>
      <c r="W877" s="20"/>
      <c r="X877" s="20"/>
    </row>
    <row r="878">
      <c r="A878" s="20"/>
      <c r="B878" s="20"/>
      <c r="C878" s="20"/>
      <c r="D878" s="70"/>
      <c r="E878" s="70"/>
      <c r="F878" s="70"/>
      <c r="G878" s="20"/>
      <c r="H878" s="20"/>
      <c r="I878" s="70"/>
      <c r="J878" s="70"/>
      <c r="K878" s="70"/>
      <c r="L878" s="70"/>
      <c r="M878" s="20"/>
      <c r="N878" s="20"/>
      <c r="O878" s="20"/>
      <c r="P878" s="20"/>
      <c r="Q878" s="20"/>
      <c r="R878" s="20"/>
      <c r="S878" s="20"/>
      <c r="T878" s="20"/>
      <c r="U878" s="20"/>
      <c r="V878" s="20"/>
      <c r="W878" s="20"/>
      <c r="X878" s="20"/>
    </row>
    <row r="879">
      <c r="A879" s="20"/>
      <c r="B879" s="20"/>
      <c r="C879" s="20"/>
      <c r="D879" s="70"/>
      <c r="E879" s="70"/>
      <c r="F879" s="70"/>
      <c r="G879" s="20"/>
      <c r="H879" s="20"/>
      <c r="I879" s="70"/>
      <c r="J879" s="70"/>
      <c r="K879" s="70"/>
      <c r="L879" s="70"/>
      <c r="M879" s="20"/>
      <c r="N879" s="20"/>
      <c r="O879" s="20"/>
      <c r="P879" s="20"/>
      <c r="Q879" s="20"/>
      <c r="R879" s="20"/>
      <c r="S879" s="20"/>
      <c r="T879" s="20"/>
      <c r="U879" s="20"/>
      <c r="V879" s="20"/>
      <c r="W879" s="20"/>
      <c r="X879" s="20"/>
    </row>
    <row r="880">
      <c r="A880" s="20"/>
      <c r="B880" s="20"/>
      <c r="C880" s="20"/>
      <c r="D880" s="70"/>
      <c r="E880" s="70"/>
      <c r="F880" s="70"/>
      <c r="G880" s="20"/>
      <c r="H880" s="20"/>
      <c r="I880" s="70"/>
      <c r="J880" s="70"/>
      <c r="K880" s="70"/>
      <c r="L880" s="70"/>
      <c r="M880" s="20"/>
      <c r="N880" s="20"/>
      <c r="O880" s="20"/>
      <c r="P880" s="20"/>
      <c r="Q880" s="20"/>
      <c r="R880" s="20"/>
      <c r="S880" s="20"/>
      <c r="T880" s="20"/>
      <c r="U880" s="20"/>
      <c r="V880" s="20"/>
      <c r="W880" s="20"/>
      <c r="X880" s="20"/>
    </row>
    <row r="881">
      <c r="A881" s="20"/>
      <c r="B881" s="20"/>
      <c r="C881" s="20"/>
      <c r="D881" s="70"/>
      <c r="E881" s="70"/>
      <c r="F881" s="70"/>
      <c r="G881" s="20"/>
      <c r="H881" s="20"/>
      <c r="I881" s="70"/>
      <c r="J881" s="70"/>
      <c r="K881" s="70"/>
      <c r="L881" s="70"/>
      <c r="M881" s="20"/>
      <c r="N881" s="20"/>
      <c r="O881" s="20"/>
      <c r="P881" s="20"/>
      <c r="Q881" s="20"/>
      <c r="R881" s="20"/>
      <c r="S881" s="20"/>
      <c r="T881" s="20"/>
      <c r="U881" s="20"/>
      <c r="V881" s="20"/>
      <c r="W881" s="20"/>
      <c r="X881" s="20"/>
    </row>
    <row r="882">
      <c r="A882" s="20"/>
      <c r="B882" s="20"/>
      <c r="C882" s="20"/>
      <c r="D882" s="70"/>
      <c r="E882" s="70"/>
      <c r="F882" s="70"/>
      <c r="G882" s="20"/>
      <c r="H882" s="20"/>
      <c r="I882" s="70"/>
      <c r="J882" s="70"/>
      <c r="K882" s="70"/>
      <c r="L882" s="70"/>
      <c r="M882" s="20"/>
      <c r="N882" s="20"/>
      <c r="O882" s="20"/>
      <c r="P882" s="20"/>
      <c r="Q882" s="20"/>
      <c r="R882" s="20"/>
      <c r="S882" s="20"/>
      <c r="T882" s="20"/>
      <c r="U882" s="20"/>
      <c r="V882" s="20"/>
      <c r="W882" s="20"/>
      <c r="X882" s="20"/>
    </row>
    <row r="883">
      <c r="A883" s="20"/>
      <c r="B883" s="20"/>
      <c r="C883" s="20"/>
      <c r="D883" s="70"/>
      <c r="E883" s="70"/>
      <c r="F883" s="70"/>
      <c r="G883" s="20"/>
      <c r="H883" s="20"/>
      <c r="I883" s="70"/>
      <c r="J883" s="70"/>
      <c r="K883" s="70"/>
      <c r="L883" s="70"/>
      <c r="M883" s="20"/>
      <c r="N883" s="20"/>
      <c r="O883" s="20"/>
      <c r="P883" s="20"/>
      <c r="Q883" s="20"/>
      <c r="R883" s="20"/>
      <c r="S883" s="20"/>
      <c r="T883" s="20"/>
      <c r="U883" s="20"/>
      <c r="V883" s="20"/>
      <c r="W883" s="20"/>
      <c r="X883" s="20"/>
    </row>
    <row r="884">
      <c r="A884" s="20"/>
      <c r="B884" s="20"/>
      <c r="C884" s="20"/>
      <c r="D884" s="70"/>
      <c r="E884" s="70"/>
      <c r="F884" s="70"/>
      <c r="G884" s="20"/>
      <c r="H884" s="20"/>
      <c r="I884" s="70"/>
      <c r="J884" s="70"/>
      <c r="K884" s="70"/>
      <c r="L884" s="70"/>
      <c r="M884" s="20"/>
      <c r="N884" s="20"/>
      <c r="O884" s="20"/>
      <c r="P884" s="20"/>
      <c r="Q884" s="20"/>
      <c r="R884" s="20"/>
      <c r="S884" s="20"/>
      <c r="T884" s="20"/>
      <c r="U884" s="20"/>
      <c r="V884" s="20"/>
      <c r="W884" s="20"/>
      <c r="X884" s="20"/>
    </row>
    <row r="885">
      <c r="A885" s="20"/>
      <c r="B885" s="20"/>
      <c r="C885" s="20"/>
      <c r="D885" s="70"/>
      <c r="E885" s="70"/>
      <c r="F885" s="70"/>
      <c r="G885" s="20"/>
      <c r="H885" s="20"/>
      <c r="I885" s="70"/>
      <c r="J885" s="70"/>
      <c r="K885" s="70"/>
      <c r="L885" s="70"/>
      <c r="M885" s="20"/>
      <c r="N885" s="20"/>
      <c r="O885" s="20"/>
      <c r="P885" s="20"/>
      <c r="Q885" s="20"/>
      <c r="R885" s="20"/>
      <c r="S885" s="20"/>
      <c r="T885" s="20"/>
      <c r="U885" s="20"/>
      <c r="V885" s="20"/>
      <c r="W885" s="20"/>
      <c r="X885" s="20"/>
    </row>
    <row r="886">
      <c r="A886" s="20"/>
      <c r="B886" s="20"/>
      <c r="C886" s="20"/>
      <c r="D886" s="70"/>
      <c r="E886" s="70"/>
      <c r="F886" s="70"/>
      <c r="G886" s="20"/>
      <c r="H886" s="20"/>
      <c r="I886" s="70"/>
      <c r="J886" s="70"/>
      <c r="K886" s="70"/>
      <c r="L886" s="70"/>
      <c r="M886" s="20"/>
      <c r="N886" s="20"/>
      <c r="O886" s="20"/>
      <c r="P886" s="20"/>
      <c r="Q886" s="20"/>
      <c r="R886" s="20"/>
      <c r="S886" s="20"/>
      <c r="T886" s="20"/>
      <c r="U886" s="20"/>
      <c r="V886" s="20"/>
      <c r="W886" s="20"/>
      <c r="X886" s="20"/>
    </row>
    <row r="887">
      <c r="A887" s="20"/>
      <c r="B887" s="20"/>
      <c r="C887" s="20"/>
      <c r="D887" s="70"/>
      <c r="E887" s="70"/>
      <c r="F887" s="70"/>
      <c r="G887" s="20"/>
      <c r="H887" s="20"/>
      <c r="I887" s="70"/>
      <c r="J887" s="70"/>
      <c r="K887" s="70"/>
      <c r="L887" s="70"/>
      <c r="M887" s="20"/>
      <c r="N887" s="20"/>
      <c r="O887" s="20"/>
      <c r="P887" s="20"/>
      <c r="Q887" s="20"/>
      <c r="R887" s="20"/>
      <c r="S887" s="20"/>
      <c r="T887" s="20"/>
      <c r="U887" s="20"/>
      <c r="V887" s="20"/>
      <c r="W887" s="20"/>
      <c r="X887" s="20"/>
    </row>
    <row r="888">
      <c r="A888" s="20"/>
      <c r="B888" s="20"/>
      <c r="C888" s="20"/>
      <c r="D888" s="70"/>
      <c r="E888" s="70"/>
      <c r="F888" s="70"/>
      <c r="G888" s="20"/>
      <c r="H888" s="20"/>
      <c r="I888" s="70"/>
      <c r="J888" s="70"/>
      <c r="K888" s="70"/>
      <c r="L888" s="70"/>
      <c r="M888" s="20"/>
      <c r="N888" s="20"/>
      <c r="O888" s="20"/>
      <c r="P888" s="20"/>
      <c r="Q888" s="20"/>
      <c r="R888" s="20"/>
      <c r="S888" s="20"/>
      <c r="T888" s="20"/>
      <c r="U888" s="20"/>
      <c r="V888" s="20"/>
      <c r="W888" s="20"/>
      <c r="X888" s="20"/>
    </row>
    <row r="889">
      <c r="A889" s="20"/>
      <c r="B889" s="20"/>
      <c r="C889" s="20"/>
      <c r="D889" s="70"/>
      <c r="E889" s="70"/>
      <c r="F889" s="70"/>
      <c r="G889" s="20"/>
      <c r="H889" s="20"/>
      <c r="I889" s="70"/>
      <c r="J889" s="70"/>
      <c r="K889" s="70"/>
      <c r="L889" s="70"/>
      <c r="M889" s="20"/>
      <c r="N889" s="20"/>
      <c r="O889" s="20"/>
      <c r="P889" s="20"/>
      <c r="Q889" s="20"/>
      <c r="R889" s="20"/>
      <c r="S889" s="20"/>
      <c r="T889" s="20"/>
      <c r="U889" s="20"/>
      <c r="V889" s="20"/>
      <c r="W889" s="20"/>
      <c r="X889" s="20"/>
    </row>
    <row r="890">
      <c r="A890" s="20"/>
      <c r="B890" s="20"/>
      <c r="C890" s="20"/>
      <c r="D890" s="70"/>
      <c r="E890" s="70"/>
      <c r="F890" s="70"/>
      <c r="G890" s="20"/>
      <c r="H890" s="20"/>
      <c r="I890" s="70"/>
      <c r="J890" s="70"/>
      <c r="K890" s="70"/>
      <c r="L890" s="70"/>
      <c r="M890" s="20"/>
      <c r="N890" s="20"/>
      <c r="O890" s="20"/>
      <c r="P890" s="20"/>
      <c r="Q890" s="20"/>
      <c r="R890" s="20"/>
      <c r="S890" s="20"/>
      <c r="T890" s="20"/>
      <c r="U890" s="20"/>
      <c r="V890" s="20"/>
      <c r="W890" s="20"/>
      <c r="X890" s="20"/>
    </row>
    <row r="891">
      <c r="A891" s="20"/>
      <c r="B891" s="20"/>
      <c r="C891" s="20"/>
      <c r="D891" s="70"/>
      <c r="E891" s="70"/>
      <c r="F891" s="70"/>
      <c r="G891" s="20"/>
      <c r="H891" s="20"/>
      <c r="I891" s="70"/>
      <c r="J891" s="70"/>
      <c r="K891" s="70"/>
      <c r="L891" s="70"/>
      <c r="M891" s="20"/>
      <c r="N891" s="20"/>
      <c r="O891" s="20"/>
      <c r="P891" s="20"/>
      <c r="Q891" s="20"/>
      <c r="R891" s="20"/>
      <c r="S891" s="20"/>
      <c r="T891" s="20"/>
      <c r="U891" s="20"/>
      <c r="V891" s="20"/>
      <c r="W891" s="20"/>
      <c r="X891" s="20"/>
    </row>
    <row r="892">
      <c r="A892" s="20"/>
      <c r="B892" s="20"/>
      <c r="C892" s="20"/>
      <c r="D892" s="70"/>
      <c r="E892" s="70"/>
      <c r="F892" s="70"/>
      <c r="G892" s="20"/>
      <c r="H892" s="20"/>
      <c r="I892" s="70"/>
      <c r="J892" s="70"/>
      <c r="K892" s="70"/>
      <c r="L892" s="70"/>
      <c r="M892" s="20"/>
      <c r="N892" s="20"/>
      <c r="O892" s="20"/>
      <c r="P892" s="20"/>
      <c r="Q892" s="20"/>
      <c r="R892" s="20"/>
      <c r="S892" s="20"/>
      <c r="T892" s="20"/>
      <c r="U892" s="20"/>
      <c r="V892" s="20"/>
      <c r="W892" s="20"/>
      <c r="X892" s="20"/>
    </row>
    <row r="893">
      <c r="A893" s="20"/>
      <c r="B893" s="20"/>
      <c r="C893" s="20"/>
      <c r="D893" s="70"/>
      <c r="E893" s="70"/>
      <c r="F893" s="70"/>
      <c r="G893" s="20"/>
      <c r="H893" s="20"/>
      <c r="I893" s="70"/>
      <c r="J893" s="70"/>
      <c r="K893" s="70"/>
      <c r="L893" s="70"/>
      <c r="M893" s="20"/>
      <c r="N893" s="20"/>
      <c r="O893" s="20"/>
      <c r="P893" s="20"/>
      <c r="Q893" s="20"/>
      <c r="R893" s="20"/>
      <c r="S893" s="20"/>
      <c r="T893" s="20"/>
      <c r="U893" s="20"/>
      <c r="V893" s="20"/>
      <c r="W893" s="20"/>
      <c r="X893" s="20"/>
    </row>
    <row r="894">
      <c r="A894" s="20"/>
      <c r="B894" s="20"/>
      <c r="C894" s="20"/>
      <c r="D894" s="70"/>
      <c r="E894" s="70"/>
      <c r="F894" s="70"/>
      <c r="G894" s="20"/>
      <c r="H894" s="20"/>
      <c r="I894" s="70"/>
      <c r="J894" s="70"/>
      <c r="K894" s="70"/>
      <c r="L894" s="70"/>
      <c r="M894" s="20"/>
      <c r="N894" s="20"/>
      <c r="O894" s="20"/>
      <c r="P894" s="20"/>
      <c r="Q894" s="20"/>
      <c r="R894" s="20"/>
      <c r="S894" s="20"/>
      <c r="T894" s="20"/>
      <c r="U894" s="20"/>
      <c r="V894" s="20"/>
      <c r="W894" s="20"/>
      <c r="X894" s="20"/>
    </row>
    <row r="895">
      <c r="A895" s="20"/>
      <c r="B895" s="20"/>
      <c r="C895" s="20"/>
      <c r="D895" s="70"/>
      <c r="E895" s="70"/>
      <c r="F895" s="70"/>
      <c r="G895" s="20"/>
      <c r="H895" s="20"/>
      <c r="I895" s="70"/>
      <c r="J895" s="70"/>
      <c r="K895" s="70"/>
      <c r="L895" s="70"/>
      <c r="M895" s="20"/>
      <c r="N895" s="20"/>
      <c r="O895" s="20"/>
      <c r="P895" s="20"/>
      <c r="Q895" s="20"/>
      <c r="R895" s="20"/>
      <c r="S895" s="20"/>
      <c r="T895" s="20"/>
      <c r="U895" s="20"/>
      <c r="V895" s="20"/>
      <c r="W895" s="20"/>
      <c r="X895" s="20"/>
    </row>
    <row r="896">
      <c r="A896" s="20"/>
      <c r="B896" s="20"/>
      <c r="C896" s="20"/>
      <c r="D896" s="70"/>
      <c r="E896" s="70"/>
      <c r="F896" s="70"/>
      <c r="G896" s="20"/>
      <c r="H896" s="20"/>
      <c r="I896" s="70"/>
      <c r="J896" s="70"/>
      <c r="K896" s="70"/>
      <c r="L896" s="70"/>
      <c r="M896" s="20"/>
      <c r="N896" s="20"/>
      <c r="O896" s="20"/>
      <c r="P896" s="20"/>
      <c r="Q896" s="20"/>
      <c r="R896" s="20"/>
      <c r="S896" s="20"/>
      <c r="T896" s="20"/>
      <c r="U896" s="20"/>
      <c r="V896" s="20"/>
      <c r="W896" s="20"/>
      <c r="X896" s="20"/>
    </row>
    <row r="897">
      <c r="A897" s="20"/>
      <c r="B897" s="20"/>
      <c r="C897" s="20"/>
      <c r="D897" s="70"/>
      <c r="E897" s="70"/>
      <c r="F897" s="70"/>
      <c r="G897" s="20"/>
      <c r="H897" s="20"/>
      <c r="I897" s="70"/>
      <c r="J897" s="70"/>
      <c r="K897" s="70"/>
      <c r="L897" s="70"/>
      <c r="M897" s="20"/>
      <c r="N897" s="20"/>
      <c r="O897" s="20"/>
      <c r="P897" s="20"/>
      <c r="Q897" s="20"/>
      <c r="R897" s="20"/>
      <c r="S897" s="20"/>
      <c r="T897" s="20"/>
      <c r="U897" s="20"/>
      <c r="V897" s="20"/>
      <c r="W897" s="20"/>
      <c r="X897" s="20"/>
    </row>
    <row r="898">
      <c r="A898" s="20"/>
      <c r="B898" s="20"/>
      <c r="C898" s="20"/>
      <c r="D898" s="70"/>
      <c r="E898" s="70"/>
      <c r="F898" s="70"/>
      <c r="G898" s="20"/>
      <c r="H898" s="20"/>
      <c r="I898" s="70"/>
      <c r="J898" s="70"/>
      <c r="K898" s="70"/>
      <c r="L898" s="70"/>
      <c r="M898" s="20"/>
      <c r="N898" s="20"/>
      <c r="O898" s="20"/>
      <c r="P898" s="20"/>
      <c r="Q898" s="20"/>
      <c r="R898" s="20"/>
      <c r="S898" s="20"/>
      <c r="T898" s="20"/>
      <c r="U898" s="20"/>
      <c r="V898" s="20"/>
      <c r="W898" s="20"/>
      <c r="X898" s="20"/>
    </row>
    <row r="899">
      <c r="A899" s="20"/>
      <c r="B899" s="20"/>
      <c r="C899" s="20"/>
      <c r="D899" s="70"/>
      <c r="E899" s="70"/>
      <c r="F899" s="70"/>
      <c r="G899" s="20"/>
      <c r="H899" s="20"/>
      <c r="I899" s="70"/>
      <c r="J899" s="70"/>
      <c r="K899" s="70"/>
      <c r="L899" s="70"/>
      <c r="M899" s="20"/>
      <c r="N899" s="20"/>
      <c r="O899" s="20"/>
      <c r="P899" s="20"/>
      <c r="Q899" s="20"/>
      <c r="R899" s="20"/>
      <c r="S899" s="20"/>
      <c r="T899" s="20"/>
      <c r="U899" s="20"/>
      <c r="V899" s="20"/>
      <c r="W899" s="20"/>
      <c r="X899" s="20"/>
    </row>
    <row r="900">
      <c r="A900" s="20"/>
      <c r="B900" s="20"/>
      <c r="C900" s="20"/>
      <c r="D900" s="70"/>
      <c r="E900" s="70"/>
      <c r="F900" s="70"/>
      <c r="G900" s="20"/>
      <c r="H900" s="20"/>
      <c r="I900" s="70"/>
      <c r="J900" s="70"/>
      <c r="K900" s="70"/>
      <c r="L900" s="70"/>
      <c r="M900" s="20"/>
      <c r="N900" s="20"/>
      <c r="O900" s="20"/>
      <c r="P900" s="20"/>
      <c r="Q900" s="20"/>
      <c r="R900" s="20"/>
      <c r="S900" s="20"/>
      <c r="T900" s="20"/>
      <c r="U900" s="20"/>
      <c r="V900" s="20"/>
      <c r="W900" s="20"/>
      <c r="X900" s="20"/>
    </row>
    <row r="901">
      <c r="A901" s="20"/>
      <c r="B901" s="20"/>
      <c r="C901" s="20"/>
      <c r="D901" s="70"/>
      <c r="E901" s="70"/>
      <c r="F901" s="70"/>
      <c r="G901" s="20"/>
      <c r="H901" s="20"/>
      <c r="I901" s="70"/>
      <c r="J901" s="70"/>
      <c r="K901" s="70"/>
      <c r="L901" s="70"/>
      <c r="M901" s="20"/>
      <c r="N901" s="20"/>
      <c r="O901" s="20"/>
      <c r="P901" s="20"/>
      <c r="Q901" s="20"/>
      <c r="R901" s="20"/>
      <c r="S901" s="20"/>
      <c r="T901" s="20"/>
      <c r="U901" s="20"/>
      <c r="V901" s="20"/>
      <c r="W901" s="20"/>
      <c r="X901" s="20"/>
    </row>
    <row r="902">
      <c r="A902" s="20"/>
      <c r="B902" s="20"/>
      <c r="C902" s="20"/>
      <c r="D902" s="70"/>
      <c r="E902" s="70"/>
      <c r="F902" s="70"/>
      <c r="G902" s="20"/>
      <c r="H902" s="20"/>
      <c r="I902" s="70"/>
      <c r="J902" s="70"/>
      <c r="K902" s="70"/>
      <c r="L902" s="70"/>
      <c r="M902" s="20"/>
      <c r="N902" s="20"/>
      <c r="O902" s="20"/>
      <c r="P902" s="20"/>
      <c r="Q902" s="20"/>
      <c r="R902" s="20"/>
      <c r="S902" s="20"/>
      <c r="T902" s="20"/>
      <c r="U902" s="20"/>
      <c r="V902" s="20"/>
      <c r="W902" s="20"/>
      <c r="X902" s="20"/>
    </row>
    <row r="903">
      <c r="A903" s="20"/>
      <c r="B903" s="20"/>
      <c r="C903" s="20"/>
      <c r="D903" s="70"/>
      <c r="E903" s="70"/>
      <c r="F903" s="70"/>
      <c r="G903" s="20"/>
      <c r="H903" s="20"/>
      <c r="I903" s="70"/>
      <c r="J903" s="70"/>
      <c r="K903" s="70"/>
      <c r="L903" s="70"/>
      <c r="M903" s="20"/>
      <c r="N903" s="20"/>
      <c r="O903" s="20"/>
      <c r="P903" s="20"/>
      <c r="Q903" s="20"/>
      <c r="R903" s="20"/>
      <c r="S903" s="20"/>
      <c r="T903" s="20"/>
      <c r="U903" s="20"/>
      <c r="V903" s="20"/>
      <c r="W903" s="20"/>
      <c r="X903" s="20"/>
    </row>
    <row r="904">
      <c r="A904" s="20"/>
      <c r="B904" s="20"/>
      <c r="C904" s="20"/>
      <c r="D904" s="70"/>
      <c r="E904" s="70"/>
      <c r="F904" s="70"/>
      <c r="G904" s="20"/>
      <c r="H904" s="20"/>
      <c r="I904" s="70"/>
      <c r="J904" s="70"/>
      <c r="K904" s="70"/>
      <c r="L904" s="70"/>
      <c r="M904" s="20"/>
      <c r="N904" s="20"/>
      <c r="O904" s="20"/>
      <c r="P904" s="20"/>
      <c r="Q904" s="20"/>
      <c r="R904" s="20"/>
      <c r="S904" s="20"/>
      <c r="T904" s="20"/>
      <c r="U904" s="20"/>
      <c r="V904" s="20"/>
      <c r="W904" s="20"/>
      <c r="X904" s="20"/>
    </row>
    <row r="905">
      <c r="A905" s="20"/>
      <c r="B905" s="20"/>
      <c r="C905" s="20"/>
      <c r="D905" s="70"/>
      <c r="E905" s="70"/>
      <c r="F905" s="70"/>
      <c r="G905" s="20"/>
      <c r="H905" s="20"/>
      <c r="I905" s="70"/>
      <c r="J905" s="70"/>
      <c r="K905" s="70"/>
      <c r="L905" s="70"/>
      <c r="M905" s="20"/>
      <c r="N905" s="20"/>
      <c r="O905" s="20"/>
      <c r="P905" s="20"/>
      <c r="Q905" s="20"/>
      <c r="R905" s="20"/>
      <c r="S905" s="20"/>
      <c r="T905" s="20"/>
      <c r="U905" s="20"/>
      <c r="V905" s="20"/>
      <c r="W905" s="20"/>
      <c r="X905" s="20"/>
    </row>
    <row r="906">
      <c r="A906" s="20"/>
      <c r="B906" s="20"/>
      <c r="C906" s="20"/>
      <c r="D906" s="70"/>
      <c r="E906" s="70"/>
      <c r="F906" s="70"/>
      <c r="G906" s="20"/>
      <c r="H906" s="20"/>
      <c r="I906" s="70"/>
      <c r="J906" s="70"/>
      <c r="K906" s="70"/>
      <c r="L906" s="70"/>
      <c r="M906" s="20"/>
      <c r="N906" s="20"/>
      <c r="O906" s="20"/>
      <c r="P906" s="20"/>
      <c r="Q906" s="20"/>
      <c r="R906" s="20"/>
      <c r="S906" s="20"/>
      <c r="T906" s="20"/>
      <c r="U906" s="20"/>
      <c r="V906" s="20"/>
      <c r="W906" s="20"/>
      <c r="X906" s="20"/>
    </row>
    <row r="907">
      <c r="A907" s="20"/>
      <c r="B907" s="20"/>
      <c r="C907" s="20"/>
      <c r="D907" s="70"/>
      <c r="E907" s="70"/>
      <c r="F907" s="70"/>
      <c r="G907" s="20"/>
      <c r="H907" s="20"/>
      <c r="I907" s="70"/>
      <c r="J907" s="70"/>
      <c r="K907" s="70"/>
      <c r="L907" s="70"/>
      <c r="M907" s="20"/>
      <c r="N907" s="20"/>
      <c r="O907" s="20"/>
      <c r="P907" s="20"/>
      <c r="Q907" s="20"/>
      <c r="R907" s="20"/>
      <c r="S907" s="20"/>
      <c r="T907" s="20"/>
      <c r="U907" s="20"/>
      <c r="V907" s="20"/>
      <c r="W907" s="20"/>
      <c r="X907" s="20"/>
    </row>
    <row r="908">
      <c r="A908" s="20"/>
      <c r="B908" s="20"/>
      <c r="C908" s="20"/>
      <c r="D908" s="70"/>
      <c r="E908" s="70"/>
      <c r="F908" s="70"/>
      <c r="G908" s="20"/>
      <c r="H908" s="20"/>
      <c r="I908" s="70"/>
      <c r="J908" s="70"/>
      <c r="K908" s="70"/>
      <c r="L908" s="70"/>
      <c r="M908" s="20"/>
      <c r="N908" s="20"/>
      <c r="O908" s="20"/>
      <c r="P908" s="20"/>
      <c r="Q908" s="20"/>
      <c r="R908" s="20"/>
      <c r="S908" s="20"/>
      <c r="T908" s="20"/>
      <c r="U908" s="20"/>
      <c r="V908" s="20"/>
      <c r="W908" s="20"/>
      <c r="X908" s="20"/>
    </row>
    <row r="909">
      <c r="A909" s="20"/>
      <c r="B909" s="20"/>
      <c r="C909" s="20"/>
      <c r="D909" s="70"/>
      <c r="E909" s="70"/>
      <c r="F909" s="70"/>
      <c r="G909" s="20"/>
      <c r="H909" s="20"/>
      <c r="I909" s="70"/>
      <c r="J909" s="70"/>
      <c r="K909" s="70"/>
      <c r="L909" s="70"/>
      <c r="M909" s="20"/>
      <c r="N909" s="20"/>
      <c r="O909" s="20"/>
      <c r="P909" s="20"/>
      <c r="Q909" s="20"/>
      <c r="R909" s="20"/>
      <c r="S909" s="20"/>
      <c r="T909" s="20"/>
      <c r="U909" s="20"/>
      <c r="V909" s="20"/>
      <c r="W909" s="20"/>
      <c r="X909" s="20"/>
    </row>
    <row r="910">
      <c r="A910" s="20"/>
      <c r="B910" s="20"/>
      <c r="C910" s="20"/>
      <c r="D910" s="70"/>
      <c r="E910" s="70"/>
      <c r="F910" s="70"/>
      <c r="G910" s="20"/>
      <c r="H910" s="20"/>
      <c r="I910" s="70"/>
      <c r="J910" s="70"/>
      <c r="K910" s="70"/>
      <c r="L910" s="70"/>
      <c r="M910" s="20"/>
      <c r="N910" s="20"/>
      <c r="O910" s="20"/>
      <c r="P910" s="20"/>
      <c r="Q910" s="20"/>
      <c r="R910" s="20"/>
      <c r="S910" s="20"/>
      <c r="T910" s="20"/>
      <c r="U910" s="20"/>
      <c r="V910" s="20"/>
      <c r="W910" s="20"/>
      <c r="X910" s="20"/>
    </row>
    <row r="911">
      <c r="A911" s="20"/>
      <c r="B911" s="20"/>
      <c r="C911" s="20"/>
      <c r="D911" s="70"/>
      <c r="E911" s="70"/>
      <c r="F911" s="70"/>
      <c r="G911" s="20"/>
      <c r="H911" s="20"/>
      <c r="I911" s="70"/>
      <c r="J911" s="70"/>
      <c r="K911" s="70"/>
      <c r="L911" s="70"/>
      <c r="M911" s="20"/>
      <c r="N911" s="20"/>
      <c r="O911" s="20"/>
      <c r="P911" s="20"/>
      <c r="Q911" s="20"/>
      <c r="R911" s="20"/>
      <c r="S911" s="20"/>
      <c r="T911" s="20"/>
      <c r="U911" s="20"/>
      <c r="V911" s="20"/>
      <c r="W911" s="20"/>
      <c r="X911" s="20"/>
    </row>
    <row r="912">
      <c r="A912" s="20"/>
      <c r="B912" s="20"/>
      <c r="C912" s="20"/>
      <c r="D912" s="70"/>
      <c r="E912" s="70"/>
      <c r="F912" s="70"/>
      <c r="G912" s="20"/>
      <c r="H912" s="20"/>
      <c r="I912" s="70"/>
      <c r="J912" s="70"/>
      <c r="K912" s="70"/>
      <c r="L912" s="70"/>
      <c r="M912" s="20"/>
      <c r="N912" s="20"/>
      <c r="O912" s="20"/>
      <c r="P912" s="20"/>
      <c r="Q912" s="20"/>
      <c r="R912" s="20"/>
      <c r="S912" s="20"/>
      <c r="T912" s="20"/>
      <c r="U912" s="20"/>
      <c r="V912" s="20"/>
      <c r="W912" s="20"/>
      <c r="X912" s="20"/>
    </row>
    <row r="913">
      <c r="A913" s="20"/>
      <c r="B913" s="20"/>
      <c r="C913" s="20"/>
      <c r="D913" s="70"/>
      <c r="E913" s="70"/>
      <c r="F913" s="70"/>
      <c r="G913" s="20"/>
      <c r="H913" s="20"/>
      <c r="I913" s="70"/>
      <c r="J913" s="70"/>
      <c r="K913" s="70"/>
      <c r="L913" s="70"/>
      <c r="M913" s="20"/>
      <c r="N913" s="20"/>
      <c r="O913" s="20"/>
      <c r="P913" s="20"/>
      <c r="Q913" s="20"/>
      <c r="R913" s="20"/>
      <c r="S913" s="20"/>
      <c r="T913" s="20"/>
      <c r="U913" s="20"/>
      <c r="V913" s="20"/>
      <c r="W913" s="20"/>
      <c r="X913" s="20"/>
    </row>
    <row r="914">
      <c r="A914" s="20"/>
      <c r="B914" s="20"/>
      <c r="C914" s="20"/>
      <c r="D914" s="70"/>
      <c r="E914" s="70"/>
      <c r="F914" s="70"/>
      <c r="G914" s="20"/>
      <c r="H914" s="20"/>
      <c r="I914" s="70"/>
      <c r="J914" s="70"/>
      <c r="K914" s="70"/>
      <c r="L914" s="70"/>
      <c r="M914" s="20"/>
      <c r="N914" s="20"/>
      <c r="O914" s="20"/>
      <c r="P914" s="20"/>
      <c r="Q914" s="20"/>
      <c r="R914" s="20"/>
      <c r="S914" s="20"/>
      <c r="T914" s="20"/>
      <c r="U914" s="20"/>
      <c r="V914" s="20"/>
      <c r="W914" s="20"/>
      <c r="X914" s="20"/>
    </row>
    <row r="915">
      <c r="A915" s="20"/>
      <c r="B915" s="20"/>
      <c r="C915" s="20"/>
      <c r="D915" s="70"/>
      <c r="E915" s="70"/>
      <c r="F915" s="70"/>
      <c r="G915" s="20"/>
      <c r="H915" s="20"/>
      <c r="I915" s="70"/>
      <c r="J915" s="70"/>
      <c r="K915" s="70"/>
      <c r="L915" s="70"/>
      <c r="M915" s="20"/>
      <c r="N915" s="20"/>
      <c r="O915" s="20"/>
      <c r="P915" s="20"/>
      <c r="Q915" s="20"/>
      <c r="R915" s="20"/>
      <c r="S915" s="20"/>
      <c r="T915" s="20"/>
      <c r="U915" s="20"/>
      <c r="V915" s="20"/>
      <c r="W915" s="20"/>
      <c r="X915" s="20"/>
    </row>
    <row r="916">
      <c r="A916" s="20"/>
      <c r="B916" s="20"/>
      <c r="C916" s="20"/>
      <c r="D916" s="70"/>
      <c r="E916" s="70"/>
      <c r="F916" s="70"/>
      <c r="G916" s="20"/>
      <c r="H916" s="20"/>
      <c r="I916" s="70"/>
      <c r="J916" s="70"/>
      <c r="K916" s="70"/>
      <c r="L916" s="70"/>
      <c r="M916" s="20"/>
      <c r="N916" s="20"/>
      <c r="O916" s="20"/>
      <c r="P916" s="20"/>
      <c r="Q916" s="20"/>
      <c r="R916" s="20"/>
      <c r="S916" s="20"/>
      <c r="T916" s="20"/>
      <c r="U916" s="20"/>
      <c r="V916" s="20"/>
      <c r="W916" s="20"/>
      <c r="X916" s="20"/>
    </row>
    <row r="917">
      <c r="A917" s="20"/>
      <c r="B917" s="20"/>
      <c r="C917" s="20"/>
      <c r="D917" s="70"/>
      <c r="E917" s="70"/>
      <c r="F917" s="70"/>
      <c r="G917" s="20"/>
      <c r="H917" s="20"/>
      <c r="I917" s="70"/>
      <c r="J917" s="70"/>
      <c r="K917" s="70"/>
      <c r="L917" s="70"/>
      <c r="M917" s="20"/>
      <c r="N917" s="20"/>
      <c r="O917" s="20"/>
      <c r="P917" s="20"/>
      <c r="Q917" s="20"/>
      <c r="R917" s="20"/>
      <c r="S917" s="20"/>
      <c r="T917" s="20"/>
      <c r="U917" s="20"/>
      <c r="V917" s="20"/>
      <c r="W917" s="20"/>
      <c r="X917" s="20"/>
    </row>
    <row r="918">
      <c r="A918" s="20"/>
      <c r="B918" s="20"/>
      <c r="C918" s="20"/>
      <c r="D918" s="70"/>
      <c r="E918" s="70"/>
      <c r="F918" s="70"/>
      <c r="G918" s="20"/>
      <c r="H918" s="20"/>
      <c r="I918" s="70"/>
      <c r="J918" s="70"/>
      <c r="K918" s="70"/>
      <c r="L918" s="70"/>
      <c r="M918" s="20"/>
      <c r="N918" s="20"/>
      <c r="O918" s="20"/>
      <c r="P918" s="20"/>
      <c r="Q918" s="20"/>
      <c r="R918" s="20"/>
      <c r="S918" s="20"/>
      <c r="T918" s="20"/>
      <c r="U918" s="20"/>
      <c r="V918" s="20"/>
      <c r="W918" s="20"/>
      <c r="X918" s="20"/>
    </row>
    <row r="919">
      <c r="A919" s="20"/>
      <c r="B919" s="20"/>
      <c r="C919" s="20"/>
      <c r="D919" s="70"/>
      <c r="E919" s="70"/>
      <c r="F919" s="70"/>
      <c r="G919" s="20"/>
      <c r="H919" s="20"/>
      <c r="I919" s="70"/>
      <c r="J919" s="70"/>
      <c r="K919" s="70"/>
      <c r="L919" s="70"/>
      <c r="M919" s="20"/>
      <c r="N919" s="20"/>
      <c r="O919" s="20"/>
      <c r="P919" s="20"/>
      <c r="Q919" s="20"/>
      <c r="R919" s="20"/>
      <c r="S919" s="20"/>
      <c r="T919" s="20"/>
      <c r="U919" s="20"/>
      <c r="V919" s="20"/>
      <c r="W919" s="20"/>
      <c r="X919" s="20"/>
    </row>
    <row r="920">
      <c r="A920" s="20"/>
      <c r="B920" s="20"/>
      <c r="C920" s="20"/>
      <c r="D920" s="70"/>
      <c r="E920" s="70"/>
      <c r="F920" s="70"/>
      <c r="G920" s="20"/>
      <c r="H920" s="20"/>
      <c r="I920" s="70"/>
      <c r="J920" s="70"/>
      <c r="K920" s="70"/>
      <c r="L920" s="70"/>
      <c r="M920" s="20"/>
      <c r="N920" s="20"/>
      <c r="O920" s="20"/>
      <c r="P920" s="20"/>
      <c r="Q920" s="20"/>
      <c r="R920" s="20"/>
      <c r="S920" s="20"/>
      <c r="T920" s="20"/>
      <c r="U920" s="20"/>
      <c r="V920" s="20"/>
      <c r="W920" s="20"/>
      <c r="X920" s="20"/>
    </row>
    <row r="921">
      <c r="A921" s="20"/>
      <c r="B921" s="20"/>
      <c r="C921" s="20"/>
      <c r="D921" s="70"/>
      <c r="E921" s="70"/>
      <c r="F921" s="70"/>
      <c r="G921" s="20"/>
      <c r="H921" s="20"/>
      <c r="I921" s="70"/>
      <c r="J921" s="70"/>
      <c r="K921" s="70"/>
      <c r="L921" s="70"/>
      <c r="M921" s="20"/>
      <c r="N921" s="20"/>
      <c r="O921" s="20"/>
      <c r="P921" s="20"/>
      <c r="Q921" s="20"/>
      <c r="R921" s="20"/>
      <c r="S921" s="20"/>
      <c r="T921" s="20"/>
      <c r="U921" s="20"/>
      <c r="V921" s="20"/>
      <c r="W921" s="20"/>
      <c r="X921" s="20"/>
    </row>
    <row r="922">
      <c r="A922" s="20"/>
      <c r="B922" s="20"/>
      <c r="C922" s="20"/>
      <c r="D922" s="70"/>
      <c r="E922" s="70"/>
      <c r="F922" s="70"/>
      <c r="G922" s="20"/>
      <c r="H922" s="20"/>
      <c r="I922" s="70"/>
      <c r="J922" s="70"/>
      <c r="K922" s="70"/>
      <c r="L922" s="70"/>
      <c r="M922" s="20"/>
      <c r="N922" s="20"/>
      <c r="O922" s="20"/>
      <c r="P922" s="20"/>
      <c r="Q922" s="20"/>
      <c r="R922" s="20"/>
      <c r="S922" s="20"/>
      <c r="T922" s="20"/>
      <c r="U922" s="20"/>
      <c r="V922" s="20"/>
      <c r="W922" s="20"/>
      <c r="X922" s="20"/>
    </row>
    <row r="923">
      <c r="A923" s="20"/>
      <c r="B923" s="20"/>
      <c r="C923" s="20"/>
      <c r="D923" s="70"/>
      <c r="E923" s="70"/>
      <c r="F923" s="70"/>
      <c r="G923" s="20"/>
      <c r="H923" s="20"/>
      <c r="I923" s="70"/>
      <c r="J923" s="70"/>
      <c r="K923" s="70"/>
      <c r="L923" s="70"/>
      <c r="M923" s="20"/>
      <c r="N923" s="20"/>
      <c r="O923" s="20"/>
      <c r="P923" s="20"/>
      <c r="Q923" s="20"/>
      <c r="R923" s="20"/>
      <c r="S923" s="20"/>
      <c r="T923" s="20"/>
      <c r="U923" s="20"/>
      <c r="V923" s="20"/>
      <c r="W923" s="20"/>
      <c r="X923" s="20"/>
    </row>
    <row r="924">
      <c r="A924" s="20"/>
      <c r="B924" s="20"/>
      <c r="C924" s="20"/>
      <c r="D924" s="70"/>
      <c r="E924" s="70"/>
      <c r="F924" s="70"/>
      <c r="G924" s="20"/>
      <c r="H924" s="20"/>
      <c r="I924" s="70"/>
      <c r="J924" s="70"/>
      <c r="K924" s="70"/>
      <c r="L924" s="70"/>
      <c r="M924" s="20"/>
      <c r="N924" s="20"/>
      <c r="O924" s="20"/>
      <c r="P924" s="20"/>
      <c r="Q924" s="20"/>
      <c r="R924" s="20"/>
      <c r="S924" s="20"/>
      <c r="T924" s="20"/>
      <c r="U924" s="20"/>
      <c r="V924" s="20"/>
      <c r="W924" s="20"/>
      <c r="X924" s="20"/>
    </row>
    <row r="925">
      <c r="A925" s="20"/>
      <c r="B925" s="20"/>
      <c r="C925" s="20"/>
      <c r="D925" s="70"/>
      <c r="E925" s="70"/>
      <c r="F925" s="70"/>
      <c r="G925" s="20"/>
      <c r="H925" s="20"/>
      <c r="I925" s="70"/>
      <c r="J925" s="70"/>
      <c r="K925" s="70"/>
      <c r="L925" s="70"/>
      <c r="M925" s="20"/>
      <c r="N925" s="20"/>
      <c r="O925" s="20"/>
      <c r="P925" s="20"/>
      <c r="Q925" s="20"/>
      <c r="R925" s="20"/>
      <c r="S925" s="20"/>
      <c r="T925" s="20"/>
      <c r="U925" s="20"/>
      <c r="V925" s="20"/>
      <c r="W925" s="20"/>
      <c r="X925" s="20"/>
    </row>
    <row r="926">
      <c r="A926" s="20"/>
      <c r="B926" s="20"/>
      <c r="C926" s="20"/>
      <c r="D926" s="70"/>
      <c r="E926" s="70"/>
      <c r="F926" s="70"/>
      <c r="G926" s="20"/>
      <c r="H926" s="20"/>
      <c r="I926" s="70"/>
      <c r="J926" s="70"/>
      <c r="K926" s="70"/>
      <c r="L926" s="70"/>
      <c r="M926" s="20"/>
      <c r="N926" s="20"/>
      <c r="O926" s="20"/>
      <c r="P926" s="20"/>
      <c r="Q926" s="20"/>
      <c r="R926" s="20"/>
      <c r="S926" s="20"/>
      <c r="T926" s="20"/>
      <c r="U926" s="20"/>
      <c r="V926" s="20"/>
      <c r="W926" s="20"/>
      <c r="X926" s="20"/>
    </row>
    <row r="927">
      <c r="A927" s="20"/>
      <c r="B927" s="20"/>
      <c r="C927" s="20"/>
      <c r="D927" s="70"/>
      <c r="E927" s="70"/>
      <c r="F927" s="70"/>
      <c r="G927" s="20"/>
      <c r="H927" s="20"/>
      <c r="I927" s="70"/>
      <c r="J927" s="70"/>
      <c r="K927" s="70"/>
      <c r="L927" s="70"/>
      <c r="M927" s="20"/>
      <c r="N927" s="20"/>
      <c r="O927" s="20"/>
      <c r="P927" s="20"/>
      <c r="Q927" s="20"/>
      <c r="R927" s="20"/>
      <c r="S927" s="20"/>
      <c r="T927" s="20"/>
      <c r="U927" s="20"/>
      <c r="V927" s="20"/>
      <c r="W927" s="20"/>
      <c r="X927" s="20"/>
    </row>
    <row r="928">
      <c r="A928" s="20"/>
      <c r="B928" s="20"/>
      <c r="C928" s="20"/>
      <c r="D928" s="70"/>
      <c r="E928" s="70"/>
      <c r="F928" s="70"/>
      <c r="G928" s="20"/>
      <c r="H928" s="20"/>
      <c r="I928" s="70"/>
      <c r="J928" s="70"/>
      <c r="K928" s="70"/>
      <c r="L928" s="70"/>
      <c r="M928" s="20"/>
      <c r="N928" s="20"/>
      <c r="O928" s="20"/>
      <c r="P928" s="20"/>
      <c r="Q928" s="20"/>
      <c r="R928" s="20"/>
      <c r="S928" s="20"/>
      <c r="T928" s="20"/>
      <c r="U928" s="20"/>
      <c r="V928" s="20"/>
      <c r="W928" s="20"/>
      <c r="X928" s="20"/>
    </row>
    <row r="929">
      <c r="A929" s="20"/>
      <c r="B929" s="20"/>
      <c r="C929" s="20"/>
      <c r="D929" s="70"/>
      <c r="E929" s="70"/>
      <c r="F929" s="70"/>
      <c r="G929" s="20"/>
      <c r="H929" s="20"/>
      <c r="I929" s="70"/>
      <c r="J929" s="70"/>
      <c r="K929" s="70"/>
      <c r="L929" s="70"/>
      <c r="M929" s="20"/>
      <c r="N929" s="20"/>
      <c r="O929" s="20"/>
      <c r="P929" s="20"/>
      <c r="Q929" s="20"/>
      <c r="R929" s="20"/>
      <c r="S929" s="20"/>
      <c r="T929" s="20"/>
      <c r="U929" s="20"/>
      <c r="V929" s="20"/>
      <c r="W929" s="20"/>
      <c r="X929" s="20"/>
    </row>
    <row r="930">
      <c r="A930" s="20"/>
      <c r="B930" s="20"/>
      <c r="C930" s="20"/>
      <c r="D930" s="70"/>
      <c r="E930" s="70"/>
      <c r="F930" s="70"/>
      <c r="G930" s="20"/>
      <c r="H930" s="20"/>
      <c r="I930" s="70"/>
      <c r="J930" s="70"/>
      <c r="K930" s="70"/>
      <c r="L930" s="70"/>
      <c r="M930" s="20"/>
      <c r="N930" s="20"/>
      <c r="O930" s="20"/>
      <c r="P930" s="20"/>
      <c r="Q930" s="20"/>
      <c r="R930" s="20"/>
      <c r="S930" s="20"/>
      <c r="T930" s="20"/>
      <c r="U930" s="20"/>
      <c r="V930" s="20"/>
      <c r="W930" s="20"/>
      <c r="X930" s="20"/>
    </row>
    <row r="931">
      <c r="A931" s="20"/>
      <c r="B931" s="20"/>
      <c r="C931" s="20"/>
      <c r="D931" s="70"/>
      <c r="E931" s="70"/>
      <c r="F931" s="70"/>
      <c r="G931" s="20"/>
      <c r="H931" s="20"/>
      <c r="I931" s="70"/>
      <c r="J931" s="70"/>
      <c r="K931" s="70"/>
      <c r="L931" s="70"/>
      <c r="M931" s="20"/>
      <c r="N931" s="20"/>
      <c r="O931" s="20"/>
      <c r="P931" s="20"/>
      <c r="Q931" s="20"/>
      <c r="R931" s="20"/>
      <c r="S931" s="20"/>
      <c r="T931" s="20"/>
      <c r="U931" s="20"/>
      <c r="V931" s="20"/>
      <c r="W931" s="20"/>
      <c r="X931" s="20"/>
    </row>
    <row r="932">
      <c r="A932" s="20"/>
      <c r="B932" s="20"/>
      <c r="C932" s="20"/>
      <c r="D932" s="70"/>
      <c r="E932" s="70"/>
      <c r="F932" s="70"/>
      <c r="G932" s="20"/>
      <c r="H932" s="20"/>
      <c r="I932" s="70"/>
      <c r="J932" s="70"/>
      <c r="K932" s="70"/>
      <c r="L932" s="70"/>
      <c r="M932" s="20"/>
      <c r="N932" s="20"/>
      <c r="O932" s="20"/>
      <c r="P932" s="20"/>
      <c r="Q932" s="20"/>
      <c r="R932" s="20"/>
      <c r="S932" s="20"/>
      <c r="T932" s="20"/>
      <c r="U932" s="20"/>
      <c r="V932" s="20"/>
      <c r="W932" s="20"/>
      <c r="X932" s="20"/>
    </row>
    <row r="933">
      <c r="A933" s="20"/>
      <c r="B933" s="20"/>
      <c r="C933" s="20"/>
      <c r="D933" s="70"/>
      <c r="E933" s="70"/>
      <c r="F933" s="70"/>
      <c r="G933" s="20"/>
      <c r="H933" s="20"/>
      <c r="I933" s="70"/>
      <c r="J933" s="70"/>
      <c r="K933" s="70"/>
      <c r="L933" s="70"/>
      <c r="M933" s="20"/>
      <c r="N933" s="20"/>
      <c r="O933" s="20"/>
      <c r="P933" s="20"/>
      <c r="Q933" s="20"/>
      <c r="R933" s="20"/>
      <c r="S933" s="20"/>
      <c r="T933" s="20"/>
      <c r="U933" s="20"/>
      <c r="V933" s="20"/>
      <c r="W933" s="20"/>
      <c r="X933" s="20"/>
    </row>
    <row r="934">
      <c r="A934" s="20"/>
      <c r="B934" s="20"/>
      <c r="C934" s="20"/>
      <c r="D934" s="70"/>
      <c r="E934" s="70"/>
      <c r="F934" s="70"/>
      <c r="G934" s="20"/>
      <c r="H934" s="20"/>
      <c r="I934" s="70"/>
      <c r="J934" s="70"/>
      <c r="K934" s="70"/>
      <c r="L934" s="70"/>
      <c r="M934" s="20"/>
      <c r="N934" s="20"/>
      <c r="O934" s="20"/>
      <c r="P934" s="20"/>
      <c r="Q934" s="20"/>
      <c r="R934" s="20"/>
      <c r="S934" s="20"/>
      <c r="T934" s="20"/>
      <c r="U934" s="20"/>
      <c r="V934" s="20"/>
      <c r="W934" s="20"/>
      <c r="X934" s="20"/>
    </row>
    <row r="935">
      <c r="A935" s="20"/>
      <c r="B935" s="20"/>
      <c r="C935" s="20"/>
      <c r="D935" s="70"/>
      <c r="E935" s="70"/>
      <c r="F935" s="70"/>
      <c r="G935" s="20"/>
      <c r="H935" s="20"/>
      <c r="I935" s="70"/>
      <c r="J935" s="70"/>
      <c r="K935" s="70"/>
      <c r="L935" s="70"/>
      <c r="M935" s="20"/>
      <c r="N935" s="20"/>
      <c r="O935" s="20"/>
      <c r="P935" s="20"/>
      <c r="Q935" s="20"/>
      <c r="R935" s="20"/>
      <c r="S935" s="20"/>
      <c r="T935" s="20"/>
      <c r="U935" s="20"/>
      <c r="V935" s="20"/>
      <c r="W935" s="20"/>
      <c r="X935" s="20"/>
    </row>
    <row r="936">
      <c r="A936" s="20"/>
      <c r="B936" s="20"/>
      <c r="C936" s="20"/>
      <c r="D936" s="70"/>
      <c r="E936" s="70"/>
      <c r="F936" s="70"/>
      <c r="G936" s="20"/>
      <c r="H936" s="20"/>
      <c r="I936" s="70"/>
      <c r="J936" s="70"/>
      <c r="K936" s="70"/>
      <c r="L936" s="70"/>
      <c r="M936" s="20"/>
      <c r="N936" s="20"/>
      <c r="O936" s="20"/>
      <c r="P936" s="20"/>
      <c r="Q936" s="20"/>
      <c r="R936" s="20"/>
      <c r="S936" s="20"/>
      <c r="T936" s="20"/>
      <c r="U936" s="20"/>
      <c r="V936" s="20"/>
      <c r="W936" s="20"/>
      <c r="X936" s="20"/>
    </row>
    <row r="937">
      <c r="A937" s="20"/>
      <c r="B937" s="20"/>
      <c r="C937" s="20"/>
      <c r="D937" s="70"/>
      <c r="E937" s="70"/>
      <c r="F937" s="70"/>
      <c r="G937" s="20"/>
      <c r="H937" s="20"/>
      <c r="I937" s="70"/>
      <c r="J937" s="70"/>
      <c r="K937" s="70"/>
      <c r="L937" s="70"/>
      <c r="M937" s="20"/>
      <c r="N937" s="20"/>
      <c r="O937" s="20"/>
      <c r="P937" s="20"/>
      <c r="Q937" s="20"/>
      <c r="R937" s="20"/>
      <c r="S937" s="20"/>
      <c r="T937" s="20"/>
      <c r="U937" s="20"/>
      <c r="V937" s="20"/>
      <c r="W937" s="20"/>
      <c r="X937" s="20"/>
    </row>
    <row r="938">
      <c r="A938" s="20"/>
      <c r="B938" s="20"/>
      <c r="C938" s="20"/>
      <c r="D938" s="70"/>
      <c r="E938" s="70"/>
      <c r="F938" s="70"/>
      <c r="G938" s="20"/>
      <c r="H938" s="20"/>
      <c r="I938" s="70"/>
      <c r="J938" s="70"/>
      <c r="K938" s="70"/>
      <c r="L938" s="70"/>
      <c r="M938" s="20"/>
      <c r="N938" s="20"/>
      <c r="O938" s="20"/>
      <c r="P938" s="20"/>
      <c r="Q938" s="20"/>
      <c r="R938" s="20"/>
      <c r="S938" s="20"/>
      <c r="T938" s="20"/>
      <c r="U938" s="20"/>
      <c r="V938" s="20"/>
      <c r="W938" s="20"/>
      <c r="X938" s="20"/>
    </row>
    <row r="939">
      <c r="A939" s="20"/>
      <c r="B939" s="20"/>
      <c r="C939" s="20"/>
      <c r="D939" s="70"/>
      <c r="E939" s="70"/>
      <c r="F939" s="70"/>
      <c r="G939" s="20"/>
      <c r="H939" s="20"/>
      <c r="I939" s="70"/>
      <c r="J939" s="70"/>
      <c r="K939" s="70"/>
      <c r="L939" s="70"/>
      <c r="M939" s="20"/>
      <c r="N939" s="20"/>
      <c r="O939" s="20"/>
      <c r="P939" s="20"/>
      <c r="Q939" s="20"/>
      <c r="R939" s="20"/>
      <c r="S939" s="20"/>
      <c r="T939" s="20"/>
      <c r="U939" s="20"/>
      <c r="V939" s="20"/>
      <c r="W939" s="20"/>
      <c r="X939" s="20"/>
    </row>
    <row r="940">
      <c r="A940" s="20"/>
      <c r="B940" s="20"/>
      <c r="C940" s="20"/>
      <c r="D940" s="70"/>
      <c r="E940" s="70"/>
      <c r="F940" s="70"/>
      <c r="G940" s="20"/>
      <c r="H940" s="20"/>
      <c r="I940" s="70"/>
      <c r="J940" s="70"/>
      <c r="K940" s="70"/>
      <c r="L940" s="70"/>
      <c r="M940" s="20"/>
      <c r="N940" s="20"/>
      <c r="O940" s="20"/>
      <c r="P940" s="20"/>
      <c r="Q940" s="20"/>
      <c r="R940" s="20"/>
      <c r="S940" s="20"/>
      <c r="T940" s="20"/>
      <c r="U940" s="20"/>
      <c r="V940" s="20"/>
      <c r="W940" s="20"/>
      <c r="X940" s="20"/>
    </row>
    <row r="941">
      <c r="A941" s="20"/>
      <c r="B941" s="20"/>
      <c r="C941" s="20"/>
      <c r="D941" s="70"/>
      <c r="E941" s="70"/>
      <c r="F941" s="70"/>
      <c r="G941" s="20"/>
      <c r="H941" s="20"/>
      <c r="I941" s="70"/>
      <c r="J941" s="70"/>
      <c r="K941" s="70"/>
      <c r="L941" s="70"/>
      <c r="M941" s="20"/>
      <c r="N941" s="20"/>
      <c r="O941" s="20"/>
      <c r="P941" s="20"/>
      <c r="Q941" s="20"/>
      <c r="R941" s="20"/>
      <c r="S941" s="20"/>
      <c r="T941" s="20"/>
      <c r="U941" s="20"/>
      <c r="V941" s="20"/>
      <c r="W941" s="20"/>
      <c r="X941" s="20"/>
    </row>
    <row r="942">
      <c r="A942" s="20"/>
      <c r="B942" s="20"/>
      <c r="C942" s="20"/>
      <c r="D942" s="70"/>
      <c r="E942" s="70"/>
      <c r="F942" s="70"/>
      <c r="G942" s="20"/>
      <c r="H942" s="20"/>
      <c r="I942" s="70"/>
      <c r="J942" s="70"/>
      <c r="K942" s="70"/>
      <c r="L942" s="70"/>
      <c r="M942" s="20"/>
      <c r="N942" s="20"/>
      <c r="O942" s="20"/>
      <c r="P942" s="20"/>
      <c r="Q942" s="20"/>
      <c r="R942" s="20"/>
      <c r="S942" s="20"/>
      <c r="T942" s="20"/>
      <c r="U942" s="20"/>
      <c r="V942" s="20"/>
      <c r="W942" s="20"/>
      <c r="X942" s="20"/>
    </row>
    <row r="943">
      <c r="A943" s="20"/>
      <c r="B943" s="20"/>
      <c r="C943" s="20"/>
      <c r="D943" s="70"/>
      <c r="E943" s="70"/>
      <c r="F943" s="70"/>
      <c r="G943" s="20"/>
      <c r="H943" s="20"/>
      <c r="I943" s="70"/>
      <c r="J943" s="70"/>
      <c r="K943" s="70"/>
      <c r="L943" s="70"/>
      <c r="M943" s="20"/>
      <c r="N943" s="20"/>
      <c r="O943" s="20"/>
      <c r="P943" s="20"/>
      <c r="Q943" s="20"/>
      <c r="R943" s="20"/>
      <c r="S943" s="20"/>
      <c r="T943" s="20"/>
      <c r="U943" s="20"/>
      <c r="V943" s="20"/>
      <c r="W943" s="20"/>
      <c r="X943" s="20"/>
    </row>
    <row r="944">
      <c r="A944" s="20"/>
      <c r="B944" s="20"/>
      <c r="C944" s="20"/>
      <c r="D944" s="70"/>
      <c r="E944" s="70"/>
      <c r="F944" s="70"/>
      <c r="G944" s="20"/>
      <c r="H944" s="20"/>
      <c r="I944" s="70"/>
      <c r="J944" s="70"/>
      <c r="K944" s="70"/>
      <c r="L944" s="70"/>
      <c r="M944" s="20"/>
      <c r="N944" s="20"/>
      <c r="O944" s="20"/>
      <c r="P944" s="20"/>
      <c r="Q944" s="20"/>
      <c r="R944" s="20"/>
      <c r="S944" s="20"/>
      <c r="T944" s="20"/>
      <c r="U944" s="20"/>
      <c r="V944" s="20"/>
      <c r="W944" s="20"/>
      <c r="X944" s="20"/>
    </row>
    <row r="945">
      <c r="A945" s="20"/>
      <c r="B945" s="20"/>
      <c r="C945" s="20"/>
      <c r="D945" s="70"/>
      <c r="E945" s="70"/>
      <c r="F945" s="70"/>
      <c r="G945" s="20"/>
      <c r="H945" s="20"/>
      <c r="I945" s="70"/>
      <c r="J945" s="70"/>
      <c r="K945" s="70"/>
      <c r="L945" s="70"/>
      <c r="M945" s="20"/>
      <c r="N945" s="20"/>
      <c r="O945" s="20"/>
      <c r="P945" s="20"/>
      <c r="Q945" s="20"/>
      <c r="R945" s="20"/>
      <c r="S945" s="20"/>
      <c r="T945" s="20"/>
      <c r="U945" s="20"/>
      <c r="V945" s="20"/>
      <c r="W945" s="20"/>
      <c r="X945" s="20"/>
    </row>
    <row r="946">
      <c r="A946" s="20"/>
      <c r="B946" s="20"/>
      <c r="C946" s="20"/>
      <c r="D946" s="70"/>
      <c r="E946" s="70"/>
      <c r="F946" s="70"/>
      <c r="G946" s="20"/>
      <c r="H946" s="20"/>
      <c r="I946" s="70"/>
      <c r="J946" s="70"/>
      <c r="K946" s="70"/>
      <c r="L946" s="70"/>
      <c r="M946" s="20"/>
      <c r="N946" s="20"/>
      <c r="O946" s="20"/>
      <c r="P946" s="20"/>
      <c r="Q946" s="20"/>
      <c r="R946" s="20"/>
      <c r="S946" s="20"/>
      <c r="T946" s="20"/>
      <c r="U946" s="20"/>
      <c r="V946" s="20"/>
      <c r="W946" s="20"/>
      <c r="X946" s="20"/>
    </row>
    <row r="947">
      <c r="A947" s="20"/>
      <c r="B947" s="20"/>
      <c r="C947" s="20"/>
      <c r="D947" s="70"/>
      <c r="E947" s="70"/>
      <c r="F947" s="70"/>
      <c r="G947" s="20"/>
      <c r="H947" s="20"/>
      <c r="I947" s="70"/>
      <c r="J947" s="70"/>
      <c r="K947" s="70"/>
      <c r="L947" s="70"/>
      <c r="M947" s="20"/>
      <c r="N947" s="20"/>
      <c r="O947" s="20"/>
      <c r="P947" s="20"/>
      <c r="Q947" s="20"/>
      <c r="R947" s="20"/>
      <c r="S947" s="20"/>
      <c r="T947" s="20"/>
      <c r="U947" s="20"/>
      <c r="V947" s="20"/>
      <c r="W947" s="20"/>
      <c r="X947" s="20"/>
    </row>
    <row r="948">
      <c r="A948" s="20"/>
      <c r="B948" s="20"/>
      <c r="C948" s="20"/>
      <c r="D948" s="70"/>
      <c r="E948" s="70"/>
      <c r="F948" s="70"/>
      <c r="G948" s="20"/>
      <c r="H948" s="20"/>
      <c r="I948" s="70"/>
      <c r="J948" s="70"/>
      <c r="K948" s="70"/>
      <c r="L948" s="70"/>
      <c r="M948" s="20"/>
      <c r="N948" s="20"/>
      <c r="O948" s="20"/>
      <c r="P948" s="20"/>
      <c r="Q948" s="20"/>
      <c r="R948" s="20"/>
      <c r="S948" s="20"/>
      <c r="T948" s="20"/>
      <c r="U948" s="20"/>
      <c r="V948" s="20"/>
      <c r="W948" s="20"/>
      <c r="X948" s="20"/>
    </row>
    <row r="949">
      <c r="A949" s="20"/>
      <c r="B949" s="20"/>
      <c r="C949" s="20"/>
      <c r="D949" s="70"/>
      <c r="E949" s="70"/>
      <c r="F949" s="70"/>
      <c r="G949" s="20"/>
      <c r="H949" s="20"/>
      <c r="I949" s="70"/>
      <c r="J949" s="70"/>
      <c r="K949" s="70"/>
      <c r="L949" s="70"/>
      <c r="M949" s="20"/>
      <c r="N949" s="20"/>
      <c r="O949" s="20"/>
      <c r="P949" s="20"/>
      <c r="Q949" s="20"/>
      <c r="R949" s="20"/>
      <c r="S949" s="20"/>
      <c r="T949" s="20"/>
      <c r="U949" s="20"/>
      <c r="V949" s="20"/>
      <c r="W949" s="20"/>
      <c r="X949" s="20"/>
    </row>
    <row r="950">
      <c r="A950" s="20"/>
      <c r="B950" s="20"/>
      <c r="C950" s="20"/>
      <c r="D950" s="70"/>
      <c r="E950" s="70"/>
      <c r="F950" s="70"/>
      <c r="G950" s="20"/>
      <c r="H950" s="20"/>
      <c r="I950" s="70"/>
      <c r="J950" s="70"/>
      <c r="K950" s="70"/>
      <c r="L950" s="70"/>
      <c r="M950" s="20"/>
      <c r="N950" s="20"/>
      <c r="O950" s="20"/>
      <c r="P950" s="20"/>
      <c r="Q950" s="20"/>
      <c r="R950" s="20"/>
      <c r="S950" s="20"/>
      <c r="T950" s="20"/>
      <c r="U950" s="20"/>
      <c r="V950" s="20"/>
      <c r="W950" s="20"/>
      <c r="X950" s="20"/>
    </row>
    <row r="951">
      <c r="A951" s="20"/>
      <c r="B951" s="20"/>
      <c r="C951" s="20"/>
      <c r="D951" s="70"/>
      <c r="E951" s="70"/>
      <c r="F951" s="70"/>
      <c r="G951" s="20"/>
      <c r="H951" s="20"/>
      <c r="I951" s="70"/>
      <c r="J951" s="70"/>
      <c r="K951" s="70"/>
      <c r="L951" s="70"/>
      <c r="M951" s="20"/>
      <c r="N951" s="20"/>
      <c r="O951" s="20"/>
      <c r="P951" s="20"/>
      <c r="Q951" s="20"/>
      <c r="R951" s="20"/>
      <c r="S951" s="20"/>
      <c r="T951" s="20"/>
      <c r="U951" s="20"/>
      <c r="V951" s="20"/>
      <c r="W951" s="20"/>
      <c r="X951" s="20"/>
    </row>
    <row r="952">
      <c r="A952" s="20"/>
      <c r="B952" s="20"/>
      <c r="C952" s="20"/>
      <c r="D952" s="70"/>
      <c r="E952" s="70"/>
      <c r="F952" s="70"/>
      <c r="G952" s="20"/>
      <c r="H952" s="20"/>
      <c r="I952" s="70"/>
      <c r="J952" s="70"/>
      <c r="K952" s="70"/>
      <c r="L952" s="70"/>
      <c r="M952" s="20"/>
      <c r="N952" s="20"/>
      <c r="O952" s="20"/>
      <c r="P952" s="20"/>
      <c r="Q952" s="20"/>
      <c r="R952" s="20"/>
      <c r="S952" s="20"/>
      <c r="T952" s="20"/>
      <c r="U952" s="20"/>
      <c r="V952" s="20"/>
      <c r="W952" s="20"/>
      <c r="X952" s="20"/>
    </row>
    <row r="953">
      <c r="A953" s="20"/>
      <c r="B953" s="20"/>
      <c r="C953" s="20"/>
      <c r="D953" s="70"/>
      <c r="E953" s="70"/>
      <c r="F953" s="70"/>
      <c r="G953" s="20"/>
      <c r="H953" s="20"/>
      <c r="I953" s="70"/>
      <c r="J953" s="70"/>
      <c r="K953" s="70"/>
      <c r="L953" s="70"/>
      <c r="M953" s="20"/>
      <c r="N953" s="20"/>
      <c r="O953" s="20"/>
      <c r="P953" s="20"/>
      <c r="Q953" s="20"/>
      <c r="R953" s="20"/>
      <c r="S953" s="20"/>
      <c r="T953" s="20"/>
      <c r="U953" s="20"/>
      <c r="V953" s="20"/>
      <c r="W953" s="20"/>
      <c r="X953" s="20"/>
    </row>
    <row r="954">
      <c r="A954" s="20"/>
      <c r="B954" s="20"/>
      <c r="C954" s="20"/>
      <c r="D954" s="70"/>
      <c r="E954" s="70"/>
      <c r="F954" s="70"/>
      <c r="G954" s="20"/>
      <c r="H954" s="20"/>
      <c r="I954" s="70"/>
      <c r="J954" s="70"/>
      <c r="K954" s="70"/>
      <c r="L954" s="70"/>
      <c r="M954" s="20"/>
      <c r="N954" s="20"/>
      <c r="O954" s="20"/>
      <c r="P954" s="20"/>
      <c r="Q954" s="20"/>
      <c r="R954" s="20"/>
      <c r="S954" s="20"/>
      <c r="T954" s="20"/>
      <c r="U954" s="20"/>
      <c r="V954" s="20"/>
      <c r="W954" s="20"/>
      <c r="X954" s="20"/>
    </row>
    <row r="955">
      <c r="A955" s="20"/>
      <c r="B955" s="20"/>
      <c r="C955" s="20"/>
      <c r="D955" s="70"/>
      <c r="E955" s="70"/>
      <c r="F955" s="70"/>
      <c r="G955" s="20"/>
      <c r="H955" s="20"/>
      <c r="I955" s="70"/>
      <c r="J955" s="70"/>
      <c r="K955" s="70"/>
      <c r="L955" s="70"/>
      <c r="M955" s="20"/>
      <c r="N955" s="20"/>
      <c r="O955" s="20"/>
      <c r="P955" s="20"/>
      <c r="Q955" s="20"/>
      <c r="R955" s="20"/>
      <c r="S955" s="20"/>
      <c r="T955" s="20"/>
      <c r="U955" s="20"/>
      <c r="V955" s="20"/>
      <c r="W955" s="20"/>
      <c r="X955" s="20"/>
    </row>
    <row r="956">
      <c r="A956" s="20"/>
      <c r="B956" s="20"/>
      <c r="C956" s="20"/>
      <c r="D956" s="70"/>
      <c r="E956" s="70"/>
      <c r="F956" s="70"/>
      <c r="G956" s="20"/>
      <c r="H956" s="20"/>
      <c r="I956" s="70"/>
      <c r="J956" s="70"/>
      <c r="K956" s="70"/>
      <c r="L956" s="70"/>
      <c r="M956" s="20"/>
      <c r="N956" s="20"/>
      <c r="O956" s="20"/>
      <c r="P956" s="20"/>
      <c r="Q956" s="20"/>
      <c r="R956" s="20"/>
      <c r="S956" s="20"/>
      <c r="T956" s="20"/>
      <c r="U956" s="20"/>
      <c r="V956" s="20"/>
      <c r="W956" s="20"/>
      <c r="X956" s="20"/>
    </row>
    <row r="957">
      <c r="A957" s="20"/>
      <c r="B957" s="20"/>
      <c r="C957" s="20"/>
      <c r="D957" s="70"/>
      <c r="E957" s="70"/>
      <c r="F957" s="70"/>
      <c r="G957" s="20"/>
      <c r="H957" s="20"/>
      <c r="I957" s="70"/>
      <c r="J957" s="70"/>
      <c r="K957" s="70"/>
      <c r="L957" s="70"/>
      <c r="M957" s="20"/>
      <c r="N957" s="20"/>
      <c r="O957" s="20"/>
      <c r="P957" s="20"/>
      <c r="Q957" s="20"/>
      <c r="R957" s="20"/>
      <c r="S957" s="20"/>
      <c r="T957" s="20"/>
      <c r="U957" s="20"/>
      <c r="V957" s="20"/>
      <c r="W957" s="20"/>
      <c r="X957" s="20"/>
    </row>
    <row r="958">
      <c r="A958" s="20"/>
      <c r="B958" s="20"/>
      <c r="C958" s="20"/>
      <c r="D958" s="70"/>
      <c r="E958" s="70"/>
      <c r="F958" s="70"/>
      <c r="G958" s="20"/>
      <c r="H958" s="20"/>
      <c r="I958" s="70"/>
      <c r="J958" s="70"/>
      <c r="K958" s="70"/>
      <c r="L958" s="70"/>
      <c r="M958" s="20"/>
      <c r="N958" s="20"/>
      <c r="O958" s="20"/>
      <c r="P958" s="20"/>
      <c r="Q958" s="20"/>
      <c r="R958" s="20"/>
      <c r="S958" s="20"/>
      <c r="T958" s="20"/>
      <c r="U958" s="20"/>
      <c r="V958" s="20"/>
      <c r="W958" s="20"/>
      <c r="X958" s="20"/>
    </row>
    <row r="959">
      <c r="A959" s="20"/>
      <c r="B959" s="20"/>
      <c r="C959" s="20"/>
      <c r="D959" s="70"/>
      <c r="E959" s="70"/>
      <c r="F959" s="70"/>
      <c r="G959" s="20"/>
      <c r="H959" s="20"/>
      <c r="I959" s="70"/>
      <c r="J959" s="70"/>
      <c r="K959" s="70"/>
      <c r="L959" s="70"/>
      <c r="M959" s="20"/>
      <c r="N959" s="20"/>
      <c r="O959" s="20"/>
      <c r="P959" s="20"/>
      <c r="Q959" s="20"/>
      <c r="R959" s="20"/>
      <c r="S959" s="20"/>
      <c r="T959" s="20"/>
      <c r="U959" s="20"/>
      <c r="V959" s="20"/>
      <c r="W959" s="20"/>
      <c r="X959" s="20"/>
    </row>
    <row r="960">
      <c r="A960" s="20"/>
      <c r="B960" s="20"/>
      <c r="C960" s="20"/>
      <c r="D960" s="70"/>
      <c r="E960" s="70"/>
      <c r="F960" s="70"/>
      <c r="G960" s="20"/>
      <c r="H960" s="20"/>
      <c r="I960" s="70"/>
      <c r="J960" s="70"/>
      <c r="K960" s="70"/>
      <c r="L960" s="70"/>
      <c r="M960" s="20"/>
      <c r="N960" s="20"/>
      <c r="O960" s="20"/>
      <c r="P960" s="20"/>
      <c r="Q960" s="20"/>
      <c r="R960" s="20"/>
      <c r="S960" s="20"/>
      <c r="T960" s="20"/>
      <c r="U960" s="20"/>
      <c r="V960" s="20"/>
      <c r="W960" s="20"/>
      <c r="X960" s="20"/>
    </row>
    <row r="961">
      <c r="A961" s="20"/>
      <c r="B961" s="20"/>
      <c r="C961" s="20"/>
      <c r="D961" s="70"/>
      <c r="E961" s="70"/>
      <c r="F961" s="70"/>
      <c r="G961" s="20"/>
      <c r="H961" s="20"/>
      <c r="I961" s="70"/>
      <c r="J961" s="70"/>
      <c r="K961" s="70"/>
      <c r="L961" s="70"/>
      <c r="M961" s="20"/>
      <c r="N961" s="20"/>
      <c r="O961" s="20"/>
      <c r="P961" s="20"/>
      <c r="Q961" s="20"/>
      <c r="R961" s="20"/>
      <c r="S961" s="20"/>
      <c r="T961" s="20"/>
      <c r="U961" s="20"/>
      <c r="V961" s="20"/>
      <c r="W961" s="20"/>
      <c r="X961" s="20"/>
    </row>
    <row r="962">
      <c r="A962" s="20"/>
      <c r="B962" s="20"/>
      <c r="C962" s="20"/>
      <c r="D962" s="70"/>
      <c r="E962" s="70"/>
      <c r="F962" s="70"/>
      <c r="G962" s="20"/>
      <c r="H962" s="20"/>
      <c r="I962" s="70"/>
      <c r="J962" s="70"/>
      <c r="K962" s="70"/>
      <c r="L962" s="70"/>
      <c r="M962" s="20"/>
      <c r="N962" s="20"/>
      <c r="O962" s="20"/>
      <c r="P962" s="20"/>
      <c r="Q962" s="20"/>
      <c r="R962" s="20"/>
      <c r="S962" s="20"/>
      <c r="T962" s="20"/>
      <c r="U962" s="20"/>
      <c r="V962" s="20"/>
      <c r="W962" s="20"/>
      <c r="X962" s="20"/>
    </row>
    <row r="963">
      <c r="A963" s="20"/>
      <c r="B963" s="20"/>
      <c r="C963" s="20"/>
      <c r="D963" s="70"/>
      <c r="E963" s="70"/>
      <c r="F963" s="70"/>
      <c r="G963" s="20"/>
      <c r="H963" s="20"/>
      <c r="I963" s="70"/>
      <c r="J963" s="70"/>
      <c r="K963" s="70"/>
      <c r="L963" s="70"/>
      <c r="M963" s="20"/>
      <c r="N963" s="20"/>
      <c r="O963" s="20"/>
      <c r="P963" s="20"/>
      <c r="Q963" s="20"/>
      <c r="R963" s="20"/>
      <c r="S963" s="20"/>
      <c r="T963" s="20"/>
      <c r="U963" s="20"/>
      <c r="V963" s="20"/>
      <c r="W963" s="20"/>
      <c r="X963" s="20"/>
    </row>
    <row r="964">
      <c r="A964" s="20"/>
      <c r="B964" s="20"/>
      <c r="C964" s="20"/>
      <c r="D964" s="70"/>
      <c r="E964" s="70"/>
      <c r="F964" s="70"/>
      <c r="G964" s="20"/>
      <c r="H964" s="20"/>
      <c r="I964" s="70"/>
      <c r="J964" s="70"/>
      <c r="K964" s="70"/>
      <c r="L964" s="70"/>
      <c r="M964" s="20"/>
      <c r="N964" s="20"/>
      <c r="O964" s="20"/>
      <c r="P964" s="20"/>
      <c r="Q964" s="20"/>
      <c r="R964" s="20"/>
      <c r="S964" s="20"/>
      <c r="T964" s="20"/>
      <c r="U964" s="20"/>
      <c r="V964" s="20"/>
      <c r="W964" s="20"/>
      <c r="X964" s="20"/>
    </row>
    <row r="965">
      <c r="A965" s="20"/>
      <c r="B965" s="20"/>
      <c r="C965" s="20"/>
      <c r="D965" s="70"/>
      <c r="E965" s="70"/>
      <c r="F965" s="70"/>
      <c r="G965" s="20"/>
      <c r="H965" s="20"/>
      <c r="I965" s="70"/>
      <c r="J965" s="70"/>
      <c r="K965" s="70"/>
      <c r="L965" s="70"/>
      <c r="M965" s="20"/>
      <c r="N965" s="20"/>
      <c r="O965" s="20"/>
      <c r="P965" s="20"/>
      <c r="Q965" s="20"/>
      <c r="R965" s="20"/>
      <c r="S965" s="20"/>
      <c r="T965" s="20"/>
      <c r="U965" s="20"/>
      <c r="V965" s="20"/>
      <c r="W965" s="20"/>
      <c r="X965" s="20"/>
    </row>
    <row r="966">
      <c r="A966" s="20"/>
      <c r="B966" s="20"/>
      <c r="C966" s="20"/>
      <c r="D966" s="70"/>
      <c r="E966" s="70"/>
      <c r="F966" s="70"/>
      <c r="G966" s="20"/>
      <c r="H966" s="20"/>
      <c r="I966" s="70"/>
      <c r="J966" s="70"/>
      <c r="K966" s="70"/>
      <c r="L966" s="70"/>
      <c r="M966" s="20"/>
      <c r="N966" s="20"/>
      <c r="O966" s="20"/>
      <c r="P966" s="20"/>
      <c r="Q966" s="20"/>
      <c r="R966" s="20"/>
      <c r="S966" s="20"/>
      <c r="T966" s="20"/>
      <c r="U966" s="20"/>
      <c r="V966" s="20"/>
      <c r="W966" s="20"/>
      <c r="X966" s="20"/>
    </row>
    <row r="967">
      <c r="A967" s="20"/>
      <c r="B967" s="20"/>
      <c r="C967" s="20"/>
      <c r="D967" s="70"/>
      <c r="E967" s="70"/>
      <c r="F967" s="70"/>
      <c r="G967" s="20"/>
      <c r="H967" s="20"/>
      <c r="I967" s="70"/>
      <c r="J967" s="70"/>
      <c r="K967" s="70"/>
      <c r="L967" s="70"/>
      <c r="M967" s="20"/>
      <c r="N967" s="20"/>
      <c r="O967" s="20"/>
      <c r="P967" s="20"/>
      <c r="Q967" s="20"/>
      <c r="R967" s="20"/>
      <c r="S967" s="20"/>
      <c r="T967" s="20"/>
      <c r="U967" s="20"/>
      <c r="V967" s="20"/>
      <c r="W967" s="20"/>
      <c r="X967" s="20"/>
    </row>
    <row r="968">
      <c r="A968" s="20"/>
      <c r="B968" s="20"/>
      <c r="C968" s="20"/>
      <c r="D968" s="70"/>
      <c r="E968" s="70"/>
      <c r="F968" s="70"/>
      <c r="G968" s="20"/>
      <c r="H968" s="20"/>
      <c r="I968" s="70"/>
      <c r="J968" s="70"/>
      <c r="K968" s="70"/>
      <c r="L968" s="70"/>
      <c r="M968" s="20"/>
      <c r="N968" s="20"/>
      <c r="O968" s="20"/>
      <c r="P968" s="20"/>
      <c r="Q968" s="20"/>
      <c r="R968" s="20"/>
      <c r="S968" s="20"/>
      <c r="T968" s="20"/>
      <c r="U968" s="20"/>
      <c r="V968" s="20"/>
      <c r="W968" s="20"/>
      <c r="X968" s="20"/>
    </row>
    <row r="969">
      <c r="A969" s="20"/>
      <c r="B969" s="20"/>
      <c r="C969" s="20"/>
      <c r="D969" s="70"/>
      <c r="E969" s="70"/>
      <c r="F969" s="70"/>
      <c r="G969" s="20"/>
      <c r="H969" s="20"/>
      <c r="I969" s="70"/>
      <c r="J969" s="70"/>
      <c r="K969" s="70"/>
      <c r="L969" s="70"/>
      <c r="M969" s="20"/>
      <c r="N969" s="20"/>
      <c r="O969" s="20"/>
      <c r="P969" s="20"/>
      <c r="Q969" s="20"/>
      <c r="R969" s="20"/>
      <c r="S969" s="20"/>
      <c r="T969" s="20"/>
      <c r="U969" s="20"/>
      <c r="V969" s="20"/>
      <c r="W969" s="20"/>
      <c r="X969" s="20"/>
    </row>
    <row r="970">
      <c r="A970" s="20"/>
      <c r="B970" s="20"/>
      <c r="C970" s="20"/>
      <c r="D970" s="70"/>
      <c r="E970" s="70"/>
      <c r="F970" s="70"/>
      <c r="G970" s="20"/>
      <c r="H970" s="20"/>
      <c r="I970" s="70"/>
      <c r="J970" s="70"/>
      <c r="K970" s="70"/>
      <c r="L970" s="70"/>
      <c r="M970" s="20"/>
      <c r="N970" s="20"/>
      <c r="O970" s="20"/>
      <c r="P970" s="20"/>
      <c r="Q970" s="20"/>
      <c r="R970" s="20"/>
      <c r="S970" s="20"/>
      <c r="T970" s="20"/>
      <c r="U970" s="20"/>
      <c r="V970" s="20"/>
      <c r="W970" s="20"/>
      <c r="X970" s="20"/>
    </row>
    <row r="971">
      <c r="A971" s="20"/>
      <c r="B971" s="20"/>
      <c r="C971" s="20"/>
      <c r="D971" s="70"/>
      <c r="E971" s="70"/>
      <c r="F971" s="70"/>
      <c r="G971" s="20"/>
      <c r="H971" s="20"/>
      <c r="I971" s="70"/>
      <c r="J971" s="70"/>
      <c r="K971" s="70"/>
      <c r="L971" s="70"/>
      <c r="M971" s="20"/>
      <c r="N971" s="20"/>
      <c r="O971" s="20"/>
      <c r="P971" s="20"/>
      <c r="Q971" s="20"/>
      <c r="R971" s="20"/>
      <c r="S971" s="20"/>
      <c r="T971" s="20"/>
      <c r="U971" s="20"/>
      <c r="V971" s="20"/>
      <c r="W971" s="20"/>
      <c r="X971" s="20"/>
    </row>
    <row r="972">
      <c r="A972" s="20"/>
      <c r="B972" s="20"/>
      <c r="C972" s="20"/>
      <c r="D972" s="70"/>
      <c r="E972" s="70"/>
      <c r="F972" s="70"/>
      <c r="G972" s="20"/>
      <c r="H972" s="20"/>
      <c r="I972" s="70"/>
      <c r="J972" s="70"/>
      <c r="K972" s="70"/>
      <c r="L972" s="70"/>
      <c r="M972" s="20"/>
      <c r="N972" s="20"/>
      <c r="O972" s="20"/>
      <c r="P972" s="20"/>
      <c r="Q972" s="20"/>
      <c r="R972" s="20"/>
      <c r="S972" s="20"/>
      <c r="T972" s="20"/>
      <c r="U972" s="20"/>
      <c r="V972" s="20"/>
      <c r="W972" s="20"/>
      <c r="X972" s="20"/>
    </row>
    <row r="973">
      <c r="A973" s="20"/>
      <c r="B973" s="20"/>
      <c r="C973" s="20"/>
      <c r="D973" s="70"/>
      <c r="E973" s="70"/>
      <c r="F973" s="70"/>
      <c r="G973" s="20"/>
      <c r="H973" s="20"/>
      <c r="I973" s="70"/>
      <c r="J973" s="70"/>
      <c r="K973" s="70"/>
      <c r="L973" s="70"/>
      <c r="M973" s="20"/>
      <c r="N973" s="20"/>
      <c r="O973" s="20"/>
      <c r="P973" s="20"/>
      <c r="Q973" s="20"/>
      <c r="R973" s="20"/>
      <c r="S973" s="20"/>
      <c r="T973" s="20"/>
      <c r="U973" s="20"/>
      <c r="V973" s="20"/>
      <c r="W973" s="20"/>
      <c r="X973" s="20"/>
    </row>
    <row r="974">
      <c r="A974" s="20"/>
      <c r="B974" s="20"/>
      <c r="C974" s="20"/>
      <c r="D974" s="70"/>
      <c r="E974" s="70"/>
      <c r="F974" s="70"/>
      <c r="G974" s="20"/>
      <c r="H974" s="20"/>
      <c r="I974" s="70"/>
      <c r="J974" s="70"/>
      <c r="K974" s="70"/>
      <c r="L974" s="70"/>
      <c r="M974" s="20"/>
      <c r="N974" s="20"/>
      <c r="O974" s="20"/>
      <c r="P974" s="20"/>
      <c r="Q974" s="20"/>
      <c r="R974" s="20"/>
      <c r="S974" s="20"/>
      <c r="T974" s="20"/>
      <c r="U974" s="20"/>
      <c r="V974" s="20"/>
      <c r="W974" s="20"/>
      <c r="X974" s="20"/>
    </row>
    <row r="975">
      <c r="A975" s="20"/>
      <c r="B975" s="20"/>
      <c r="C975" s="20"/>
      <c r="D975" s="70"/>
      <c r="E975" s="70"/>
      <c r="F975" s="70"/>
      <c r="G975" s="20"/>
      <c r="H975" s="20"/>
      <c r="I975" s="70"/>
      <c r="J975" s="70"/>
      <c r="K975" s="70"/>
      <c r="L975" s="70"/>
      <c r="M975" s="20"/>
      <c r="N975" s="20"/>
      <c r="O975" s="20"/>
      <c r="P975" s="20"/>
      <c r="Q975" s="20"/>
      <c r="R975" s="20"/>
      <c r="S975" s="20"/>
      <c r="T975" s="20"/>
      <c r="U975" s="20"/>
      <c r="V975" s="20"/>
      <c r="W975" s="20"/>
      <c r="X975" s="20"/>
    </row>
    <row r="976">
      <c r="A976" s="20"/>
      <c r="B976" s="20"/>
      <c r="C976" s="20"/>
      <c r="D976" s="70"/>
      <c r="E976" s="70"/>
      <c r="F976" s="70"/>
      <c r="G976" s="20"/>
      <c r="H976" s="20"/>
      <c r="I976" s="70"/>
      <c r="J976" s="70"/>
      <c r="K976" s="70"/>
      <c r="L976" s="70"/>
      <c r="M976" s="20"/>
      <c r="N976" s="20"/>
      <c r="O976" s="20"/>
      <c r="P976" s="20"/>
      <c r="Q976" s="20"/>
      <c r="R976" s="20"/>
      <c r="S976" s="20"/>
      <c r="T976" s="20"/>
      <c r="U976" s="20"/>
      <c r="V976" s="20"/>
      <c r="W976" s="20"/>
      <c r="X976" s="20"/>
    </row>
    <row r="977">
      <c r="A977" s="20"/>
      <c r="B977" s="20"/>
      <c r="C977" s="20"/>
      <c r="D977" s="70"/>
      <c r="E977" s="70"/>
      <c r="F977" s="70"/>
      <c r="G977" s="20"/>
      <c r="H977" s="20"/>
      <c r="I977" s="70"/>
      <c r="J977" s="70"/>
      <c r="K977" s="70"/>
      <c r="L977" s="70"/>
      <c r="M977" s="20"/>
      <c r="N977" s="20"/>
      <c r="O977" s="20"/>
      <c r="P977" s="20"/>
      <c r="Q977" s="20"/>
      <c r="R977" s="20"/>
      <c r="S977" s="20"/>
      <c r="T977" s="20"/>
      <c r="U977" s="20"/>
      <c r="V977" s="20"/>
      <c r="W977" s="20"/>
      <c r="X977" s="20"/>
    </row>
    <row r="978">
      <c r="A978" s="20"/>
      <c r="B978" s="20"/>
      <c r="C978" s="20"/>
      <c r="D978" s="70"/>
      <c r="E978" s="70"/>
      <c r="F978" s="70"/>
      <c r="G978" s="20"/>
      <c r="H978" s="20"/>
      <c r="I978" s="70"/>
      <c r="J978" s="70"/>
      <c r="K978" s="70"/>
      <c r="L978" s="70"/>
      <c r="M978" s="20"/>
      <c r="N978" s="20"/>
      <c r="O978" s="20"/>
      <c r="P978" s="20"/>
      <c r="Q978" s="20"/>
      <c r="R978" s="20"/>
      <c r="S978" s="20"/>
      <c r="T978" s="20"/>
      <c r="U978" s="20"/>
      <c r="V978" s="20"/>
      <c r="W978" s="20"/>
      <c r="X978" s="20"/>
    </row>
    <row r="979">
      <c r="A979" s="20"/>
      <c r="B979" s="20"/>
      <c r="C979" s="20"/>
      <c r="D979" s="70"/>
      <c r="E979" s="70"/>
      <c r="F979" s="70"/>
      <c r="G979" s="20"/>
      <c r="H979" s="20"/>
      <c r="I979" s="70"/>
      <c r="J979" s="70"/>
      <c r="K979" s="70"/>
      <c r="L979" s="70"/>
      <c r="M979" s="20"/>
      <c r="N979" s="20"/>
      <c r="O979" s="20"/>
      <c r="P979" s="20"/>
      <c r="Q979" s="20"/>
      <c r="R979" s="20"/>
      <c r="S979" s="20"/>
      <c r="T979" s="20"/>
      <c r="U979" s="20"/>
      <c r="V979" s="20"/>
      <c r="W979" s="20"/>
      <c r="X979" s="20"/>
    </row>
    <row r="980">
      <c r="A980" s="20"/>
      <c r="B980" s="20"/>
      <c r="C980" s="20"/>
      <c r="D980" s="70"/>
      <c r="E980" s="70"/>
      <c r="F980" s="70"/>
      <c r="G980" s="20"/>
      <c r="H980" s="20"/>
      <c r="I980" s="70"/>
      <c r="J980" s="70"/>
      <c r="K980" s="70"/>
      <c r="L980" s="70"/>
      <c r="M980" s="20"/>
      <c r="N980" s="20"/>
      <c r="O980" s="20"/>
      <c r="P980" s="20"/>
      <c r="Q980" s="20"/>
      <c r="R980" s="20"/>
      <c r="S980" s="20"/>
      <c r="T980" s="20"/>
      <c r="U980" s="20"/>
      <c r="V980" s="20"/>
      <c r="W980" s="20"/>
      <c r="X980" s="20"/>
    </row>
    <row r="981">
      <c r="A981" s="20"/>
      <c r="B981" s="20"/>
      <c r="C981" s="20"/>
      <c r="D981" s="70"/>
      <c r="E981" s="70"/>
      <c r="F981" s="70"/>
      <c r="G981" s="20"/>
      <c r="H981" s="20"/>
      <c r="I981" s="70"/>
      <c r="J981" s="70"/>
      <c r="K981" s="70"/>
      <c r="L981" s="70"/>
      <c r="M981" s="20"/>
      <c r="N981" s="20"/>
      <c r="O981" s="20"/>
      <c r="P981" s="20"/>
      <c r="Q981" s="20"/>
      <c r="R981" s="20"/>
      <c r="S981" s="20"/>
      <c r="T981" s="20"/>
      <c r="U981" s="20"/>
      <c r="V981" s="20"/>
      <c r="W981" s="20"/>
      <c r="X981" s="20"/>
    </row>
    <row r="982">
      <c r="A982" s="20"/>
      <c r="B982" s="20"/>
      <c r="C982" s="20"/>
      <c r="D982" s="70"/>
      <c r="E982" s="70"/>
      <c r="F982" s="70"/>
      <c r="G982" s="20"/>
      <c r="H982" s="20"/>
      <c r="I982" s="70"/>
      <c r="J982" s="70"/>
      <c r="K982" s="70"/>
      <c r="L982" s="70"/>
      <c r="M982" s="20"/>
      <c r="N982" s="20"/>
      <c r="O982" s="20"/>
      <c r="P982" s="20"/>
      <c r="Q982" s="20"/>
      <c r="R982" s="20"/>
      <c r="S982" s="20"/>
      <c r="T982" s="20"/>
      <c r="U982" s="20"/>
      <c r="V982" s="20"/>
      <c r="W982" s="20"/>
      <c r="X982" s="20"/>
    </row>
    <row r="983">
      <c r="A983" s="20"/>
      <c r="B983" s="20"/>
      <c r="C983" s="20"/>
      <c r="D983" s="70"/>
      <c r="E983" s="70"/>
      <c r="F983" s="70"/>
      <c r="G983" s="20"/>
      <c r="H983" s="20"/>
      <c r="I983" s="70"/>
      <c r="J983" s="70"/>
      <c r="K983" s="70"/>
      <c r="L983" s="70"/>
      <c r="M983" s="20"/>
      <c r="N983" s="20"/>
      <c r="O983" s="20"/>
      <c r="P983" s="20"/>
      <c r="Q983" s="20"/>
      <c r="R983" s="20"/>
      <c r="S983" s="20"/>
      <c r="T983" s="20"/>
      <c r="U983" s="20"/>
      <c r="V983" s="20"/>
      <c r="W983" s="20"/>
      <c r="X983" s="20"/>
    </row>
    <row r="984">
      <c r="A984" s="20"/>
      <c r="B984" s="20"/>
      <c r="C984" s="20"/>
      <c r="D984" s="70"/>
      <c r="E984" s="70"/>
      <c r="F984" s="70"/>
      <c r="G984" s="20"/>
      <c r="H984" s="20"/>
      <c r="I984" s="70"/>
      <c r="J984" s="70"/>
      <c r="K984" s="70"/>
      <c r="L984" s="70"/>
      <c r="M984" s="20"/>
      <c r="N984" s="20"/>
      <c r="O984" s="20"/>
      <c r="P984" s="20"/>
      <c r="Q984" s="20"/>
      <c r="R984" s="20"/>
      <c r="S984" s="20"/>
      <c r="T984" s="20"/>
      <c r="U984" s="20"/>
      <c r="V984" s="20"/>
      <c r="W984" s="20"/>
      <c r="X984" s="20"/>
    </row>
    <row r="985">
      <c r="A985" s="20"/>
      <c r="B985" s="20"/>
      <c r="C985" s="20"/>
      <c r="D985" s="70"/>
      <c r="E985" s="70"/>
      <c r="F985" s="70"/>
      <c r="G985" s="20"/>
      <c r="H985" s="20"/>
      <c r="I985" s="70"/>
      <c r="J985" s="70"/>
      <c r="K985" s="70"/>
      <c r="L985" s="70"/>
      <c r="M985" s="20"/>
      <c r="N985" s="20"/>
      <c r="O985" s="20"/>
      <c r="P985" s="20"/>
      <c r="Q985" s="20"/>
      <c r="R985" s="20"/>
      <c r="S985" s="20"/>
      <c r="T985" s="20"/>
      <c r="U985" s="20"/>
      <c r="V985" s="20"/>
      <c r="W985" s="20"/>
      <c r="X985" s="20"/>
    </row>
    <row r="986">
      <c r="A986" s="20"/>
      <c r="B986" s="20"/>
      <c r="C986" s="20"/>
      <c r="D986" s="70"/>
      <c r="E986" s="70"/>
      <c r="F986" s="70"/>
      <c r="G986" s="20"/>
      <c r="H986" s="20"/>
      <c r="I986" s="70"/>
      <c r="J986" s="70"/>
      <c r="K986" s="70"/>
      <c r="L986" s="70"/>
      <c r="M986" s="20"/>
      <c r="N986" s="20"/>
      <c r="O986" s="20"/>
      <c r="P986" s="20"/>
      <c r="Q986" s="20"/>
      <c r="R986" s="20"/>
      <c r="S986" s="20"/>
      <c r="T986" s="20"/>
      <c r="U986" s="20"/>
      <c r="V986" s="20"/>
      <c r="W986" s="20"/>
      <c r="X986" s="20"/>
    </row>
    <row r="987">
      <c r="A987" s="20"/>
      <c r="B987" s="20"/>
      <c r="C987" s="20"/>
      <c r="D987" s="70"/>
      <c r="E987" s="70"/>
      <c r="F987" s="70"/>
      <c r="G987" s="20"/>
      <c r="H987" s="20"/>
      <c r="I987" s="70"/>
      <c r="J987" s="70"/>
      <c r="K987" s="70"/>
      <c r="L987" s="70"/>
      <c r="M987" s="20"/>
      <c r="N987" s="20"/>
      <c r="O987" s="20"/>
      <c r="P987" s="20"/>
      <c r="Q987" s="20"/>
      <c r="R987" s="20"/>
      <c r="S987" s="20"/>
      <c r="T987" s="20"/>
      <c r="U987" s="20"/>
      <c r="V987" s="20"/>
      <c r="W987" s="20"/>
      <c r="X987" s="20"/>
    </row>
    <row r="988">
      <c r="A988" s="20"/>
      <c r="B988" s="20"/>
      <c r="C988" s="20"/>
      <c r="D988" s="70"/>
      <c r="E988" s="70"/>
      <c r="F988" s="70"/>
      <c r="G988" s="20"/>
      <c r="H988" s="20"/>
      <c r="I988" s="70"/>
      <c r="J988" s="70"/>
      <c r="K988" s="70"/>
      <c r="L988" s="70"/>
      <c r="M988" s="20"/>
      <c r="N988" s="20"/>
      <c r="O988" s="20"/>
      <c r="P988" s="20"/>
      <c r="Q988" s="20"/>
      <c r="R988" s="20"/>
      <c r="S988" s="20"/>
      <c r="T988" s="20"/>
      <c r="U988" s="20"/>
      <c r="V988" s="20"/>
      <c r="W988" s="20"/>
      <c r="X988" s="20"/>
    </row>
    <row r="989">
      <c r="A989" s="20"/>
      <c r="B989" s="20"/>
      <c r="C989" s="20"/>
      <c r="D989" s="70"/>
      <c r="E989" s="70"/>
      <c r="F989" s="70"/>
      <c r="G989" s="20"/>
      <c r="H989" s="20"/>
      <c r="I989" s="70"/>
      <c r="J989" s="70"/>
      <c r="K989" s="70"/>
      <c r="L989" s="70"/>
      <c r="M989" s="20"/>
      <c r="N989" s="20"/>
      <c r="O989" s="20"/>
      <c r="P989" s="20"/>
      <c r="Q989" s="20"/>
      <c r="R989" s="20"/>
      <c r="S989" s="20"/>
      <c r="T989" s="20"/>
      <c r="U989" s="20"/>
      <c r="V989" s="20"/>
      <c r="W989" s="20"/>
      <c r="X989" s="20"/>
    </row>
    <row r="990">
      <c r="A990" s="20"/>
      <c r="B990" s="20"/>
      <c r="C990" s="20"/>
      <c r="D990" s="70"/>
      <c r="E990" s="70"/>
      <c r="F990" s="70"/>
      <c r="G990" s="20"/>
      <c r="H990" s="20"/>
      <c r="I990" s="70"/>
      <c r="J990" s="70"/>
      <c r="K990" s="70"/>
      <c r="L990" s="70"/>
      <c r="M990" s="20"/>
      <c r="N990" s="20"/>
      <c r="O990" s="20"/>
      <c r="P990" s="20"/>
      <c r="Q990" s="20"/>
      <c r="R990" s="20"/>
      <c r="S990" s="20"/>
      <c r="T990" s="20"/>
      <c r="U990" s="20"/>
      <c r="V990" s="20"/>
      <c r="W990" s="20"/>
      <c r="X990" s="20"/>
    </row>
    <row r="991">
      <c r="A991" s="20"/>
      <c r="B991" s="20"/>
      <c r="C991" s="20"/>
      <c r="D991" s="70"/>
      <c r="E991" s="70"/>
      <c r="F991" s="70"/>
      <c r="G991" s="20"/>
      <c r="H991" s="20"/>
      <c r="I991" s="70"/>
      <c r="J991" s="70"/>
      <c r="K991" s="70"/>
      <c r="L991" s="70"/>
      <c r="M991" s="20"/>
      <c r="N991" s="20"/>
      <c r="O991" s="20"/>
      <c r="P991" s="20"/>
      <c r="Q991" s="20"/>
      <c r="R991" s="20"/>
      <c r="S991" s="20"/>
      <c r="T991" s="20"/>
      <c r="U991" s="20"/>
      <c r="V991" s="20"/>
      <c r="W991" s="20"/>
      <c r="X991" s="20"/>
    </row>
    <row r="992">
      <c r="A992" s="20"/>
      <c r="B992" s="20"/>
      <c r="C992" s="20"/>
      <c r="D992" s="70"/>
      <c r="E992" s="70"/>
      <c r="F992" s="70"/>
      <c r="G992" s="20"/>
      <c r="H992" s="20"/>
      <c r="I992" s="70"/>
      <c r="J992" s="70"/>
      <c r="K992" s="70"/>
      <c r="L992" s="70"/>
      <c r="M992" s="20"/>
      <c r="N992" s="20"/>
      <c r="O992" s="20"/>
      <c r="P992" s="20"/>
      <c r="Q992" s="20"/>
      <c r="R992" s="20"/>
      <c r="S992" s="20"/>
      <c r="T992" s="20"/>
      <c r="U992" s="20"/>
      <c r="V992" s="20"/>
      <c r="W992" s="20"/>
      <c r="X992" s="20"/>
    </row>
    <row r="993">
      <c r="A993" s="20"/>
      <c r="B993" s="20"/>
      <c r="C993" s="20"/>
      <c r="D993" s="70"/>
      <c r="E993" s="70"/>
      <c r="F993" s="70"/>
      <c r="G993" s="20"/>
      <c r="H993" s="20"/>
      <c r="I993" s="70"/>
      <c r="J993" s="70"/>
      <c r="K993" s="70"/>
      <c r="L993" s="70"/>
      <c r="M993" s="20"/>
      <c r="N993" s="20"/>
      <c r="O993" s="20"/>
      <c r="P993" s="20"/>
      <c r="Q993" s="20"/>
      <c r="R993" s="20"/>
      <c r="S993" s="20"/>
      <c r="T993" s="20"/>
      <c r="U993" s="20"/>
      <c r="V993" s="20"/>
      <c r="W993" s="20"/>
      <c r="X993" s="20"/>
    </row>
    <row r="994">
      <c r="A994" s="20"/>
      <c r="B994" s="20"/>
      <c r="C994" s="20"/>
      <c r="D994" s="70"/>
      <c r="E994" s="70"/>
      <c r="F994" s="70"/>
      <c r="G994" s="20"/>
      <c r="H994" s="20"/>
      <c r="I994" s="70"/>
      <c r="J994" s="70"/>
      <c r="K994" s="70"/>
      <c r="L994" s="70"/>
      <c r="M994" s="20"/>
      <c r="N994" s="20"/>
      <c r="O994" s="20"/>
      <c r="P994" s="20"/>
      <c r="Q994" s="20"/>
      <c r="R994" s="20"/>
      <c r="S994" s="20"/>
      <c r="T994" s="20"/>
      <c r="U994" s="20"/>
      <c r="V994" s="20"/>
      <c r="W994" s="20"/>
      <c r="X994" s="20"/>
    </row>
    <row r="995">
      <c r="A995" s="20"/>
      <c r="B995" s="20"/>
      <c r="C995" s="20"/>
      <c r="D995" s="70"/>
      <c r="E995" s="70"/>
      <c r="F995" s="70"/>
      <c r="G995" s="20"/>
      <c r="H995" s="20"/>
      <c r="I995" s="70"/>
      <c r="J995" s="70"/>
      <c r="K995" s="70"/>
      <c r="L995" s="70"/>
      <c r="M995" s="20"/>
      <c r="N995" s="20"/>
      <c r="O995" s="20"/>
      <c r="P995" s="20"/>
      <c r="Q995" s="20"/>
      <c r="R995" s="20"/>
      <c r="S995" s="20"/>
      <c r="T995" s="20"/>
      <c r="U995" s="20"/>
      <c r="V995" s="20"/>
      <c r="W995" s="20"/>
      <c r="X995" s="20"/>
    </row>
    <row r="996">
      <c r="A996" s="20"/>
      <c r="B996" s="20"/>
      <c r="C996" s="20"/>
      <c r="D996" s="70"/>
      <c r="E996" s="70"/>
      <c r="F996" s="70"/>
      <c r="G996" s="20"/>
      <c r="H996" s="20"/>
      <c r="I996" s="70"/>
      <c r="J996" s="70"/>
      <c r="K996" s="70"/>
      <c r="L996" s="70"/>
      <c r="M996" s="20"/>
      <c r="N996" s="20"/>
      <c r="O996" s="20"/>
      <c r="P996" s="20"/>
      <c r="Q996" s="20"/>
      <c r="R996" s="20"/>
      <c r="S996" s="20"/>
      <c r="T996" s="20"/>
      <c r="U996" s="20"/>
      <c r="V996" s="20"/>
      <c r="W996" s="20"/>
      <c r="X996" s="20"/>
    </row>
    <row r="997">
      <c r="A997" s="20"/>
      <c r="B997" s="20"/>
      <c r="C997" s="20"/>
      <c r="D997" s="70"/>
      <c r="E997" s="70"/>
      <c r="F997" s="70"/>
      <c r="G997" s="20"/>
      <c r="H997" s="20"/>
      <c r="I997" s="70"/>
      <c r="J997" s="70"/>
      <c r="K997" s="70"/>
      <c r="L997" s="70"/>
      <c r="M997" s="20"/>
      <c r="N997" s="20"/>
      <c r="O997" s="20"/>
      <c r="P997" s="20"/>
      <c r="Q997" s="20"/>
      <c r="R997" s="20"/>
      <c r="S997" s="20"/>
      <c r="T997" s="20"/>
      <c r="U997" s="20"/>
      <c r="V997" s="20"/>
      <c r="W997" s="20"/>
      <c r="X997" s="20"/>
    </row>
    <row r="998">
      <c r="A998" s="20"/>
      <c r="B998" s="20"/>
      <c r="C998" s="20"/>
      <c r="D998" s="70"/>
      <c r="E998" s="70"/>
      <c r="F998" s="70"/>
      <c r="G998" s="20"/>
      <c r="H998" s="20"/>
      <c r="I998" s="70"/>
      <c r="J998" s="70"/>
      <c r="K998" s="70"/>
      <c r="L998" s="70"/>
      <c r="M998" s="20"/>
      <c r="N998" s="20"/>
      <c r="O998" s="20"/>
      <c r="P998" s="20"/>
      <c r="Q998" s="20"/>
      <c r="R998" s="20"/>
      <c r="S998" s="20"/>
      <c r="T998" s="20"/>
      <c r="U998" s="20"/>
      <c r="V998" s="20"/>
      <c r="W998" s="20"/>
      <c r="X998" s="20"/>
    </row>
    <row r="999">
      <c r="A999" s="20"/>
      <c r="B999" s="20"/>
      <c r="C999" s="20"/>
      <c r="D999" s="70"/>
      <c r="E999" s="70"/>
      <c r="F999" s="70"/>
      <c r="G999" s="20"/>
      <c r="H999" s="20"/>
      <c r="I999" s="70"/>
      <c r="J999" s="70"/>
      <c r="K999" s="70"/>
      <c r="L999" s="70"/>
      <c r="M999" s="20"/>
      <c r="N999" s="20"/>
      <c r="O999" s="20"/>
      <c r="P999" s="20"/>
      <c r="Q999" s="20"/>
      <c r="R999" s="20"/>
      <c r="S999" s="20"/>
      <c r="T999" s="20"/>
      <c r="U999" s="20"/>
      <c r="V999" s="20"/>
      <c r="W999" s="20"/>
      <c r="X999" s="20"/>
    </row>
    <row r="1000">
      <c r="A1000" s="20"/>
      <c r="B1000" s="20"/>
      <c r="C1000" s="20"/>
      <c r="D1000" s="70"/>
      <c r="E1000" s="70"/>
      <c r="F1000" s="70"/>
      <c r="G1000" s="20"/>
      <c r="H1000" s="20"/>
      <c r="I1000" s="70"/>
      <c r="J1000" s="70"/>
      <c r="K1000" s="70"/>
      <c r="L1000" s="70"/>
      <c r="M1000" s="20"/>
      <c r="N1000" s="20"/>
      <c r="O1000" s="20"/>
      <c r="P1000" s="20"/>
      <c r="Q1000" s="20"/>
      <c r="R1000" s="20"/>
      <c r="S1000" s="20"/>
      <c r="T1000" s="20"/>
      <c r="U1000" s="20"/>
      <c r="V1000" s="20"/>
      <c r="W1000" s="20"/>
      <c r="X1000" s="20"/>
    </row>
    <row r="1001">
      <c r="A1001" s="20"/>
      <c r="B1001" s="20"/>
      <c r="C1001" s="20"/>
      <c r="D1001" s="70"/>
      <c r="E1001" s="70"/>
      <c r="F1001" s="70"/>
      <c r="G1001" s="20"/>
      <c r="H1001" s="20"/>
      <c r="I1001" s="70"/>
      <c r="J1001" s="70"/>
      <c r="K1001" s="70"/>
      <c r="L1001" s="70"/>
      <c r="M1001" s="20"/>
      <c r="N1001" s="20"/>
      <c r="O1001" s="20"/>
      <c r="P1001" s="20"/>
      <c r="Q1001" s="20"/>
      <c r="R1001" s="20"/>
      <c r="S1001" s="20"/>
      <c r="T1001" s="20"/>
      <c r="U1001" s="20"/>
      <c r="V1001" s="20"/>
      <c r="W1001" s="20"/>
      <c r="X1001" s="20"/>
    </row>
    <row r="1002">
      <c r="A1002" s="20"/>
      <c r="B1002" s="20"/>
      <c r="C1002" s="20"/>
      <c r="D1002" s="70"/>
      <c r="E1002" s="70"/>
      <c r="F1002" s="70"/>
      <c r="G1002" s="20"/>
      <c r="H1002" s="20"/>
      <c r="I1002" s="70"/>
      <c r="J1002" s="70"/>
      <c r="K1002" s="70"/>
      <c r="L1002" s="70"/>
      <c r="M1002" s="20"/>
      <c r="N1002" s="20"/>
      <c r="O1002" s="20"/>
      <c r="P1002" s="20"/>
      <c r="Q1002" s="20"/>
      <c r="R1002" s="20"/>
      <c r="S1002" s="20"/>
      <c r="T1002" s="20"/>
      <c r="U1002" s="20"/>
      <c r="V1002" s="20"/>
      <c r="W1002" s="20"/>
      <c r="X1002" s="20"/>
    </row>
    <row r="1003">
      <c r="A1003" s="20"/>
      <c r="B1003" s="20"/>
      <c r="C1003" s="20"/>
      <c r="D1003" s="70"/>
      <c r="E1003" s="70"/>
      <c r="F1003" s="70"/>
      <c r="G1003" s="20"/>
      <c r="H1003" s="20"/>
      <c r="I1003" s="70"/>
      <c r="J1003" s="70"/>
      <c r="K1003" s="70"/>
      <c r="L1003" s="70"/>
      <c r="M1003" s="20"/>
      <c r="N1003" s="20"/>
      <c r="O1003" s="20"/>
      <c r="P1003" s="20"/>
      <c r="Q1003" s="20"/>
      <c r="R1003" s="20"/>
      <c r="S1003" s="20"/>
      <c r="T1003" s="20"/>
      <c r="U1003" s="20"/>
      <c r="V1003" s="20"/>
      <c r="W1003" s="20"/>
      <c r="X1003" s="20"/>
    </row>
    <row r="1004">
      <c r="A1004" s="20"/>
      <c r="B1004" s="20"/>
      <c r="C1004" s="20"/>
      <c r="D1004" s="70"/>
      <c r="E1004" s="70"/>
      <c r="F1004" s="70"/>
      <c r="G1004" s="20"/>
      <c r="H1004" s="20"/>
      <c r="I1004" s="70"/>
      <c r="J1004" s="70"/>
      <c r="K1004" s="70"/>
      <c r="L1004" s="70"/>
      <c r="M1004" s="20"/>
      <c r="N1004" s="20"/>
      <c r="O1004" s="20"/>
      <c r="P1004" s="20"/>
      <c r="Q1004" s="20"/>
      <c r="R1004" s="20"/>
      <c r="S1004" s="20"/>
      <c r="T1004" s="20"/>
      <c r="U1004" s="20"/>
      <c r="V1004" s="20"/>
      <c r="W1004" s="20"/>
      <c r="X1004" s="20"/>
    </row>
    <row r="1005">
      <c r="A1005" s="20"/>
      <c r="B1005" s="20"/>
      <c r="C1005" s="20"/>
      <c r="D1005" s="70"/>
      <c r="E1005" s="70"/>
      <c r="F1005" s="70"/>
      <c r="G1005" s="20"/>
      <c r="H1005" s="20"/>
      <c r="I1005" s="70"/>
      <c r="J1005" s="70"/>
      <c r="K1005" s="70"/>
      <c r="L1005" s="70"/>
      <c r="M1005" s="20"/>
      <c r="N1005" s="20"/>
      <c r="O1005" s="20"/>
      <c r="P1005" s="20"/>
      <c r="Q1005" s="20"/>
      <c r="R1005" s="20"/>
      <c r="S1005" s="20"/>
      <c r="T1005" s="20"/>
      <c r="U1005" s="20"/>
      <c r="V1005" s="20"/>
      <c r="W1005" s="20"/>
      <c r="X1005" s="20"/>
    </row>
    <row r="1006">
      <c r="A1006" s="20"/>
      <c r="B1006" s="20"/>
      <c r="C1006" s="20"/>
      <c r="D1006" s="70"/>
      <c r="E1006" s="70"/>
      <c r="F1006" s="70"/>
      <c r="G1006" s="20"/>
      <c r="H1006" s="20"/>
      <c r="I1006" s="70"/>
      <c r="J1006" s="70"/>
      <c r="K1006" s="70"/>
      <c r="L1006" s="70"/>
      <c r="M1006" s="20"/>
      <c r="N1006" s="20"/>
      <c r="O1006" s="20"/>
      <c r="P1006" s="20"/>
      <c r="Q1006" s="20"/>
      <c r="R1006" s="20"/>
      <c r="S1006" s="20"/>
      <c r="T1006" s="20"/>
      <c r="U1006" s="20"/>
      <c r="V1006" s="20"/>
      <c r="W1006" s="20"/>
      <c r="X1006" s="20"/>
    </row>
    <row r="1007">
      <c r="A1007" s="20"/>
      <c r="B1007" s="20"/>
      <c r="C1007" s="20"/>
      <c r="D1007" s="70"/>
      <c r="E1007" s="70"/>
      <c r="F1007" s="70"/>
      <c r="G1007" s="20"/>
      <c r="H1007" s="20"/>
      <c r="I1007" s="70"/>
      <c r="J1007" s="70"/>
      <c r="K1007" s="70"/>
      <c r="L1007" s="70"/>
      <c r="M1007" s="20"/>
      <c r="N1007" s="20"/>
      <c r="O1007" s="20"/>
      <c r="P1007" s="20"/>
      <c r="Q1007" s="20"/>
      <c r="R1007" s="20"/>
      <c r="S1007" s="20"/>
      <c r="T1007" s="20"/>
      <c r="U1007" s="20"/>
      <c r="V1007" s="20"/>
      <c r="W1007" s="20"/>
      <c r="X1007" s="20"/>
    </row>
    <row r="1008">
      <c r="A1008" s="20"/>
      <c r="B1008" s="20"/>
      <c r="C1008" s="20"/>
      <c r="D1008" s="70"/>
      <c r="E1008" s="70"/>
      <c r="F1008" s="70"/>
      <c r="G1008" s="20"/>
      <c r="H1008" s="20"/>
      <c r="I1008" s="70"/>
      <c r="J1008" s="70"/>
      <c r="K1008" s="70"/>
      <c r="L1008" s="70"/>
      <c r="M1008" s="20"/>
      <c r="N1008" s="20"/>
      <c r="O1008" s="20"/>
      <c r="P1008" s="20"/>
      <c r="Q1008" s="20"/>
      <c r="R1008" s="20"/>
      <c r="S1008" s="20"/>
      <c r="T1008" s="20"/>
      <c r="U1008" s="20"/>
      <c r="V1008" s="20"/>
      <c r="W1008" s="20"/>
      <c r="X1008" s="20"/>
    </row>
    <row r="1009">
      <c r="A1009" s="20"/>
      <c r="B1009" s="20"/>
      <c r="C1009" s="20"/>
      <c r="D1009" s="70"/>
      <c r="E1009" s="70"/>
      <c r="F1009" s="70"/>
      <c r="G1009" s="20"/>
      <c r="H1009" s="20"/>
      <c r="I1009" s="70"/>
      <c r="J1009" s="70"/>
      <c r="K1009" s="70"/>
      <c r="L1009" s="70"/>
      <c r="M1009" s="20"/>
      <c r="N1009" s="20"/>
      <c r="O1009" s="20"/>
      <c r="P1009" s="20"/>
      <c r="Q1009" s="20"/>
      <c r="R1009" s="20"/>
      <c r="S1009" s="20"/>
      <c r="T1009" s="20"/>
      <c r="U1009" s="20"/>
      <c r="V1009" s="20"/>
      <c r="W1009" s="20"/>
      <c r="X1009" s="20"/>
    </row>
    <row r="1010">
      <c r="A1010" s="20"/>
      <c r="B1010" s="20"/>
      <c r="C1010" s="20"/>
      <c r="D1010" s="70"/>
      <c r="E1010" s="70"/>
      <c r="F1010" s="70"/>
      <c r="G1010" s="20"/>
      <c r="H1010" s="20"/>
      <c r="I1010" s="70"/>
      <c r="J1010" s="70"/>
      <c r="K1010" s="70"/>
      <c r="L1010" s="70"/>
      <c r="M1010" s="20"/>
      <c r="N1010" s="20"/>
      <c r="O1010" s="20"/>
      <c r="P1010" s="20"/>
      <c r="Q1010" s="20"/>
      <c r="R1010" s="20"/>
      <c r="S1010" s="20"/>
      <c r="T1010" s="20"/>
      <c r="U1010" s="20"/>
      <c r="V1010" s="20"/>
      <c r="W1010" s="20"/>
      <c r="X1010" s="20"/>
    </row>
    <row r="1011">
      <c r="A1011" s="20"/>
      <c r="B1011" s="20"/>
      <c r="C1011" s="20"/>
      <c r="D1011" s="70"/>
      <c r="E1011" s="70"/>
      <c r="F1011" s="70"/>
      <c r="G1011" s="20"/>
      <c r="H1011" s="20"/>
      <c r="I1011" s="70"/>
      <c r="J1011" s="70"/>
      <c r="K1011" s="70"/>
      <c r="L1011" s="70"/>
      <c r="M1011" s="20"/>
      <c r="N1011" s="20"/>
      <c r="O1011" s="20"/>
      <c r="P1011" s="20"/>
      <c r="Q1011" s="20"/>
      <c r="R1011" s="20"/>
      <c r="S1011" s="20"/>
      <c r="T1011" s="20"/>
      <c r="U1011" s="20"/>
      <c r="V1011" s="20"/>
      <c r="W1011" s="20"/>
      <c r="X1011" s="20"/>
    </row>
    <row r="1012">
      <c r="A1012" s="20"/>
      <c r="B1012" s="20"/>
      <c r="C1012" s="20"/>
      <c r="D1012" s="70"/>
      <c r="E1012" s="70"/>
      <c r="F1012" s="70"/>
      <c r="G1012" s="20"/>
      <c r="H1012" s="20"/>
      <c r="I1012" s="70"/>
      <c r="J1012" s="70"/>
      <c r="K1012" s="70"/>
      <c r="L1012" s="70"/>
      <c r="M1012" s="20"/>
      <c r="N1012" s="20"/>
      <c r="O1012" s="20"/>
      <c r="P1012" s="20"/>
      <c r="Q1012" s="20"/>
      <c r="R1012" s="20"/>
      <c r="S1012" s="20"/>
      <c r="T1012" s="20"/>
      <c r="U1012" s="20"/>
      <c r="V1012" s="20"/>
      <c r="W1012" s="20"/>
      <c r="X1012" s="20"/>
    </row>
    <row r="1013">
      <c r="A1013" s="20"/>
      <c r="B1013" s="20"/>
      <c r="C1013" s="20"/>
      <c r="D1013" s="70"/>
      <c r="E1013" s="70"/>
      <c r="F1013" s="70"/>
      <c r="G1013" s="20"/>
      <c r="H1013" s="20"/>
      <c r="I1013" s="70"/>
      <c r="J1013" s="70"/>
      <c r="K1013" s="70"/>
      <c r="L1013" s="70"/>
      <c r="M1013" s="20"/>
      <c r="N1013" s="20"/>
      <c r="O1013" s="20"/>
      <c r="P1013" s="20"/>
      <c r="Q1013" s="20"/>
      <c r="R1013" s="20"/>
      <c r="S1013" s="20"/>
      <c r="T1013" s="20"/>
      <c r="U1013" s="20"/>
      <c r="V1013" s="20"/>
      <c r="W1013" s="20"/>
      <c r="X1013" s="20"/>
    </row>
    <row r="1014">
      <c r="A1014" s="20"/>
      <c r="B1014" s="20"/>
      <c r="C1014" s="20"/>
      <c r="D1014" s="70"/>
      <c r="E1014" s="70"/>
      <c r="F1014" s="70"/>
      <c r="G1014" s="20"/>
      <c r="H1014" s="20"/>
      <c r="I1014" s="70"/>
      <c r="J1014" s="70"/>
      <c r="K1014" s="70"/>
      <c r="L1014" s="70"/>
      <c r="M1014" s="20"/>
      <c r="N1014" s="20"/>
      <c r="O1014" s="20"/>
      <c r="P1014" s="20"/>
      <c r="Q1014" s="20"/>
      <c r="R1014" s="20"/>
      <c r="S1014" s="20"/>
      <c r="T1014" s="20"/>
      <c r="U1014" s="20"/>
      <c r="V1014" s="20"/>
      <c r="W1014" s="20"/>
      <c r="X1014" s="20"/>
    </row>
    <row r="1015">
      <c r="A1015" s="20"/>
      <c r="B1015" s="20"/>
      <c r="C1015" s="20"/>
      <c r="D1015" s="70"/>
      <c r="E1015" s="70"/>
      <c r="F1015" s="70"/>
      <c r="G1015" s="20"/>
      <c r="H1015" s="20"/>
      <c r="I1015" s="70"/>
      <c r="J1015" s="70"/>
      <c r="K1015" s="70"/>
      <c r="L1015" s="70"/>
      <c r="M1015" s="20"/>
      <c r="N1015" s="20"/>
      <c r="O1015" s="20"/>
      <c r="P1015" s="20"/>
      <c r="Q1015" s="20"/>
      <c r="R1015" s="20"/>
      <c r="S1015" s="20"/>
      <c r="T1015" s="20"/>
      <c r="U1015" s="20"/>
      <c r="V1015" s="20"/>
      <c r="W1015" s="20"/>
      <c r="X1015" s="20"/>
    </row>
    <row r="1016">
      <c r="A1016" s="20"/>
      <c r="B1016" s="20"/>
      <c r="C1016" s="20"/>
      <c r="D1016" s="70"/>
      <c r="E1016" s="70"/>
      <c r="F1016" s="70"/>
      <c r="G1016" s="20"/>
      <c r="H1016" s="20"/>
      <c r="I1016" s="70"/>
      <c r="J1016" s="70"/>
      <c r="K1016" s="70"/>
      <c r="L1016" s="70"/>
      <c r="M1016" s="20"/>
      <c r="N1016" s="20"/>
      <c r="O1016" s="20"/>
      <c r="P1016" s="20"/>
      <c r="Q1016" s="20"/>
      <c r="R1016" s="20"/>
      <c r="S1016" s="20"/>
      <c r="T1016" s="20"/>
      <c r="U1016" s="20"/>
      <c r="V1016" s="20"/>
      <c r="W1016" s="20"/>
      <c r="X1016" s="20"/>
    </row>
    <row r="1017">
      <c r="A1017" s="20"/>
      <c r="B1017" s="20"/>
      <c r="C1017" s="20"/>
      <c r="D1017" s="70"/>
      <c r="E1017" s="70"/>
      <c r="F1017" s="70"/>
      <c r="G1017" s="20"/>
      <c r="H1017" s="20"/>
      <c r="I1017" s="70"/>
      <c r="J1017" s="70"/>
      <c r="K1017" s="70"/>
      <c r="L1017" s="70"/>
      <c r="M1017" s="20"/>
      <c r="N1017" s="20"/>
      <c r="O1017" s="20"/>
      <c r="P1017" s="20"/>
      <c r="Q1017" s="20"/>
      <c r="R1017" s="20"/>
      <c r="S1017" s="20"/>
      <c r="T1017" s="20"/>
      <c r="U1017" s="20"/>
      <c r="V1017" s="20"/>
      <c r="W1017" s="20"/>
      <c r="X1017" s="20"/>
    </row>
    <row r="1018">
      <c r="A1018" s="20"/>
      <c r="B1018" s="20"/>
      <c r="C1018" s="20"/>
      <c r="D1018" s="70"/>
      <c r="E1018" s="70"/>
      <c r="F1018" s="70"/>
      <c r="G1018" s="20"/>
      <c r="H1018" s="20"/>
      <c r="I1018" s="70"/>
      <c r="J1018" s="70"/>
      <c r="K1018" s="70"/>
      <c r="L1018" s="70"/>
      <c r="M1018" s="20"/>
      <c r="N1018" s="20"/>
      <c r="O1018" s="20"/>
      <c r="P1018" s="20"/>
      <c r="Q1018" s="20"/>
      <c r="R1018" s="20"/>
      <c r="S1018" s="20"/>
      <c r="T1018" s="20"/>
      <c r="U1018" s="20"/>
      <c r="V1018" s="20"/>
      <c r="W1018" s="20"/>
      <c r="X1018" s="20"/>
    </row>
    <row r="1019">
      <c r="A1019" s="20"/>
      <c r="B1019" s="20"/>
      <c r="C1019" s="20"/>
      <c r="D1019" s="70"/>
      <c r="E1019" s="70"/>
      <c r="F1019" s="70"/>
      <c r="G1019" s="20"/>
      <c r="H1019" s="20"/>
      <c r="I1019" s="70"/>
      <c r="J1019" s="70"/>
      <c r="K1019" s="70"/>
      <c r="L1019" s="70"/>
      <c r="M1019" s="20"/>
      <c r="N1019" s="20"/>
      <c r="O1019" s="20"/>
      <c r="P1019" s="20"/>
      <c r="Q1019" s="20"/>
      <c r="R1019" s="20"/>
      <c r="S1019" s="20"/>
      <c r="T1019" s="20"/>
      <c r="U1019" s="20"/>
      <c r="V1019" s="20"/>
      <c r="W1019" s="20"/>
      <c r="X1019" s="20"/>
    </row>
    <row r="1020">
      <c r="A1020" s="20"/>
      <c r="B1020" s="20"/>
      <c r="C1020" s="20"/>
      <c r="D1020" s="70"/>
      <c r="E1020" s="70"/>
      <c r="F1020" s="70"/>
      <c r="G1020" s="20"/>
      <c r="H1020" s="20"/>
      <c r="I1020" s="70"/>
      <c r="J1020" s="70"/>
      <c r="K1020" s="70"/>
      <c r="L1020" s="70"/>
      <c r="M1020" s="20"/>
      <c r="N1020" s="20"/>
      <c r="O1020" s="20"/>
      <c r="P1020" s="20"/>
      <c r="Q1020" s="20"/>
      <c r="R1020" s="20"/>
      <c r="S1020" s="20"/>
      <c r="T1020" s="20"/>
      <c r="U1020" s="20"/>
      <c r="V1020" s="20"/>
      <c r="W1020" s="20"/>
      <c r="X1020" s="20"/>
    </row>
    <row r="1021">
      <c r="A1021" s="20"/>
      <c r="B1021" s="20"/>
      <c r="C1021" s="20"/>
      <c r="D1021" s="70"/>
      <c r="E1021" s="70"/>
      <c r="F1021" s="70"/>
      <c r="G1021" s="20"/>
      <c r="H1021" s="20"/>
      <c r="I1021" s="70"/>
      <c r="J1021" s="70"/>
      <c r="K1021" s="70"/>
      <c r="L1021" s="70"/>
      <c r="M1021" s="20"/>
      <c r="N1021" s="20"/>
      <c r="O1021" s="20"/>
      <c r="P1021" s="20"/>
      <c r="Q1021" s="20"/>
      <c r="R1021" s="20"/>
      <c r="S1021" s="20"/>
      <c r="T1021" s="20"/>
      <c r="U1021" s="20"/>
      <c r="V1021" s="20"/>
      <c r="W1021" s="20"/>
      <c r="X1021" s="2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7.0"/>
    <col customWidth="1" min="2" max="2" width="25.13"/>
    <col hidden="1" min="33" max="33" width="12.63"/>
    <col hidden="1" min="37" max="37" width="12.63"/>
    <col hidden="1" min="44" max="45" width="12.63"/>
    <col hidden="1" min="58" max="60" width="12.63"/>
    <col hidden="1" min="64" max="68" width="12.63"/>
    <col hidden="1" min="78" max="80" width="12.63"/>
  </cols>
  <sheetData>
    <row r="1">
      <c r="A1" s="195" t="s">
        <v>971</v>
      </c>
      <c r="B1" s="195" t="s">
        <v>7</v>
      </c>
      <c r="C1" s="8" t="s">
        <v>972</v>
      </c>
      <c r="D1" s="5" t="s">
        <v>296</v>
      </c>
      <c r="E1" s="5" t="s">
        <v>973</v>
      </c>
      <c r="F1" s="5" t="s">
        <v>974</v>
      </c>
      <c r="G1" s="5" t="s">
        <v>975</v>
      </c>
      <c r="H1" s="5" t="s">
        <v>976</v>
      </c>
      <c r="I1" s="11" t="s">
        <v>977</v>
      </c>
      <c r="J1" s="11" t="s">
        <v>297</v>
      </c>
      <c r="K1" s="11" t="s">
        <v>978</v>
      </c>
      <c r="L1" s="246" t="s">
        <v>979</v>
      </c>
      <c r="M1" s="246" t="s">
        <v>413</v>
      </c>
      <c r="N1" s="246" t="s">
        <v>980</v>
      </c>
      <c r="O1" s="246" t="s">
        <v>981</v>
      </c>
      <c r="P1" s="246" t="s">
        <v>414</v>
      </c>
      <c r="Q1" s="247" t="s">
        <v>982</v>
      </c>
      <c r="R1" s="246" t="s">
        <v>983</v>
      </c>
      <c r="S1" s="246" t="s">
        <v>584</v>
      </c>
      <c r="T1" s="246" t="s">
        <v>984</v>
      </c>
      <c r="U1" s="5" t="s">
        <v>985</v>
      </c>
      <c r="V1" s="5" t="s">
        <v>585</v>
      </c>
      <c r="W1" s="5" t="s">
        <v>986</v>
      </c>
      <c r="X1" s="5" t="s">
        <v>987</v>
      </c>
      <c r="Y1" s="5" t="s">
        <v>586</v>
      </c>
      <c r="Z1" s="5" t="s">
        <v>988</v>
      </c>
      <c r="AA1" s="5" t="s">
        <v>989</v>
      </c>
      <c r="AB1" s="5" t="s">
        <v>686</v>
      </c>
      <c r="AC1" s="5" t="s">
        <v>990</v>
      </c>
      <c r="AD1" s="5" t="s">
        <v>991</v>
      </c>
      <c r="AE1" s="5" t="s">
        <v>687</v>
      </c>
      <c r="AF1" s="7" t="s">
        <v>992</v>
      </c>
      <c r="AG1" s="8" t="s">
        <v>993</v>
      </c>
      <c r="AH1" s="5" t="s">
        <v>994</v>
      </c>
      <c r="AI1" s="5" t="s">
        <v>689</v>
      </c>
      <c r="AJ1" s="5" t="s">
        <v>995</v>
      </c>
      <c r="AK1" s="247" t="s">
        <v>996</v>
      </c>
      <c r="AL1" s="8" t="s">
        <v>997</v>
      </c>
      <c r="AM1" s="5" t="s">
        <v>587</v>
      </c>
      <c r="AN1" s="5" t="s">
        <v>998</v>
      </c>
      <c r="AO1" s="11" t="s">
        <v>999</v>
      </c>
      <c r="AP1" s="11" t="s">
        <v>690</v>
      </c>
      <c r="AQ1" s="5" t="s">
        <v>1000</v>
      </c>
      <c r="AR1" s="5" t="s">
        <v>1001</v>
      </c>
      <c r="AS1" s="247" t="s">
        <v>1002</v>
      </c>
      <c r="AT1" s="8" t="s">
        <v>1003</v>
      </c>
      <c r="AU1" s="5" t="s">
        <v>691</v>
      </c>
      <c r="AV1" s="5" t="s">
        <v>1004</v>
      </c>
      <c r="AW1" s="5" t="s">
        <v>1005</v>
      </c>
      <c r="AX1" s="5" t="s">
        <v>519</v>
      </c>
      <c r="AY1" s="5" t="s">
        <v>1006</v>
      </c>
      <c r="AZ1" s="246" t="s">
        <v>1007</v>
      </c>
      <c r="BA1" s="246" t="s">
        <v>589</v>
      </c>
      <c r="BB1" s="246" t="s">
        <v>1008</v>
      </c>
      <c r="BC1" s="246" t="s">
        <v>1009</v>
      </c>
      <c r="BD1" s="246" t="s">
        <v>688</v>
      </c>
      <c r="BE1" s="247" t="s">
        <v>1010</v>
      </c>
      <c r="BF1" s="8" t="s">
        <v>1011</v>
      </c>
      <c r="BG1" s="5" t="s">
        <v>1012</v>
      </c>
      <c r="BH1" s="5" t="s">
        <v>1013</v>
      </c>
      <c r="BI1" s="5" t="s">
        <v>1014</v>
      </c>
      <c r="BJ1" s="5" t="s">
        <v>588</v>
      </c>
      <c r="BK1" s="5" t="s">
        <v>1015</v>
      </c>
      <c r="BL1" s="7" t="s">
        <v>449</v>
      </c>
      <c r="BM1" s="248" t="s">
        <v>450</v>
      </c>
      <c r="BN1" s="246" t="s">
        <v>1016</v>
      </c>
      <c r="BO1" s="5" t="s">
        <v>1017</v>
      </c>
      <c r="BP1" s="7" t="s">
        <v>1018</v>
      </c>
      <c r="BQ1" s="8" t="s">
        <v>1019</v>
      </c>
      <c r="BR1" s="5" t="s">
        <v>772</v>
      </c>
      <c r="BS1" s="5" t="s">
        <v>1020</v>
      </c>
      <c r="BT1" s="5" t="s">
        <v>1021</v>
      </c>
      <c r="BU1" s="5" t="s">
        <v>518</v>
      </c>
      <c r="BV1" s="7" t="s">
        <v>1022</v>
      </c>
      <c r="BW1" s="8" t="s">
        <v>1023</v>
      </c>
      <c r="BX1" s="5" t="s">
        <v>773</v>
      </c>
      <c r="BY1" s="5" t="s">
        <v>1024</v>
      </c>
      <c r="BZ1" s="5" t="s">
        <v>438</v>
      </c>
      <c r="CA1" s="5" t="s">
        <v>1025</v>
      </c>
      <c r="CB1" s="5" t="s">
        <v>1026</v>
      </c>
      <c r="CC1" s="8" t="s">
        <v>1027</v>
      </c>
      <c r="CD1" s="5" t="s">
        <v>811</v>
      </c>
      <c r="CE1" s="5" t="s">
        <v>1028</v>
      </c>
      <c r="CF1" s="5" t="s">
        <v>1029</v>
      </c>
      <c r="CG1" s="5" t="s">
        <v>774</v>
      </c>
      <c r="CH1" s="7" t="s">
        <v>1030</v>
      </c>
      <c r="CI1" s="8"/>
      <c r="CJ1" s="5"/>
      <c r="CK1" s="5"/>
      <c r="CL1" s="5"/>
      <c r="CM1" s="5"/>
      <c r="CN1" s="5"/>
      <c r="CO1" s="5"/>
      <c r="CP1" s="5"/>
      <c r="CQ1" s="5"/>
      <c r="CR1" s="5"/>
      <c r="CS1" s="5"/>
      <c r="CT1" s="5"/>
      <c r="CU1" s="5"/>
      <c r="CV1" s="5"/>
      <c r="CW1" s="5"/>
      <c r="CX1" s="5"/>
      <c r="CY1" s="5"/>
      <c r="CZ1" s="5"/>
      <c r="DA1" s="5"/>
    </row>
    <row r="2">
      <c r="A2" s="2" t="s">
        <v>1031</v>
      </c>
      <c r="B2" s="249"/>
      <c r="C2" s="250" t="s">
        <v>1032</v>
      </c>
      <c r="Q2" s="251"/>
      <c r="R2" s="252" t="s">
        <v>1033</v>
      </c>
      <c r="AG2" s="250" t="s">
        <v>1034</v>
      </c>
      <c r="AK2" s="251"/>
      <c r="AL2" s="250" t="s">
        <v>1035</v>
      </c>
      <c r="AR2" s="252"/>
      <c r="AS2" s="253"/>
      <c r="AT2" s="250" t="s">
        <v>1036</v>
      </c>
      <c r="BE2" s="251"/>
      <c r="BF2" s="250" t="s">
        <v>1037</v>
      </c>
      <c r="BL2" s="253"/>
      <c r="BM2" s="250" t="s">
        <v>1038</v>
      </c>
      <c r="BP2" s="251"/>
      <c r="BQ2" s="250" t="s">
        <v>1039</v>
      </c>
      <c r="BV2" s="251"/>
      <c r="BW2" s="250" t="s">
        <v>1040</v>
      </c>
      <c r="CC2" s="250" t="s">
        <v>1041</v>
      </c>
      <c r="CH2" s="251"/>
      <c r="CI2" s="250"/>
      <c r="CJ2" s="252"/>
      <c r="CK2" s="252"/>
      <c r="CL2" s="252"/>
      <c r="CM2" s="252"/>
      <c r="CN2" s="252"/>
      <c r="CO2" s="252"/>
      <c r="CP2" s="252"/>
      <c r="CQ2" s="252"/>
      <c r="CR2" s="252"/>
      <c r="CS2" s="252"/>
      <c r="CT2" s="252"/>
      <c r="CU2" s="252"/>
      <c r="CV2" s="252"/>
      <c r="CW2" s="252"/>
      <c r="CX2" s="252"/>
      <c r="CY2" s="252"/>
      <c r="CZ2" s="252"/>
      <c r="DA2" s="252"/>
    </row>
    <row r="3">
      <c r="A3" s="5" t="s">
        <v>1042</v>
      </c>
      <c r="B3" s="20"/>
      <c r="C3" s="8" t="s">
        <v>1043</v>
      </c>
      <c r="D3" s="5" t="s">
        <v>1043</v>
      </c>
      <c r="E3" s="5" t="s">
        <v>1043</v>
      </c>
      <c r="F3" s="5" t="s">
        <v>1044</v>
      </c>
      <c r="G3" s="5" t="s">
        <v>1044</v>
      </c>
      <c r="H3" s="5" t="s">
        <v>1044</v>
      </c>
      <c r="I3" s="154" t="s">
        <v>1044</v>
      </c>
      <c r="J3" s="154" t="s">
        <v>1044</v>
      </c>
      <c r="K3" s="154" t="s">
        <v>1044</v>
      </c>
      <c r="L3" s="5" t="s">
        <v>1045</v>
      </c>
      <c r="M3" s="5" t="s">
        <v>1046</v>
      </c>
      <c r="N3" s="5" t="s">
        <v>1047</v>
      </c>
      <c r="O3" s="5" t="s">
        <v>1048</v>
      </c>
      <c r="P3" s="5" t="s">
        <v>1048</v>
      </c>
      <c r="Q3" s="7" t="s">
        <v>1048</v>
      </c>
      <c r="R3" s="5" t="s">
        <v>1049</v>
      </c>
      <c r="S3" s="5" t="s">
        <v>1049</v>
      </c>
      <c r="T3" s="5" t="s">
        <v>1049</v>
      </c>
      <c r="U3" s="5" t="s">
        <v>1050</v>
      </c>
      <c r="V3" s="5" t="s">
        <v>1050</v>
      </c>
      <c r="W3" s="5" t="s">
        <v>1050</v>
      </c>
      <c r="X3" s="5" t="s">
        <v>1051</v>
      </c>
      <c r="Y3" s="5" t="s">
        <v>1051</v>
      </c>
      <c r="Z3" s="5" t="s">
        <v>1051</v>
      </c>
      <c r="AA3" s="5" t="s">
        <v>1052</v>
      </c>
      <c r="AB3" s="5" t="s">
        <v>1052</v>
      </c>
      <c r="AC3" s="5" t="s">
        <v>1052</v>
      </c>
      <c r="AD3" s="168" t="s">
        <v>1053</v>
      </c>
      <c r="AE3" s="168" t="s">
        <v>1053</v>
      </c>
      <c r="AF3" s="101" t="s">
        <v>1053</v>
      </c>
      <c r="AG3" s="8"/>
      <c r="AH3" s="5" t="s">
        <v>1054</v>
      </c>
      <c r="AI3" s="5" t="s">
        <v>1054</v>
      </c>
      <c r="AJ3" s="5" t="s">
        <v>1054</v>
      </c>
      <c r="AK3" s="7"/>
      <c r="AL3" s="8" t="s">
        <v>1055</v>
      </c>
      <c r="AM3" s="5" t="s">
        <v>1055</v>
      </c>
      <c r="AN3" s="5" t="s">
        <v>1055</v>
      </c>
      <c r="AO3" s="154" t="s">
        <v>1056</v>
      </c>
      <c r="AP3" s="154" t="s">
        <v>1056</v>
      </c>
      <c r="AQ3" s="5" t="s">
        <v>1056</v>
      </c>
      <c r="AR3" s="5"/>
      <c r="AS3" s="7" t="s">
        <v>1057</v>
      </c>
      <c r="AT3" s="8" t="s">
        <v>1058</v>
      </c>
      <c r="AU3" s="5" t="s">
        <v>1058</v>
      </c>
      <c r="AV3" s="5" t="s">
        <v>1058</v>
      </c>
      <c r="AW3" s="5" t="s">
        <v>1059</v>
      </c>
      <c r="AX3" s="5" t="s">
        <v>1059</v>
      </c>
      <c r="AY3" s="5" t="s">
        <v>1059</v>
      </c>
      <c r="AZ3" s="5" t="s">
        <v>1060</v>
      </c>
      <c r="BA3" s="5" t="s">
        <v>1060</v>
      </c>
      <c r="BB3" s="5" t="s">
        <v>1060</v>
      </c>
      <c r="BC3" s="5" t="s">
        <v>1061</v>
      </c>
      <c r="BD3" s="5" t="s">
        <v>1061</v>
      </c>
      <c r="BE3" s="7" t="s">
        <v>1061</v>
      </c>
      <c r="BF3" s="8" t="s">
        <v>1062</v>
      </c>
      <c r="BG3" s="5" t="s">
        <v>1062</v>
      </c>
      <c r="BH3" s="5" t="s">
        <v>1062</v>
      </c>
      <c r="BI3" s="5" t="s">
        <v>1063</v>
      </c>
      <c r="BJ3" s="5" t="s">
        <v>1063</v>
      </c>
      <c r="BK3" s="5" t="s">
        <v>1063</v>
      </c>
      <c r="BL3" s="7" t="s">
        <v>1064</v>
      </c>
      <c r="BM3" s="8" t="s">
        <v>1065</v>
      </c>
      <c r="BN3" s="5" t="s">
        <v>1066</v>
      </c>
      <c r="BO3" s="5" t="s">
        <v>1067</v>
      </c>
      <c r="BP3" s="7"/>
      <c r="BQ3" s="8" t="s">
        <v>1068</v>
      </c>
      <c r="BR3" s="5" t="s">
        <v>1068</v>
      </c>
      <c r="BS3" s="5" t="s">
        <v>1068</v>
      </c>
      <c r="BT3" s="168" t="s">
        <v>1069</v>
      </c>
      <c r="BU3" s="168" t="s">
        <v>1069</v>
      </c>
      <c r="BV3" s="7" t="s">
        <v>1069</v>
      </c>
      <c r="BW3" s="8" t="s">
        <v>1070</v>
      </c>
      <c r="BX3" s="5" t="s">
        <v>1070</v>
      </c>
      <c r="BY3" s="5" t="s">
        <v>1070</v>
      </c>
      <c r="BZ3" s="5" t="s">
        <v>1071</v>
      </c>
      <c r="CA3" s="5"/>
      <c r="CB3" s="5"/>
      <c r="CC3" s="8" t="s">
        <v>1072</v>
      </c>
      <c r="CD3" s="5" t="s">
        <v>1072</v>
      </c>
      <c r="CE3" s="5" t="s">
        <v>1072</v>
      </c>
      <c r="CF3" s="5" t="s">
        <v>1072</v>
      </c>
      <c r="CG3" s="5" t="s">
        <v>1072</v>
      </c>
      <c r="CH3" s="7" t="s">
        <v>1072</v>
      </c>
      <c r="CI3" s="8"/>
      <c r="CJ3" s="5"/>
      <c r="CK3" s="5"/>
      <c r="CL3" s="5"/>
      <c r="CM3" s="5"/>
      <c r="CN3" s="5"/>
      <c r="CO3" s="5"/>
      <c r="CP3" s="5"/>
      <c r="CQ3" s="5"/>
      <c r="CR3" s="5"/>
      <c r="CS3" s="5"/>
      <c r="CT3" s="5"/>
      <c r="CU3" s="5"/>
      <c r="CV3" s="5"/>
      <c r="CW3" s="5"/>
      <c r="CX3" s="5"/>
      <c r="CY3" s="5"/>
      <c r="CZ3" s="5"/>
      <c r="DA3" s="5"/>
    </row>
    <row r="4">
      <c r="A4" s="119" t="s">
        <v>289</v>
      </c>
      <c r="B4" s="102" t="s">
        <v>1073</v>
      </c>
      <c r="C4" s="254"/>
      <c r="D4" s="255"/>
      <c r="E4" s="255"/>
      <c r="F4" s="255"/>
      <c r="G4" s="255"/>
      <c r="H4" s="255"/>
      <c r="I4" s="167"/>
      <c r="J4" s="167"/>
      <c r="K4" s="167"/>
      <c r="L4" s="119" t="s">
        <v>1074</v>
      </c>
      <c r="M4" s="119"/>
      <c r="N4" s="119"/>
      <c r="O4" s="119" t="s">
        <v>1075</v>
      </c>
      <c r="P4" s="119" t="s">
        <v>1075</v>
      </c>
      <c r="Q4" s="256" t="s">
        <v>1075</v>
      </c>
      <c r="R4" s="119" t="s">
        <v>1076</v>
      </c>
      <c r="S4" s="119" t="s">
        <v>1076</v>
      </c>
      <c r="T4" s="119" t="s">
        <v>1076</v>
      </c>
      <c r="U4" s="255"/>
      <c r="V4" s="255"/>
      <c r="W4" s="255"/>
      <c r="X4" s="255"/>
      <c r="Y4" s="255"/>
      <c r="Z4" s="255"/>
      <c r="AA4" s="255"/>
      <c r="AB4" s="255"/>
      <c r="AC4" s="255"/>
      <c r="AD4" s="255"/>
      <c r="AE4" s="255"/>
      <c r="AF4" s="257"/>
      <c r="AG4" s="254"/>
      <c r="AH4" s="102" t="s">
        <v>1077</v>
      </c>
      <c r="AI4" s="102" t="s">
        <v>1077</v>
      </c>
      <c r="AJ4" s="102" t="s">
        <v>1077</v>
      </c>
      <c r="AK4" s="257"/>
      <c r="AL4" s="254"/>
      <c r="AM4" s="255"/>
      <c r="AN4" s="255"/>
      <c r="AO4" s="156" t="s">
        <v>1078</v>
      </c>
      <c r="AP4" s="156" t="s">
        <v>1078</v>
      </c>
      <c r="AQ4" s="102" t="s">
        <v>1078</v>
      </c>
      <c r="AR4" s="255"/>
      <c r="AS4" s="257"/>
      <c r="AT4" s="258" t="s">
        <v>512</v>
      </c>
      <c r="AU4" s="119" t="s">
        <v>512</v>
      </c>
      <c r="AV4" s="119" t="s">
        <v>512</v>
      </c>
      <c r="AW4" s="255"/>
      <c r="AX4" s="255"/>
      <c r="AY4" s="255"/>
      <c r="AZ4" s="255"/>
      <c r="BA4" s="255"/>
      <c r="BB4" s="255"/>
      <c r="BC4" s="102" t="s">
        <v>1079</v>
      </c>
      <c r="BD4" s="102" t="s">
        <v>1079</v>
      </c>
      <c r="BE4" s="105" t="s">
        <v>1079</v>
      </c>
      <c r="BF4" s="254"/>
      <c r="BG4" s="255"/>
      <c r="BH4" s="255"/>
      <c r="BI4" s="255"/>
      <c r="BJ4" s="255"/>
      <c r="BK4" s="255"/>
      <c r="BL4" s="257"/>
      <c r="BM4" s="254"/>
      <c r="BN4" s="255"/>
      <c r="BO4" s="255"/>
      <c r="BP4" s="257"/>
      <c r="BQ4" s="258"/>
      <c r="BR4" s="119"/>
      <c r="BS4" s="119"/>
      <c r="BT4" s="255"/>
      <c r="BU4" s="255"/>
      <c r="BV4" s="257"/>
      <c r="BW4" s="258"/>
      <c r="BX4" s="119"/>
      <c r="BY4" s="119"/>
      <c r="BZ4" s="255"/>
      <c r="CA4" s="255"/>
      <c r="CB4" s="255"/>
      <c r="CC4" s="258"/>
      <c r="CD4" s="119"/>
      <c r="CE4" s="119"/>
      <c r="CF4" s="119"/>
      <c r="CG4" s="119"/>
      <c r="CH4" s="256"/>
      <c r="CI4" s="254"/>
      <c r="CJ4" s="255"/>
      <c r="CK4" s="255"/>
      <c r="CL4" s="255"/>
      <c r="CM4" s="255"/>
      <c r="CN4" s="255"/>
      <c r="CO4" s="255"/>
      <c r="CP4" s="255"/>
      <c r="CQ4" s="255"/>
      <c r="CR4" s="255"/>
      <c r="CS4" s="255"/>
      <c r="CT4" s="255"/>
      <c r="CU4" s="255"/>
      <c r="CV4" s="255"/>
      <c r="CW4" s="255"/>
      <c r="CX4" s="255"/>
      <c r="CY4" s="255"/>
      <c r="CZ4" s="255"/>
      <c r="DA4" s="255"/>
    </row>
    <row r="5">
      <c r="A5" s="175" t="s">
        <v>832</v>
      </c>
      <c r="B5" s="175" t="s">
        <v>1080</v>
      </c>
      <c r="C5" s="259">
        <v>72000.0</v>
      </c>
      <c r="D5" s="260">
        <v>72000.0</v>
      </c>
      <c r="E5" s="260">
        <v>72000.0</v>
      </c>
      <c r="F5" s="261">
        <v>1.0</v>
      </c>
      <c r="G5" s="261">
        <v>1.0</v>
      </c>
      <c r="H5" s="261">
        <v>1.0</v>
      </c>
      <c r="I5" s="261">
        <v>1.0</v>
      </c>
      <c r="J5" s="261">
        <v>1.0</v>
      </c>
      <c r="K5" s="261">
        <v>1.0</v>
      </c>
      <c r="L5" s="260">
        <v>650.0</v>
      </c>
      <c r="M5" s="260">
        <v>650.0</v>
      </c>
      <c r="N5" s="260">
        <v>650.0</v>
      </c>
      <c r="O5" s="260">
        <v>10.0</v>
      </c>
      <c r="P5" s="260">
        <v>10.0</v>
      </c>
      <c r="Q5" s="262">
        <v>10.0</v>
      </c>
      <c r="R5" s="260">
        <v>240.0</v>
      </c>
      <c r="S5" s="260">
        <v>240.0</v>
      </c>
      <c r="T5" s="260">
        <v>240.0</v>
      </c>
      <c r="U5" s="260">
        <v>158.0</v>
      </c>
      <c r="V5" s="260">
        <v>158.0</v>
      </c>
      <c r="W5" s="260">
        <v>158.0</v>
      </c>
      <c r="X5" s="260">
        <v>160.0</v>
      </c>
      <c r="Y5" s="260">
        <v>160.0</v>
      </c>
      <c r="Z5" s="260">
        <v>160.0</v>
      </c>
      <c r="AA5" s="263">
        <v>160.0</v>
      </c>
      <c r="AB5" s="263">
        <v>160.0</v>
      </c>
      <c r="AC5" s="263">
        <v>160.0</v>
      </c>
      <c r="AD5" s="264">
        <v>21.0</v>
      </c>
      <c r="AE5" s="264">
        <v>21.0</v>
      </c>
      <c r="AF5" s="265">
        <v>21.0</v>
      </c>
      <c r="AG5" s="266"/>
      <c r="AH5" s="263">
        <v>60.0</v>
      </c>
      <c r="AI5" s="263">
        <v>60.0</v>
      </c>
      <c r="AJ5" s="263">
        <v>60.0</v>
      </c>
      <c r="AK5" s="267"/>
      <c r="AL5" s="259">
        <v>1100.0</v>
      </c>
      <c r="AM5" s="260">
        <v>1100.0</v>
      </c>
      <c r="AN5" s="260">
        <v>1100.0</v>
      </c>
      <c r="AO5" s="264">
        <v>60.0</v>
      </c>
      <c r="AP5" s="264">
        <v>60.0</v>
      </c>
      <c r="AQ5" s="263">
        <v>60.0</v>
      </c>
      <c r="AR5" s="268"/>
      <c r="AS5" s="269">
        <v>1.0</v>
      </c>
      <c r="AT5" s="270">
        <v>100.0</v>
      </c>
      <c r="AU5" s="268">
        <v>100.0</v>
      </c>
      <c r="AV5" s="268">
        <v>100.0</v>
      </c>
      <c r="AW5" s="268">
        <v>100.0</v>
      </c>
      <c r="AX5" s="268">
        <v>100.0</v>
      </c>
      <c r="AY5" s="268">
        <v>100.0</v>
      </c>
      <c r="AZ5" s="268">
        <v>100.0</v>
      </c>
      <c r="BA5" s="268">
        <v>100.0</v>
      </c>
      <c r="BB5" s="268">
        <v>100.0</v>
      </c>
      <c r="BC5" s="268">
        <v>60.0</v>
      </c>
      <c r="BD5" s="268">
        <v>60.0</v>
      </c>
      <c r="BE5" s="269">
        <v>60.0</v>
      </c>
      <c r="BF5" s="270">
        <v>100.0</v>
      </c>
      <c r="BG5" s="268">
        <v>100.0</v>
      </c>
      <c r="BH5" s="268">
        <v>100.0</v>
      </c>
      <c r="BI5" s="268">
        <v>100.0</v>
      </c>
      <c r="BJ5" s="268">
        <v>100.0</v>
      </c>
      <c r="BK5" s="268">
        <v>100.0</v>
      </c>
      <c r="BL5" s="271">
        <v>50000.0</v>
      </c>
      <c r="BM5" s="272">
        <v>50000.0</v>
      </c>
      <c r="BN5" s="273"/>
      <c r="BO5" s="273"/>
      <c r="BP5" s="267"/>
      <c r="BQ5" s="259">
        <v>50000.0</v>
      </c>
      <c r="BR5" s="260">
        <v>50000.0</v>
      </c>
      <c r="BS5" s="260">
        <v>50000.0</v>
      </c>
      <c r="BT5" s="260">
        <v>60000.0</v>
      </c>
      <c r="BU5" s="260">
        <v>60000.0</v>
      </c>
      <c r="BV5" s="262">
        <v>60000.0</v>
      </c>
      <c r="BW5" s="274">
        <v>60.0</v>
      </c>
      <c r="BX5" s="261">
        <v>60.0</v>
      </c>
      <c r="BY5" s="261">
        <v>60.0</v>
      </c>
      <c r="BZ5" s="275">
        <v>100000.0</v>
      </c>
      <c r="CA5" s="273"/>
      <c r="CB5" s="273"/>
      <c r="CC5" s="276">
        <v>2.5</v>
      </c>
      <c r="CD5" s="201">
        <v>2.5</v>
      </c>
      <c r="CE5" s="201">
        <v>2.5</v>
      </c>
      <c r="CF5" s="201">
        <v>2.5</v>
      </c>
      <c r="CG5" s="201">
        <v>2.5</v>
      </c>
      <c r="CH5" s="277">
        <v>2.5</v>
      </c>
      <c r="CI5" s="266"/>
      <c r="CJ5" s="273"/>
      <c r="CK5" s="273"/>
      <c r="CL5" s="273"/>
      <c r="CM5" s="273"/>
      <c r="CN5" s="273"/>
      <c r="CO5" s="273"/>
      <c r="CP5" s="273"/>
      <c r="CQ5" s="273"/>
      <c r="CR5" s="273"/>
      <c r="CS5" s="273"/>
      <c r="CT5" s="273"/>
      <c r="CU5" s="273"/>
      <c r="CV5" s="273"/>
      <c r="CW5" s="273"/>
      <c r="CX5" s="273"/>
      <c r="CY5" s="273"/>
      <c r="CZ5" s="273"/>
      <c r="DA5" s="273"/>
    </row>
    <row r="6">
      <c r="A6" s="10" t="s">
        <v>834</v>
      </c>
      <c r="B6" s="11" t="s">
        <v>1081</v>
      </c>
      <c r="C6" s="278" t="s">
        <v>1082</v>
      </c>
      <c r="D6" s="11" t="s">
        <v>1082</v>
      </c>
      <c r="E6" s="11" t="s">
        <v>1082</v>
      </c>
      <c r="F6" s="11" t="s">
        <v>304</v>
      </c>
      <c r="G6" s="11" t="s">
        <v>304</v>
      </c>
      <c r="H6" s="11" t="s">
        <v>304</v>
      </c>
      <c r="I6" s="154" t="s">
        <v>304</v>
      </c>
      <c r="J6" s="154" t="s">
        <v>304</v>
      </c>
      <c r="K6" s="154" t="s">
        <v>304</v>
      </c>
      <c r="L6" s="11" t="s">
        <v>1083</v>
      </c>
      <c r="M6" s="11" t="s">
        <v>1083</v>
      </c>
      <c r="N6" s="11" t="s">
        <v>1083</v>
      </c>
      <c r="O6" s="11" t="s">
        <v>1084</v>
      </c>
      <c r="P6" s="11" t="s">
        <v>1084</v>
      </c>
      <c r="Q6" s="13" t="s">
        <v>1084</v>
      </c>
      <c r="R6" s="11" t="s">
        <v>1085</v>
      </c>
      <c r="S6" s="11" t="s">
        <v>1085</v>
      </c>
      <c r="T6" s="11" t="s">
        <v>1085</v>
      </c>
      <c r="U6" s="10" t="s">
        <v>1086</v>
      </c>
      <c r="V6" s="10" t="s">
        <v>1086</v>
      </c>
      <c r="W6" s="10" t="s">
        <v>1086</v>
      </c>
      <c r="X6" s="10" t="s">
        <v>1086</v>
      </c>
      <c r="Y6" s="10" t="s">
        <v>1086</v>
      </c>
      <c r="Z6" s="10" t="s">
        <v>1086</v>
      </c>
      <c r="AA6" s="10" t="s">
        <v>1086</v>
      </c>
      <c r="AB6" s="10" t="s">
        <v>1086</v>
      </c>
      <c r="AC6" s="10" t="s">
        <v>1086</v>
      </c>
      <c r="AD6" s="154" t="s">
        <v>1086</v>
      </c>
      <c r="AE6" s="154" t="s">
        <v>1086</v>
      </c>
      <c r="AF6" s="279" t="s">
        <v>1086</v>
      </c>
      <c r="AG6" s="280"/>
      <c r="AH6" s="11" t="s">
        <v>1085</v>
      </c>
      <c r="AI6" s="11" t="s">
        <v>1085</v>
      </c>
      <c r="AJ6" s="11" t="s">
        <v>1085</v>
      </c>
      <c r="AK6" s="281"/>
      <c r="AL6" s="278" t="s">
        <v>1086</v>
      </c>
      <c r="AM6" s="11" t="s">
        <v>1086</v>
      </c>
      <c r="AN6" s="11" t="s">
        <v>1086</v>
      </c>
      <c r="AO6" s="154" t="s">
        <v>1086</v>
      </c>
      <c r="AP6" s="154" t="s">
        <v>1086</v>
      </c>
      <c r="AQ6" s="11" t="s">
        <v>1086</v>
      </c>
      <c r="AR6" s="10"/>
      <c r="AS6" s="281" t="s">
        <v>454</v>
      </c>
      <c r="AT6" s="280" t="s">
        <v>1086</v>
      </c>
      <c r="AU6" s="10" t="s">
        <v>1086</v>
      </c>
      <c r="AV6" s="10" t="s">
        <v>1086</v>
      </c>
      <c r="AW6" s="10" t="s">
        <v>1086</v>
      </c>
      <c r="AX6" s="10" t="s">
        <v>1086</v>
      </c>
      <c r="AY6" s="10" t="s">
        <v>1086</v>
      </c>
      <c r="AZ6" s="11" t="s">
        <v>1086</v>
      </c>
      <c r="BA6" s="11" t="s">
        <v>1086</v>
      </c>
      <c r="BB6" s="11" t="s">
        <v>1086</v>
      </c>
      <c r="BC6" s="10" t="s">
        <v>1087</v>
      </c>
      <c r="BD6" s="10" t="s">
        <v>1087</v>
      </c>
      <c r="BE6" s="281" t="s">
        <v>1087</v>
      </c>
      <c r="BF6" s="278" t="s">
        <v>1086</v>
      </c>
      <c r="BG6" s="11" t="s">
        <v>1086</v>
      </c>
      <c r="BH6" s="11" t="s">
        <v>1086</v>
      </c>
      <c r="BI6" s="11" t="s">
        <v>1086</v>
      </c>
      <c r="BJ6" s="11" t="s">
        <v>1086</v>
      </c>
      <c r="BK6" s="11" t="s">
        <v>1086</v>
      </c>
      <c r="BL6" s="13" t="s">
        <v>1082</v>
      </c>
      <c r="BM6" s="280" t="s">
        <v>456</v>
      </c>
      <c r="BN6" s="10"/>
      <c r="BO6" s="10"/>
      <c r="BP6" s="281"/>
      <c r="BQ6" s="280" t="s">
        <v>1088</v>
      </c>
      <c r="BR6" s="10" t="s">
        <v>1088</v>
      </c>
      <c r="BS6" s="10" t="s">
        <v>1088</v>
      </c>
      <c r="BT6" s="154" t="s">
        <v>522</v>
      </c>
      <c r="BU6" s="154" t="s">
        <v>522</v>
      </c>
      <c r="BV6" s="13" t="s">
        <v>522</v>
      </c>
      <c r="BW6" s="278" t="s">
        <v>1089</v>
      </c>
      <c r="BX6" s="11" t="s">
        <v>1089</v>
      </c>
      <c r="BY6" s="11" t="s">
        <v>1089</v>
      </c>
      <c r="BZ6" s="10" t="s">
        <v>455</v>
      </c>
      <c r="CA6" s="10"/>
      <c r="CB6" s="10"/>
      <c r="CC6" s="280" t="s">
        <v>1090</v>
      </c>
      <c r="CD6" s="10" t="s">
        <v>1090</v>
      </c>
      <c r="CE6" s="10" t="s">
        <v>1090</v>
      </c>
      <c r="CF6" s="10" t="s">
        <v>1090</v>
      </c>
      <c r="CG6" s="10" t="s">
        <v>1090</v>
      </c>
      <c r="CH6" s="281" t="s">
        <v>1090</v>
      </c>
      <c r="CI6" s="280"/>
      <c r="CJ6" s="10"/>
      <c r="CK6" s="10"/>
      <c r="CL6" s="10"/>
      <c r="CM6" s="10"/>
      <c r="CN6" s="10"/>
      <c r="CO6" s="10"/>
      <c r="CP6" s="10"/>
      <c r="CQ6" s="10"/>
      <c r="CR6" s="10"/>
      <c r="CS6" s="10"/>
      <c r="CT6" s="10"/>
      <c r="CU6" s="10"/>
      <c r="CV6" s="10"/>
      <c r="CW6" s="10"/>
      <c r="CX6" s="10"/>
      <c r="CY6" s="10"/>
      <c r="CZ6" s="10"/>
      <c r="DA6" s="10"/>
    </row>
    <row r="7">
      <c r="A7" s="10" t="s">
        <v>298</v>
      </c>
      <c r="B7" s="11" t="s">
        <v>1091</v>
      </c>
      <c r="C7" s="282" t="s">
        <v>300</v>
      </c>
      <c r="D7" s="163" t="s">
        <v>300</v>
      </c>
      <c r="E7" s="163" t="s">
        <v>300</v>
      </c>
      <c r="F7" s="163" t="s">
        <v>1092</v>
      </c>
      <c r="G7" s="163" t="s">
        <v>1092</v>
      </c>
      <c r="H7" s="163" t="s">
        <v>1092</v>
      </c>
      <c r="I7" s="163" t="s">
        <v>1092</v>
      </c>
      <c r="J7" s="163" t="s">
        <v>1092</v>
      </c>
      <c r="K7" s="163" t="s">
        <v>1092</v>
      </c>
      <c r="L7" s="10" t="s">
        <v>415</v>
      </c>
      <c r="M7" s="10" t="s">
        <v>415</v>
      </c>
      <c r="N7" s="10" t="s">
        <v>415</v>
      </c>
      <c r="O7" s="10" t="s">
        <v>416</v>
      </c>
      <c r="P7" s="10" t="s">
        <v>416</v>
      </c>
      <c r="Q7" s="281" t="s">
        <v>416</v>
      </c>
      <c r="R7" s="10" t="s">
        <v>590</v>
      </c>
      <c r="S7" s="10" t="s">
        <v>590</v>
      </c>
      <c r="T7" s="10" t="s">
        <v>590</v>
      </c>
      <c r="U7" s="10" t="s">
        <v>591</v>
      </c>
      <c r="V7" s="10" t="s">
        <v>591</v>
      </c>
      <c r="W7" s="10" t="s">
        <v>591</v>
      </c>
      <c r="X7" s="10" t="s">
        <v>592</v>
      </c>
      <c r="Y7" s="10" t="s">
        <v>592</v>
      </c>
      <c r="Z7" s="10" t="s">
        <v>592</v>
      </c>
      <c r="AA7" s="10" t="s">
        <v>592</v>
      </c>
      <c r="AB7" s="10" t="s">
        <v>592</v>
      </c>
      <c r="AC7" s="10" t="s">
        <v>592</v>
      </c>
      <c r="AD7" s="10"/>
      <c r="AE7" s="10"/>
      <c r="AF7" s="281"/>
      <c r="AG7" s="280"/>
      <c r="AH7" s="11" t="s">
        <v>694</v>
      </c>
      <c r="AI7" s="11" t="s">
        <v>694</v>
      </c>
      <c r="AJ7" s="11" t="s">
        <v>694</v>
      </c>
      <c r="AK7" s="281"/>
      <c r="AL7" s="280" t="s">
        <v>593</v>
      </c>
      <c r="AM7" s="10" t="s">
        <v>593</v>
      </c>
      <c r="AN7" s="10" t="s">
        <v>593</v>
      </c>
      <c r="AO7" s="154" t="s">
        <v>695</v>
      </c>
      <c r="AP7" s="154" t="s">
        <v>695</v>
      </c>
      <c r="AQ7" s="11" t="s">
        <v>695</v>
      </c>
      <c r="AR7" s="10"/>
      <c r="AS7" s="281" t="s">
        <v>451</v>
      </c>
      <c r="AT7" s="278" t="s">
        <v>696</v>
      </c>
      <c r="AU7" s="11" t="s">
        <v>696</v>
      </c>
      <c r="AV7" s="11" t="s">
        <v>696</v>
      </c>
      <c r="AW7" s="10" t="s">
        <v>521</v>
      </c>
      <c r="AX7" s="10" t="s">
        <v>521</v>
      </c>
      <c r="AY7" s="10" t="s">
        <v>521</v>
      </c>
      <c r="AZ7" s="10" t="s">
        <v>595</v>
      </c>
      <c r="BA7" s="10" t="s">
        <v>595</v>
      </c>
      <c r="BB7" s="10" t="s">
        <v>595</v>
      </c>
      <c r="BC7" s="10" t="s">
        <v>693</v>
      </c>
      <c r="BD7" s="10" t="s">
        <v>693</v>
      </c>
      <c r="BE7" s="283" t="s">
        <v>693</v>
      </c>
      <c r="BF7" s="280" t="s">
        <v>1093</v>
      </c>
      <c r="BG7" s="10" t="s">
        <v>1093</v>
      </c>
      <c r="BH7" s="10" t="s">
        <v>1093</v>
      </c>
      <c r="BI7" s="10" t="s">
        <v>596</v>
      </c>
      <c r="BJ7" s="10" t="s">
        <v>596</v>
      </c>
      <c r="BK7" s="10" t="s">
        <v>596</v>
      </c>
      <c r="BL7" s="13" t="s">
        <v>1094</v>
      </c>
      <c r="BM7" s="282" t="s">
        <v>453</v>
      </c>
      <c r="BN7" s="163"/>
      <c r="BO7" s="163"/>
      <c r="BP7" s="283"/>
      <c r="BQ7" s="282" t="s">
        <v>1095</v>
      </c>
      <c r="BR7" s="163" t="s">
        <v>1095</v>
      </c>
      <c r="BS7" s="163" t="s">
        <v>1095</v>
      </c>
      <c r="BT7" s="10" t="s">
        <v>520</v>
      </c>
      <c r="BU7" s="10" t="s">
        <v>520</v>
      </c>
      <c r="BV7" s="281" t="s">
        <v>520</v>
      </c>
      <c r="BW7" s="282" t="s">
        <v>777</v>
      </c>
      <c r="BX7" s="163" t="s">
        <v>777</v>
      </c>
      <c r="BY7" s="163" t="s">
        <v>777</v>
      </c>
      <c r="BZ7" s="10" t="s">
        <v>452</v>
      </c>
      <c r="CA7" s="10"/>
      <c r="CB7" s="10"/>
      <c r="CC7" s="284" t="s">
        <v>778</v>
      </c>
      <c r="CD7" s="164" t="s">
        <v>778</v>
      </c>
      <c r="CE7" s="164" t="s">
        <v>778</v>
      </c>
      <c r="CF7" s="164" t="s">
        <v>778</v>
      </c>
      <c r="CG7" s="164" t="s">
        <v>778</v>
      </c>
      <c r="CH7" s="285" t="s">
        <v>778</v>
      </c>
      <c r="CI7" s="282"/>
      <c r="CJ7" s="163"/>
      <c r="CK7" s="163"/>
      <c r="CL7" s="163"/>
      <c r="CM7" s="163"/>
      <c r="CN7" s="163"/>
      <c r="CO7" s="163"/>
      <c r="CP7" s="163"/>
      <c r="CQ7" s="163"/>
      <c r="CR7" s="163"/>
      <c r="CS7" s="163"/>
      <c r="CT7" s="163"/>
      <c r="CU7" s="163"/>
      <c r="CV7" s="163"/>
      <c r="CW7" s="163"/>
      <c r="CX7" s="163"/>
      <c r="CY7" s="163"/>
      <c r="CZ7" s="163"/>
      <c r="DA7" s="163"/>
    </row>
    <row r="8">
      <c r="A8" s="10" t="s">
        <v>1096</v>
      </c>
      <c r="B8" s="10" t="s">
        <v>1097</v>
      </c>
      <c r="C8" s="282"/>
      <c r="D8" s="163"/>
      <c r="E8" s="163"/>
      <c r="F8" s="164">
        <v>1.0</v>
      </c>
      <c r="G8" s="164">
        <v>1.0</v>
      </c>
      <c r="H8" s="164">
        <v>1.0</v>
      </c>
      <c r="I8" s="286">
        <v>1.0</v>
      </c>
      <c r="J8" s="286">
        <v>1.0</v>
      </c>
      <c r="K8" s="286">
        <v>1.0</v>
      </c>
      <c r="L8" s="164">
        <v>1.0</v>
      </c>
      <c r="M8" s="164">
        <v>1.0</v>
      </c>
      <c r="N8" s="164">
        <v>1.0</v>
      </c>
      <c r="O8" s="163"/>
      <c r="P8" s="163"/>
      <c r="Q8" s="283"/>
      <c r="R8" s="189">
        <v>1.0</v>
      </c>
      <c r="S8" s="189">
        <v>1.0</v>
      </c>
      <c r="T8" s="189">
        <v>1.0</v>
      </c>
      <c r="U8" s="287">
        <v>1.15</v>
      </c>
      <c r="V8" s="287">
        <v>1.15</v>
      </c>
      <c r="W8" s="287">
        <v>1.15</v>
      </c>
      <c r="X8" s="189">
        <v>1.0</v>
      </c>
      <c r="Y8" s="189">
        <v>1.0</v>
      </c>
      <c r="Z8" s="189">
        <v>1.0</v>
      </c>
      <c r="AA8" s="189">
        <v>1.2</v>
      </c>
      <c r="AB8" s="189">
        <v>1.2</v>
      </c>
      <c r="AC8" s="189">
        <v>1.2</v>
      </c>
      <c r="AD8" s="200">
        <v>1.2</v>
      </c>
      <c r="AE8" s="200">
        <v>1.2</v>
      </c>
      <c r="AF8" s="288">
        <v>1.2</v>
      </c>
      <c r="AG8" s="289"/>
      <c r="AH8" s="191">
        <v>1.2</v>
      </c>
      <c r="AI8" s="191">
        <v>1.2</v>
      </c>
      <c r="AJ8" s="191">
        <v>1.2</v>
      </c>
      <c r="AK8" s="290"/>
      <c r="AL8" s="291">
        <v>1.15</v>
      </c>
      <c r="AM8" s="287">
        <v>1.15</v>
      </c>
      <c r="AN8" s="287">
        <v>1.15</v>
      </c>
      <c r="AO8" s="200">
        <v>1.2</v>
      </c>
      <c r="AP8" s="200">
        <v>1.2</v>
      </c>
      <c r="AQ8" s="191">
        <v>1.2</v>
      </c>
      <c r="AR8" s="292"/>
      <c r="AS8" s="293"/>
      <c r="AT8" s="276">
        <v>1.15</v>
      </c>
      <c r="AU8" s="201">
        <v>1.15</v>
      </c>
      <c r="AV8" s="201">
        <v>1.15</v>
      </c>
      <c r="AW8" s="201">
        <v>1.15</v>
      </c>
      <c r="AX8" s="201">
        <v>1.15</v>
      </c>
      <c r="AY8" s="201">
        <v>1.15</v>
      </c>
      <c r="AZ8" s="201">
        <v>1.15</v>
      </c>
      <c r="BA8" s="201">
        <v>1.15</v>
      </c>
      <c r="BB8" s="201">
        <v>1.15</v>
      </c>
      <c r="BC8" s="201">
        <v>1.25</v>
      </c>
      <c r="BD8" s="201">
        <v>1.25</v>
      </c>
      <c r="BE8" s="277">
        <v>1.25</v>
      </c>
      <c r="BF8" s="276">
        <v>1.15</v>
      </c>
      <c r="BG8" s="201">
        <v>1.15</v>
      </c>
      <c r="BH8" s="201">
        <v>1.15</v>
      </c>
      <c r="BI8" s="201">
        <v>1.15</v>
      </c>
      <c r="BJ8" s="201">
        <v>1.15</v>
      </c>
      <c r="BK8" s="201">
        <v>1.15</v>
      </c>
      <c r="BL8" s="294">
        <v>1.2</v>
      </c>
      <c r="BM8" s="282"/>
      <c r="BN8" s="163"/>
      <c r="BO8" s="163"/>
      <c r="BP8" s="283"/>
      <c r="BQ8" s="295">
        <v>1.2</v>
      </c>
      <c r="BR8" s="189">
        <v>1.2</v>
      </c>
      <c r="BS8" s="189">
        <v>1.2</v>
      </c>
      <c r="BT8" s="201">
        <v>1.15</v>
      </c>
      <c r="BU8" s="201">
        <v>1.15</v>
      </c>
      <c r="BV8" s="277">
        <v>1.15</v>
      </c>
      <c r="BW8" s="295">
        <v>1.0</v>
      </c>
      <c r="BX8" s="189">
        <v>1.0</v>
      </c>
      <c r="BY8" s="189">
        <v>1.0</v>
      </c>
      <c r="BZ8" s="163"/>
      <c r="CA8" s="163"/>
      <c r="CB8" s="163"/>
      <c r="CC8" s="276">
        <v>1.0</v>
      </c>
      <c r="CD8" s="201">
        <v>1.0</v>
      </c>
      <c r="CE8" s="201">
        <v>1.0</v>
      </c>
      <c r="CF8" s="201">
        <v>1.0</v>
      </c>
      <c r="CG8" s="201">
        <v>1.0</v>
      </c>
      <c r="CH8" s="277">
        <v>1.0</v>
      </c>
      <c r="CI8" s="282"/>
      <c r="CJ8" s="163"/>
      <c r="CK8" s="163"/>
      <c r="CL8" s="163"/>
      <c r="CM8" s="163"/>
      <c r="CN8" s="163"/>
      <c r="CO8" s="163"/>
      <c r="CP8" s="163"/>
      <c r="CQ8" s="163"/>
      <c r="CR8" s="163"/>
      <c r="CS8" s="163"/>
      <c r="CT8" s="163"/>
      <c r="CU8" s="163"/>
      <c r="CV8" s="163"/>
      <c r="CW8" s="163"/>
      <c r="CX8" s="163"/>
      <c r="CY8" s="163"/>
      <c r="CZ8" s="163"/>
      <c r="DA8" s="163"/>
    </row>
    <row r="9">
      <c r="A9" s="10" t="s">
        <v>1098</v>
      </c>
      <c r="B9" s="10" t="s">
        <v>1099</v>
      </c>
      <c r="C9" s="296"/>
      <c r="D9" s="297"/>
      <c r="E9" s="297"/>
      <c r="F9" s="164">
        <v>1.0</v>
      </c>
      <c r="G9" s="164">
        <v>1.0</v>
      </c>
      <c r="H9" s="164">
        <v>1.0</v>
      </c>
      <c r="I9" s="286">
        <v>1.0</v>
      </c>
      <c r="J9" s="286">
        <v>1.0</v>
      </c>
      <c r="K9" s="286">
        <v>1.0</v>
      </c>
      <c r="L9" s="292">
        <v>1.0</v>
      </c>
      <c r="M9" s="292">
        <v>1.0</v>
      </c>
      <c r="N9" s="292">
        <v>1.0</v>
      </c>
      <c r="O9" s="163"/>
      <c r="P9" s="163"/>
      <c r="Q9" s="283"/>
      <c r="R9" s="189">
        <v>0.65</v>
      </c>
      <c r="S9" s="189">
        <v>0.65</v>
      </c>
      <c r="T9" s="189">
        <v>0.65</v>
      </c>
      <c r="U9" s="201">
        <v>1.0</v>
      </c>
      <c r="V9" s="201">
        <v>1.0</v>
      </c>
      <c r="W9" s="201">
        <v>1.0</v>
      </c>
      <c r="X9" s="189">
        <v>0.67</v>
      </c>
      <c r="Y9" s="189">
        <v>0.67</v>
      </c>
      <c r="Z9" s="189">
        <v>0.67</v>
      </c>
      <c r="AA9" s="189">
        <v>0.67</v>
      </c>
      <c r="AB9" s="189">
        <v>0.67</v>
      </c>
      <c r="AC9" s="189">
        <v>0.67</v>
      </c>
      <c r="AD9" s="200">
        <v>1.0</v>
      </c>
      <c r="AE9" s="200">
        <v>1.0</v>
      </c>
      <c r="AF9" s="288">
        <v>1.0</v>
      </c>
      <c r="AG9" s="289"/>
      <c r="AH9" s="225">
        <v>0.7</v>
      </c>
      <c r="AI9" s="225">
        <v>0.7</v>
      </c>
      <c r="AJ9" s="225">
        <v>0.7</v>
      </c>
      <c r="AK9" s="290"/>
      <c r="AL9" s="291">
        <v>1.0</v>
      </c>
      <c r="AM9" s="287">
        <v>1.0</v>
      </c>
      <c r="AN9" s="287">
        <v>1.0</v>
      </c>
      <c r="AO9" s="286">
        <v>0.7</v>
      </c>
      <c r="AP9" s="286">
        <v>0.7</v>
      </c>
      <c r="AQ9" s="2">
        <v>0.7</v>
      </c>
      <c r="AR9" s="292"/>
      <c r="AS9" s="298">
        <v>0.7</v>
      </c>
      <c r="AT9" s="276">
        <v>0.7</v>
      </c>
      <c r="AU9" s="201">
        <v>0.7</v>
      </c>
      <c r="AV9" s="201">
        <v>0.7</v>
      </c>
      <c r="AW9" s="201">
        <v>1.0</v>
      </c>
      <c r="AX9" s="201">
        <v>1.0</v>
      </c>
      <c r="AY9" s="201">
        <v>1.0</v>
      </c>
      <c r="AZ9" s="201">
        <v>1.0</v>
      </c>
      <c r="BA9" s="201">
        <v>1.0</v>
      </c>
      <c r="BB9" s="201">
        <v>1.0</v>
      </c>
      <c r="BC9" s="201">
        <v>1.0</v>
      </c>
      <c r="BD9" s="201">
        <v>1.0</v>
      </c>
      <c r="BE9" s="277">
        <v>1.0</v>
      </c>
      <c r="BF9" s="276">
        <v>1.0</v>
      </c>
      <c r="BG9" s="201">
        <v>1.0</v>
      </c>
      <c r="BH9" s="201">
        <v>1.0</v>
      </c>
      <c r="BI9" s="201">
        <v>1.0</v>
      </c>
      <c r="BJ9" s="201">
        <v>1.0</v>
      </c>
      <c r="BK9" s="201">
        <v>1.0</v>
      </c>
      <c r="BL9" s="294">
        <v>1.0</v>
      </c>
      <c r="BM9" s="299">
        <v>0.7</v>
      </c>
      <c r="BN9" s="163"/>
      <c r="BO9" s="163"/>
      <c r="BP9" s="283"/>
      <c r="BQ9" s="300">
        <v>0.6</v>
      </c>
      <c r="BR9" s="191">
        <v>0.6</v>
      </c>
      <c r="BS9" s="191">
        <v>0.6</v>
      </c>
      <c r="BT9" s="292"/>
      <c r="BU9" s="292"/>
      <c r="BV9" s="290"/>
      <c r="BW9" s="296"/>
      <c r="BX9" s="297"/>
      <c r="BY9" s="297"/>
      <c r="BZ9" s="301">
        <v>0.7</v>
      </c>
      <c r="CA9" s="292"/>
      <c r="CB9" s="292"/>
      <c r="CC9" s="276">
        <v>1.0</v>
      </c>
      <c r="CD9" s="201">
        <v>1.0</v>
      </c>
      <c r="CE9" s="201">
        <v>1.0</v>
      </c>
      <c r="CF9" s="201">
        <v>1.0</v>
      </c>
      <c r="CG9" s="201">
        <v>1.0</v>
      </c>
      <c r="CH9" s="277">
        <v>1.0</v>
      </c>
      <c r="CI9" s="282"/>
      <c r="CJ9" s="163"/>
      <c r="CK9" s="163"/>
      <c r="CL9" s="163"/>
      <c r="CM9" s="163"/>
      <c r="CN9" s="163"/>
      <c r="CO9" s="163"/>
      <c r="CP9" s="163"/>
      <c r="CQ9" s="163"/>
      <c r="CR9" s="163"/>
      <c r="CS9" s="163"/>
      <c r="CT9" s="163"/>
      <c r="CU9" s="163"/>
      <c r="CV9" s="163"/>
      <c r="CW9" s="163"/>
      <c r="CX9" s="163"/>
      <c r="CY9" s="163"/>
      <c r="CZ9" s="163"/>
      <c r="DA9" s="163"/>
    </row>
    <row r="10">
      <c r="A10" s="11" t="s">
        <v>1100</v>
      </c>
      <c r="B10" s="164" t="s">
        <v>1101</v>
      </c>
      <c r="C10" s="278" t="s">
        <v>1102</v>
      </c>
      <c r="D10" s="11" t="s">
        <v>1102</v>
      </c>
      <c r="E10" s="11" t="s">
        <v>1102</v>
      </c>
      <c r="F10" s="154" t="s">
        <v>1102</v>
      </c>
      <c r="G10" s="154" t="s">
        <v>1102</v>
      </c>
      <c r="H10" s="154" t="s">
        <v>1102</v>
      </c>
      <c r="I10" s="154" t="s">
        <v>1102</v>
      </c>
      <c r="J10" s="154" t="s">
        <v>1102</v>
      </c>
      <c r="K10" s="154" t="s">
        <v>1102</v>
      </c>
      <c r="L10" s="2" t="s">
        <v>1103</v>
      </c>
      <c r="M10" s="2" t="s">
        <v>1103</v>
      </c>
      <c r="N10" s="2" t="s">
        <v>1103</v>
      </c>
      <c r="O10" s="2" t="s">
        <v>1102</v>
      </c>
      <c r="P10" s="2" t="s">
        <v>1102</v>
      </c>
      <c r="Q10" s="117" t="s">
        <v>1102</v>
      </c>
      <c r="R10" s="2" t="s">
        <v>1103</v>
      </c>
      <c r="S10" s="2" t="s">
        <v>1103</v>
      </c>
      <c r="T10" s="2" t="s">
        <v>1103</v>
      </c>
      <c r="U10" s="2" t="s">
        <v>1103</v>
      </c>
      <c r="V10" s="2" t="s">
        <v>1103</v>
      </c>
      <c r="W10" s="2" t="s">
        <v>1103</v>
      </c>
      <c r="X10" s="2" t="s">
        <v>1103</v>
      </c>
      <c r="Y10" s="2" t="s">
        <v>1103</v>
      </c>
      <c r="Z10" s="2" t="s">
        <v>1103</v>
      </c>
      <c r="AA10" s="2" t="s">
        <v>1103</v>
      </c>
      <c r="AB10" s="2" t="s">
        <v>1103</v>
      </c>
      <c r="AC10" s="2" t="s">
        <v>1103</v>
      </c>
      <c r="AD10" s="134" t="s">
        <v>1103</v>
      </c>
      <c r="AE10" s="134" t="s">
        <v>1103</v>
      </c>
      <c r="AF10" s="302" t="s">
        <v>1103</v>
      </c>
      <c r="AG10" s="303"/>
      <c r="AH10" s="2" t="s">
        <v>1102</v>
      </c>
      <c r="AI10" s="2" t="s">
        <v>1102</v>
      </c>
      <c r="AJ10" s="2" t="s">
        <v>1102</v>
      </c>
      <c r="AK10" s="117"/>
      <c r="AL10" s="303" t="s">
        <v>1103</v>
      </c>
      <c r="AM10" s="2" t="s">
        <v>1103</v>
      </c>
      <c r="AN10" s="2" t="s">
        <v>1103</v>
      </c>
      <c r="AO10" s="162" t="s">
        <v>1103</v>
      </c>
      <c r="AP10" s="162" t="s">
        <v>1103</v>
      </c>
      <c r="AQ10" s="2" t="s">
        <v>1103</v>
      </c>
      <c r="AR10" s="2"/>
      <c r="AS10" s="117" t="s">
        <v>1103</v>
      </c>
      <c r="AT10" s="303" t="s">
        <v>1103</v>
      </c>
      <c r="AU10" s="2" t="s">
        <v>1103</v>
      </c>
      <c r="AV10" s="2" t="s">
        <v>1103</v>
      </c>
      <c r="AW10" s="2" t="s">
        <v>1103</v>
      </c>
      <c r="AX10" s="2" t="s">
        <v>1103</v>
      </c>
      <c r="AY10" s="2" t="s">
        <v>1103</v>
      </c>
      <c r="AZ10" s="2" t="s">
        <v>1103</v>
      </c>
      <c r="BA10" s="2" t="s">
        <v>1103</v>
      </c>
      <c r="BB10" s="2" t="s">
        <v>1103</v>
      </c>
      <c r="BC10" s="2" t="s">
        <v>1102</v>
      </c>
      <c r="BD10" s="2" t="s">
        <v>1102</v>
      </c>
      <c r="BE10" s="117" t="s">
        <v>1102</v>
      </c>
      <c r="BF10" s="303" t="s">
        <v>1103</v>
      </c>
      <c r="BG10" s="2" t="s">
        <v>1103</v>
      </c>
      <c r="BH10" s="2" t="s">
        <v>1103</v>
      </c>
      <c r="BI10" s="2" t="s">
        <v>1103</v>
      </c>
      <c r="BJ10" s="2" t="s">
        <v>1103</v>
      </c>
      <c r="BK10" s="2" t="s">
        <v>1103</v>
      </c>
      <c r="BL10" s="117" t="s">
        <v>1103</v>
      </c>
      <c r="BM10" s="303" t="s">
        <v>1103</v>
      </c>
      <c r="BP10" s="148"/>
      <c r="BQ10" s="303" t="s">
        <v>1103</v>
      </c>
      <c r="BR10" s="2" t="s">
        <v>1103</v>
      </c>
      <c r="BS10" s="2" t="s">
        <v>1103</v>
      </c>
      <c r="BT10" s="134" t="s">
        <v>1102</v>
      </c>
      <c r="BU10" s="134" t="s">
        <v>1102</v>
      </c>
      <c r="BV10" s="117" t="s">
        <v>1102</v>
      </c>
      <c r="BW10" s="303" t="s">
        <v>1102</v>
      </c>
      <c r="BX10" s="2" t="s">
        <v>1102</v>
      </c>
      <c r="BY10" s="2" t="s">
        <v>1102</v>
      </c>
      <c r="BZ10" s="2" t="s">
        <v>1103</v>
      </c>
      <c r="CA10" s="2"/>
      <c r="CB10" s="2"/>
      <c r="CC10" s="303" t="s">
        <v>1103</v>
      </c>
      <c r="CD10" s="2" t="s">
        <v>1103</v>
      </c>
      <c r="CE10" s="2" t="s">
        <v>1103</v>
      </c>
      <c r="CF10" s="2" t="s">
        <v>1103</v>
      </c>
      <c r="CG10" s="2" t="s">
        <v>1103</v>
      </c>
      <c r="CH10" s="117" t="s">
        <v>1103</v>
      </c>
      <c r="CI10" s="146"/>
    </row>
    <row r="11">
      <c r="A11" s="10" t="s">
        <v>1104</v>
      </c>
      <c r="B11" s="163"/>
      <c r="C11" s="296">
        <v>1.0</v>
      </c>
      <c r="D11" s="297">
        <v>1.0</v>
      </c>
      <c r="E11" s="297">
        <v>1.0</v>
      </c>
      <c r="F11" s="297">
        <v>8760.0</v>
      </c>
      <c r="G11" s="297">
        <v>8760.0</v>
      </c>
      <c r="H11" s="297">
        <v>8760.0</v>
      </c>
      <c r="I11" s="178">
        <v>8760.0</v>
      </c>
      <c r="J11" s="178">
        <v>8760.0</v>
      </c>
      <c r="K11" s="178">
        <v>8760.0</v>
      </c>
      <c r="L11" s="297" t="s">
        <v>64</v>
      </c>
      <c r="M11" s="297" t="s">
        <v>64</v>
      </c>
      <c r="N11" s="297" t="s">
        <v>64</v>
      </c>
      <c r="O11" s="287">
        <f>1.5/60</f>
        <v>0.025</v>
      </c>
      <c r="P11" s="287">
        <f>1/60</f>
        <v>0.01666666667</v>
      </c>
      <c r="Q11" s="304">
        <f>0.8/60</f>
        <v>0.01333333333</v>
      </c>
      <c r="R11" s="10" t="s">
        <v>64</v>
      </c>
      <c r="S11" s="10" t="s">
        <v>64</v>
      </c>
      <c r="T11" s="10" t="s">
        <v>64</v>
      </c>
      <c r="U11" s="10" t="s">
        <v>64</v>
      </c>
      <c r="V11" s="10" t="s">
        <v>64</v>
      </c>
      <c r="W11" s="10" t="s">
        <v>64</v>
      </c>
      <c r="X11" s="10" t="s">
        <v>64</v>
      </c>
      <c r="Y11" s="10" t="s">
        <v>64</v>
      </c>
      <c r="Z11" s="10" t="s">
        <v>64</v>
      </c>
      <c r="AA11" s="10" t="s">
        <v>64</v>
      </c>
      <c r="AB11" s="10" t="s">
        <v>64</v>
      </c>
      <c r="AC11" s="10" t="s">
        <v>64</v>
      </c>
      <c r="AD11" s="10" t="s">
        <v>64</v>
      </c>
      <c r="AE11" s="10" t="s">
        <v>64</v>
      </c>
      <c r="AF11" s="281" t="s">
        <v>64</v>
      </c>
      <c r="AG11" s="280"/>
      <c r="AH11" s="11">
        <v>1.0</v>
      </c>
      <c r="AI11" s="11">
        <v>1.0</v>
      </c>
      <c r="AJ11" s="11">
        <v>1.0</v>
      </c>
      <c r="AK11" s="281"/>
      <c r="AL11" s="280" t="s">
        <v>64</v>
      </c>
      <c r="AM11" s="10" t="s">
        <v>64</v>
      </c>
      <c r="AN11" s="10" t="s">
        <v>64</v>
      </c>
      <c r="AO11" s="10" t="s">
        <v>64</v>
      </c>
      <c r="AP11" s="10" t="s">
        <v>64</v>
      </c>
      <c r="AQ11" s="10" t="s">
        <v>64</v>
      </c>
      <c r="AR11" s="10"/>
      <c r="AS11" s="283"/>
      <c r="AT11" s="282"/>
      <c r="AU11" s="10"/>
      <c r="AV11" s="10"/>
      <c r="AW11" s="10" t="s">
        <v>64</v>
      </c>
      <c r="AX11" s="10" t="s">
        <v>64</v>
      </c>
      <c r="AY11" s="10" t="s">
        <v>64</v>
      </c>
      <c r="AZ11" s="10" t="s">
        <v>64</v>
      </c>
      <c r="BA11" s="10" t="s">
        <v>64</v>
      </c>
      <c r="BB11" s="10" t="s">
        <v>64</v>
      </c>
      <c r="BC11" s="305">
        <v>1.0</v>
      </c>
      <c r="BD11" s="305">
        <v>1.0</v>
      </c>
      <c r="BE11" s="304">
        <v>1.0</v>
      </c>
      <c r="BF11" s="280" t="s">
        <v>64</v>
      </c>
      <c r="BG11" s="10" t="s">
        <v>64</v>
      </c>
      <c r="BH11" s="10" t="s">
        <v>64</v>
      </c>
      <c r="BI11" s="10" t="s">
        <v>64</v>
      </c>
      <c r="BJ11" s="10" t="s">
        <v>64</v>
      </c>
      <c r="BK11" s="10" t="s">
        <v>64</v>
      </c>
      <c r="BL11" s="281" t="s">
        <v>64</v>
      </c>
      <c r="BM11" s="282"/>
      <c r="BN11" s="292"/>
      <c r="BO11" s="292"/>
      <c r="BP11" s="290"/>
      <c r="BQ11" s="282"/>
      <c r="BR11" s="163"/>
      <c r="BS11" s="163"/>
      <c r="BT11" s="201">
        <v>6.0</v>
      </c>
      <c r="BU11" s="201">
        <v>6.0</v>
      </c>
      <c r="BV11" s="277">
        <v>6.0</v>
      </c>
      <c r="BW11" s="276">
        <v>1.0</v>
      </c>
      <c r="BX11" s="201">
        <v>1.0</v>
      </c>
      <c r="BY11" s="201">
        <v>1.0</v>
      </c>
      <c r="BZ11" s="163"/>
      <c r="CA11" s="163"/>
      <c r="CB11" s="163"/>
      <c r="CC11" s="282"/>
      <c r="CD11" s="163"/>
      <c r="CE11" s="163"/>
      <c r="CF11" s="163"/>
      <c r="CG11" s="163"/>
      <c r="CH11" s="283"/>
      <c r="CI11" s="289"/>
      <c r="CJ11" s="292"/>
      <c r="CK11" s="292"/>
      <c r="CL11" s="292"/>
      <c r="CM11" s="292"/>
      <c r="CN11" s="292"/>
      <c r="CO11" s="292"/>
      <c r="CP11" s="292"/>
      <c r="CQ11" s="292"/>
      <c r="CR11" s="292"/>
      <c r="CS11" s="292"/>
      <c r="CT11" s="292"/>
      <c r="CU11" s="292"/>
      <c r="CV11" s="292"/>
      <c r="CW11" s="292"/>
      <c r="CX11" s="292"/>
      <c r="CY11" s="292"/>
      <c r="CZ11" s="292"/>
      <c r="DA11" s="292"/>
    </row>
    <row r="12">
      <c r="A12" s="10" t="s">
        <v>1105</v>
      </c>
      <c r="B12" s="163"/>
      <c r="C12" s="278" t="s">
        <v>1106</v>
      </c>
      <c r="D12" s="11" t="s">
        <v>1106</v>
      </c>
      <c r="E12" s="11" t="s">
        <v>1106</v>
      </c>
      <c r="F12" s="11" t="s">
        <v>1106</v>
      </c>
      <c r="G12" s="11" t="s">
        <v>1106</v>
      </c>
      <c r="H12" s="11" t="s">
        <v>1106</v>
      </c>
      <c r="I12" s="154" t="s">
        <v>1106</v>
      </c>
      <c r="J12" s="154" t="s">
        <v>1106</v>
      </c>
      <c r="K12" s="154" t="s">
        <v>1106</v>
      </c>
      <c r="L12" s="10" t="s">
        <v>1107</v>
      </c>
      <c r="M12" s="10" t="s">
        <v>1107</v>
      </c>
      <c r="N12" s="10" t="s">
        <v>1107</v>
      </c>
      <c r="O12" s="10" t="s">
        <v>1106</v>
      </c>
      <c r="P12" s="10" t="s">
        <v>1106</v>
      </c>
      <c r="Q12" s="281" t="s">
        <v>1106</v>
      </c>
      <c r="R12" s="10" t="s">
        <v>1107</v>
      </c>
      <c r="S12" s="10" t="s">
        <v>1107</v>
      </c>
      <c r="T12" s="10" t="s">
        <v>1107</v>
      </c>
      <c r="U12" s="10" t="s">
        <v>1107</v>
      </c>
      <c r="V12" s="10" t="s">
        <v>1107</v>
      </c>
      <c r="W12" s="10" t="s">
        <v>1107</v>
      </c>
      <c r="X12" s="10" t="s">
        <v>1107</v>
      </c>
      <c r="Y12" s="10" t="s">
        <v>1107</v>
      </c>
      <c r="Z12" s="10" t="s">
        <v>1107</v>
      </c>
      <c r="AA12" s="10" t="s">
        <v>1107</v>
      </c>
      <c r="AB12" s="10" t="s">
        <v>1107</v>
      </c>
      <c r="AC12" s="10" t="s">
        <v>1107</v>
      </c>
      <c r="AD12" s="10" t="s">
        <v>1107</v>
      </c>
      <c r="AE12" s="10" t="s">
        <v>1107</v>
      </c>
      <c r="AF12" s="281" t="s">
        <v>1107</v>
      </c>
      <c r="AG12" s="280"/>
      <c r="AH12" s="11" t="s">
        <v>1106</v>
      </c>
      <c r="AI12" s="11" t="s">
        <v>1106</v>
      </c>
      <c r="AJ12" s="11" t="s">
        <v>1106</v>
      </c>
      <c r="AK12" s="281"/>
      <c r="AL12" s="280" t="s">
        <v>1107</v>
      </c>
      <c r="AM12" s="10" t="s">
        <v>1107</v>
      </c>
      <c r="AN12" s="10" t="s">
        <v>1107</v>
      </c>
      <c r="AO12" s="10" t="s">
        <v>1107</v>
      </c>
      <c r="AP12" s="10" t="s">
        <v>1107</v>
      </c>
      <c r="AQ12" s="10" t="s">
        <v>1107</v>
      </c>
      <c r="AR12" s="10"/>
      <c r="AS12" s="283"/>
      <c r="AT12" s="282"/>
      <c r="AU12" s="10"/>
      <c r="AV12" s="10"/>
      <c r="AW12" s="10" t="s">
        <v>1107</v>
      </c>
      <c r="AX12" s="10" t="s">
        <v>1107</v>
      </c>
      <c r="AY12" s="10" t="s">
        <v>1107</v>
      </c>
      <c r="AZ12" s="10" t="s">
        <v>1107</v>
      </c>
      <c r="BA12" s="10" t="s">
        <v>1107</v>
      </c>
      <c r="BB12" s="10" t="s">
        <v>1107</v>
      </c>
      <c r="BC12" s="10" t="s">
        <v>1108</v>
      </c>
      <c r="BD12" s="10" t="s">
        <v>1108</v>
      </c>
      <c r="BE12" s="281" t="s">
        <v>1108</v>
      </c>
      <c r="BF12" s="280" t="s">
        <v>1107</v>
      </c>
      <c r="BG12" s="10" t="s">
        <v>1107</v>
      </c>
      <c r="BH12" s="10" t="s">
        <v>1107</v>
      </c>
      <c r="BI12" s="10" t="s">
        <v>1107</v>
      </c>
      <c r="BJ12" s="10" t="s">
        <v>1107</v>
      </c>
      <c r="BK12" s="10" t="s">
        <v>1107</v>
      </c>
      <c r="BL12" s="281" t="s">
        <v>1107</v>
      </c>
      <c r="BM12" s="282"/>
      <c r="BN12" s="10"/>
      <c r="BO12" s="10"/>
      <c r="BP12" s="281"/>
      <c r="BQ12" s="282"/>
      <c r="BR12" s="163"/>
      <c r="BS12" s="163"/>
      <c r="BT12" s="10" t="s">
        <v>1109</v>
      </c>
      <c r="BU12" s="10" t="s">
        <v>1109</v>
      </c>
      <c r="BV12" s="281" t="s">
        <v>1109</v>
      </c>
      <c r="BW12" s="280" t="s">
        <v>1108</v>
      </c>
      <c r="BX12" s="10" t="s">
        <v>1108</v>
      </c>
      <c r="BY12" s="10" t="s">
        <v>1108</v>
      </c>
      <c r="BZ12" s="163"/>
      <c r="CA12" s="163"/>
      <c r="CB12" s="163"/>
      <c r="CC12" s="282"/>
      <c r="CD12" s="163"/>
      <c r="CE12" s="163"/>
      <c r="CF12" s="163"/>
      <c r="CG12" s="163"/>
      <c r="CH12" s="283"/>
      <c r="CI12" s="280"/>
      <c r="CJ12" s="10"/>
      <c r="CK12" s="10"/>
      <c r="CL12" s="10"/>
      <c r="CM12" s="10"/>
      <c r="CN12" s="10"/>
      <c r="CO12" s="10"/>
      <c r="CP12" s="10"/>
      <c r="CQ12" s="10"/>
      <c r="CR12" s="10"/>
      <c r="CS12" s="10"/>
      <c r="CT12" s="10"/>
      <c r="CU12" s="10"/>
      <c r="CV12" s="10"/>
      <c r="CW12" s="10"/>
      <c r="CX12" s="10"/>
      <c r="CY12" s="10"/>
      <c r="CZ12" s="10"/>
      <c r="DA12" s="10"/>
    </row>
    <row r="13">
      <c r="A13" s="10" t="s">
        <v>1110</v>
      </c>
      <c r="B13" s="163"/>
      <c r="C13" s="296">
        <v>0.0</v>
      </c>
      <c r="D13" s="297">
        <v>0.0</v>
      </c>
      <c r="E13" s="297">
        <v>0.0</v>
      </c>
      <c r="F13" s="292">
        <v>0.0</v>
      </c>
      <c r="G13" s="292">
        <v>0.0</v>
      </c>
      <c r="H13" s="292">
        <v>0.0</v>
      </c>
      <c r="I13" s="292">
        <v>0.0</v>
      </c>
      <c r="J13" s="292">
        <v>0.0</v>
      </c>
      <c r="K13" s="292">
        <v>0.0</v>
      </c>
      <c r="L13" s="297" t="s">
        <v>64</v>
      </c>
      <c r="M13" s="297" t="s">
        <v>64</v>
      </c>
      <c r="N13" s="297" t="s">
        <v>64</v>
      </c>
      <c r="O13" s="292">
        <v>0.0</v>
      </c>
      <c r="P13" s="292">
        <v>0.0</v>
      </c>
      <c r="Q13" s="290">
        <v>0.0</v>
      </c>
      <c r="R13" s="10" t="s">
        <v>64</v>
      </c>
      <c r="S13" s="10" t="s">
        <v>64</v>
      </c>
      <c r="T13" s="10" t="s">
        <v>64</v>
      </c>
      <c r="U13" s="10" t="s">
        <v>64</v>
      </c>
      <c r="V13" s="10" t="s">
        <v>64</v>
      </c>
      <c r="W13" s="10" t="s">
        <v>64</v>
      </c>
      <c r="X13" s="10" t="s">
        <v>64</v>
      </c>
      <c r="Y13" s="10" t="s">
        <v>64</v>
      </c>
      <c r="Z13" s="10" t="s">
        <v>64</v>
      </c>
      <c r="AA13" s="10" t="s">
        <v>64</v>
      </c>
      <c r="AB13" s="10" t="s">
        <v>64</v>
      </c>
      <c r="AC13" s="10" t="s">
        <v>64</v>
      </c>
      <c r="AD13" s="10" t="s">
        <v>64</v>
      </c>
      <c r="AE13" s="10" t="s">
        <v>64</v>
      </c>
      <c r="AF13" s="281" t="s">
        <v>64</v>
      </c>
      <c r="AG13" s="280"/>
      <c r="AH13" s="11">
        <v>0.0</v>
      </c>
      <c r="AI13" s="11">
        <v>0.0</v>
      </c>
      <c r="AJ13" s="11">
        <v>0.0</v>
      </c>
      <c r="AK13" s="281"/>
      <c r="AL13" s="280" t="s">
        <v>64</v>
      </c>
      <c r="AM13" s="10" t="s">
        <v>64</v>
      </c>
      <c r="AN13" s="10" t="s">
        <v>64</v>
      </c>
      <c r="AO13" s="10" t="s">
        <v>64</v>
      </c>
      <c r="AP13" s="10" t="s">
        <v>64</v>
      </c>
      <c r="AQ13" s="10" t="s">
        <v>64</v>
      </c>
      <c r="AR13" s="10"/>
      <c r="AS13" s="283"/>
      <c r="AT13" s="282"/>
      <c r="AU13" s="10"/>
      <c r="AV13" s="10"/>
      <c r="AW13" s="10" t="s">
        <v>64</v>
      </c>
      <c r="AX13" s="10" t="s">
        <v>64</v>
      </c>
      <c r="AY13" s="10" t="s">
        <v>64</v>
      </c>
      <c r="AZ13" s="10" t="s">
        <v>64</v>
      </c>
      <c r="BA13" s="10" t="s">
        <v>64</v>
      </c>
      <c r="BB13" s="10" t="s">
        <v>64</v>
      </c>
      <c r="BC13" s="305">
        <v>0.2</v>
      </c>
      <c r="BD13" s="305">
        <v>0.2</v>
      </c>
      <c r="BE13" s="304">
        <v>0.2</v>
      </c>
      <c r="BF13" s="280" t="s">
        <v>64</v>
      </c>
      <c r="BG13" s="10" t="s">
        <v>64</v>
      </c>
      <c r="BH13" s="10" t="s">
        <v>64</v>
      </c>
      <c r="BI13" s="10" t="s">
        <v>64</v>
      </c>
      <c r="BJ13" s="10" t="s">
        <v>64</v>
      </c>
      <c r="BK13" s="10" t="s">
        <v>64</v>
      </c>
      <c r="BL13" s="281" t="s">
        <v>64</v>
      </c>
      <c r="BM13" s="282"/>
      <c r="BN13" s="292"/>
      <c r="BO13" s="292"/>
      <c r="BP13" s="290"/>
      <c r="BQ13" s="282"/>
      <c r="BR13" s="163"/>
      <c r="BS13" s="163"/>
      <c r="BT13" s="201">
        <v>1.0</v>
      </c>
      <c r="BU13" s="201">
        <v>1.0</v>
      </c>
      <c r="BV13" s="277">
        <v>1.0</v>
      </c>
      <c r="BW13" s="276">
        <v>0.2</v>
      </c>
      <c r="BX13" s="201">
        <v>0.2</v>
      </c>
      <c r="BY13" s="201">
        <v>0.2</v>
      </c>
      <c r="BZ13" s="163"/>
      <c r="CA13" s="163"/>
      <c r="CB13" s="163"/>
      <c r="CC13" s="282"/>
      <c r="CD13" s="163"/>
      <c r="CE13" s="163"/>
      <c r="CF13" s="163"/>
      <c r="CG13" s="163"/>
      <c r="CH13" s="283"/>
      <c r="CI13" s="289"/>
      <c r="CJ13" s="292"/>
      <c r="CK13" s="292"/>
      <c r="CL13" s="292"/>
      <c r="CM13" s="292"/>
      <c r="CN13" s="292"/>
      <c r="CO13" s="292"/>
      <c r="CP13" s="292"/>
      <c r="CQ13" s="292"/>
      <c r="CR13" s="292"/>
      <c r="CS13" s="292"/>
      <c r="CT13" s="292"/>
      <c r="CU13" s="292"/>
      <c r="CV13" s="292"/>
      <c r="CW13" s="292"/>
      <c r="CX13" s="292"/>
      <c r="CY13" s="292"/>
      <c r="CZ13" s="292"/>
      <c r="DA13" s="292"/>
    </row>
    <row r="14">
      <c r="A14" s="10" t="s">
        <v>1111</v>
      </c>
      <c r="B14" s="163"/>
      <c r="C14" s="280" t="s">
        <v>1112</v>
      </c>
      <c r="D14" s="10" t="s">
        <v>1112</v>
      </c>
      <c r="E14" s="10" t="s">
        <v>1112</v>
      </c>
      <c r="F14" s="10" t="s">
        <v>1112</v>
      </c>
      <c r="G14" s="10" t="s">
        <v>1112</v>
      </c>
      <c r="H14" s="10" t="s">
        <v>1112</v>
      </c>
      <c r="I14" s="10" t="s">
        <v>1112</v>
      </c>
      <c r="J14" s="10" t="s">
        <v>1112</v>
      </c>
      <c r="K14" s="10" t="s">
        <v>1112</v>
      </c>
      <c r="L14" s="10" t="s">
        <v>1112</v>
      </c>
      <c r="M14" s="10" t="s">
        <v>1112</v>
      </c>
      <c r="N14" s="10" t="s">
        <v>1112</v>
      </c>
      <c r="O14" s="10" t="s">
        <v>1106</v>
      </c>
      <c r="P14" s="10" t="s">
        <v>1106</v>
      </c>
      <c r="Q14" s="281" t="s">
        <v>1106</v>
      </c>
      <c r="R14" s="10" t="s">
        <v>1112</v>
      </c>
      <c r="S14" s="10" t="s">
        <v>1112</v>
      </c>
      <c r="T14" s="10" t="s">
        <v>1112</v>
      </c>
      <c r="U14" s="10" t="s">
        <v>1112</v>
      </c>
      <c r="V14" s="10" t="s">
        <v>1112</v>
      </c>
      <c r="W14" s="10" t="s">
        <v>1112</v>
      </c>
      <c r="X14" s="10" t="s">
        <v>1112</v>
      </c>
      <c r="Y14" s="10" t="s">
        <v>1112</v>
      </c>
      <c r="Z14" s="10" t="s">
        <v>1112</v>
      </c>
      <c r="AA14" s="10" t="s">
        <v>1112</v>
      </c>
      <c r="AB14" s="10" t="s">
        <v>1112</v>
      </c>
      <c r="AC14" s="10" t="s">
        <v>1112</v>
      </c>
      <c r="AD14" s="10" t="s">
        <v>1112</v>
      </c>
      <c r="AE14" s="10" t="s">
        <v>1112</v>
      </c>
      <c r="AF14" s="281" t="s">
        <v>1112</v>
      </c>
      <c r="AG14" s="280"/>
      <c r="AH14" s="11" t="s">
        <v>1106</v>
      </c>
      <c r="AI14" s="11" t="s">
        <v>1106</v>
      </c>
      <c r="AJ14" s="11" t="s">
        <v>1106</v>
      </c>
      <c r="AK14" s="281"/>
      <c r="AL14" s="280" t="s">
        <v>1112</v>
      </c>
      <c r="AM14" s="10" t="s">
        <v>1112</v>
      </c>
      <c r="AN14" s="10" t="s">
        <v>1112</v>
      </c>
      <c r="AO14" s="10" t="s">
        <v>1112</v>
      </c>
      <c r="AP14" s="10" t="s">
        <v>1112</v>
      </c>
      <c r="AQ14" s="10" t="s">
        <v>1112</v>
      </c>
      <c r="AR14" s="10"/>
      <c r="AS14" s="283"/>
      <c r="AT14" s="282"/>
      <c r="AU14" s="10"/>
      <c r="AV14" s="10"/>
      <c r="AW14" s="10" t="s">
        <v>1112</v>
      </c>
      <c r="AX14" s="10" t="s">
        <v>1112</v>
      </c>
      <c r="AY14" s="10" t="s">
        <v>1112</v>
      </c>
      <c r="AZ14" s="10" t="s">
        <v>1112</v>
      </c>
      <c r="BA14" s="10" t="s">
        <v>1112</v>
      </c>
      <c r="BB14" s="10" t="s">
        <v>1112</v>
      </c>
      <c r="BC14" s="10" t="s">
        <v>1108</v>
      </c>
      <c r="BD14" s="10" t="s">
        <v>1108</v>
      </c>
      <c r="BE14" s="281" t="s">
        <v>1108</v>
      </c>
      <c r="BF14" s="280" t="s">
        <v>1112</v>
      </c>
      <c r="BG14" s="10" t="s">
        <v>1112</v>
      </c>
      <c r="BH14" s="10" t="s">
        <v>1112</v>
      </c>
      <c r="BI14" s="10" t="s">
        <v>1112</v>
      </c>
      <c r="BJ14" s="10" t="s">
        <v>1112</v>
      </c>
      <c r="BK14" s="10" t="s">
        <v>1112</v>
      </c>
      <c r="BL14" s="281" t="s">
        <v>1112</v>
      </c>
      <c r="BM14" s="282"/>
      <c r="BN14" s="10"/>
      <c r="BO14" s="10"/>
      <c r="BP14" s="281"/>
      <c r="BQ14" s="146"/>
      <c r="BT14" s="10" t="s">
        <v>1109</v>
      </c>
      <c r="BU14" s="10" t="s">
        <v>1109</v>
      </c>
      <c r="BV14" s="281" t="s">
        <v>1109</v>
      </c>
      <c r="BW14" s="280" t="s">
        <v>1108</v>
      </c>
      <c r="BX14" s="10" t="s">
        <v>1108</v>
      </c>
      <c r="BY14" s="10" t="s">
        <v>1108</v>
      </c>
      <c r="BZ14" s="163"/>
      <c r="CA14" s="163"/>
      <c r="CB14" s="163"/>
      <c r="CC14" s="282"/>
      <c r="CD14" s="163"/>
      <c r="CE14" s="163"/>
      <c r="CF14" s="163"/>
      <c r="CG14" s="163"/>
      <c r="CH14" s="283"/>
      <c r="CI14" s="280"/>
      <c r="CJ14" s="10"/>
      <c r="CK14" s="10"/>
      <c r="CL14" s="10"/>
      <c r="CM14" s="10"/>
      <c r="CN14" s="10"/>
      <c r="CO14" s="10"/>
      <c r="CP14" s="10"/>
      <c r="CQ14" s="10"/>
      <c r="CR14" s="10"/>
      <c r="CS14" s="10"/>
      <c r="CT14" s="10"/>
      <c r="CU14" s="10"/>
      <c r="CV14" s="10"/>
      <c r="CW14" s="10"/>
      <c r="CX14" s="10"/>
      <c r="CY14" s="10"/>
      <c r="CZ14" s="10"/>
      <c r="DA14" s="10"/>
    </row>
    <row r="15">
      <c r="A15" s="306" t="s">
        <v>1113</v>
      </c>
      <c r="B15" s="167"/>
      <c r="C15" s="307" t="b">
        <v>0</v>
      </c>
      <c r="D15" s="308" t="b">
        <v>0</v>
      </c>
      <c r="E15" s="308" t="b">
        <v>0</v>
      </c>
      <c r="F15" s="308" t="b">
        <v>0</v>
      </c>
      <c r="G15" s="308" t="b">
        <v>0</v>
      </c>
      <c r="H15" s="308" t="b">
        <v>0</v>
      </c>
      <c r="I15" s="308" t="b">
        <v>0</v>
      </c>
      <c r="J15" s="308" t="b">
        <v>0</v>
      </c>
      <c r="K15" s="308" t="b">
        <v>0</v>
      </c>
      <c r="L15" s="308" t="b">
        <v>0</v>
      </c>
      <c r="M15" s="308" t="b">
        <v>0</v>
      </c>
      <c r="N15" s="308" t="b">
        <v>0</v>
      </c>
      <c r="O15" s="308" t="b">
        <v>0</v>
      </c>
      <c r="P15" s="308" t="b">
        <v>0</v>
      </c>
      <c r="Q15" s="309" t="b">
        <v>0</v>
      </c>
      <c r="R15" s="308" t="b">
        <v>0</v>
      </c>
      <c r="S15" s="308" t="b">
        <v>0</v>
      </c>
      <c r="T15" s="308" t="b">
        <v>0</v>
      </c>
      <c r="U15" s="308" t="b">
        <v>1</v>
      </c>
      <c r="V15" s="308" t="b">
        <v>1</v>
      </c>
      <c r="W15" s="308" t="b">
        <v>1</v>
      </c>
      <c r="X15" s="308" t="b">
        <v>1</v>
      </c>
      <c r="Y15" s="308" t="b">
        <v>1</v>
      </c>
      <c r="Z15" s="308" t="b">
        <v>1</v>
      </c>
      <c r="AA15" s="308" t="b">
        <v>1</v>
      </c>
      <c r="AB15" s="308" t="b">
        <v>1</v>
      </c>
      <c r="AC15" s="308" t="b">
        <v>1</v>
      </c>
      <c r="AD15" s="308" t="b">
        <v>0</v>
      </c>
      <c r="AE15" s="308" t="b">
        <v>0</v>
      </c>
      <c r="AF15" s="309" t="b">
        <v>0</v>
      </c>
      <c r="AG15" s="310"/>
      <c r="AH15" s="308" t="b">
        <v>0</v>
      </c>
      <c r="AI15" s="308" t="b">
        <v>0</v>
      </c>
      <c r="AJ15" s="308" t="b">
        <v>0</v>
      </c>
      <c r="AK15" s="311"/>
      <c r="AL15" s="307" t="b">
        <v>0</v>
      </c>
      <c r="AM15" s="308" t="b">
        <v>0</v>
      </c>
      <c r="AN15" s="308" t="b">
        <v>0</v>
      </c>
      <c r="AO15" s="312" t="b">
        <v>0</v>
      </c>
      <c r="AP15" s="312" t="b">
        <v>0</v>
      </c>
      <c r="AQ15" s="308" t="b">
        <v>0</v>
      </c>
      <c r="AR15" s="313"/>
      <c r="AS15" s="309" t="b">
        <v>0</v>
      </c>
      <c r="AT15" s="307" t="b">
        <v>0</v>
      </c>
      <c r="AU15" s="308" t="b">
        <v>0</v>
      </c>
      <c r="AV15" s="308" t="b">
        <v>0</v>
      </c>
      <c r="AW15" s="308" t="b">
        <v>0</v>
      </c>
      <c r="AX15" s="308" t="b">
        <v>0</v>
      </c>
      <c r="AY15" s="308" t="b">
        <v>0</v>
      </c>
      <c r="AZ15" s="308" t="b">
        <v>0</v>
      </c>
      <c r="BA15" s="308" t="b">
        <v>0</v>
      </c>
      <c r="BB15" s="308" t="b">
        <v>0</v>
      </c>
      <c r="BC15" s="308" t="b">
        <v>0</v>
      </c>
      <c r="BD15" s="308" t="b">
        <v>0</v>
      </c>
      <c r="BE15" s="309" t="b">
        <v>0</v>
      </c>
      <c r="BF15" s="307" t="b">
        <v>0</v>
      </c>
      <c r="BG15" s="308" t="b">
        <v>0</v>
      </c>
      <c r="BH15" s="308" t="b">
        <v>0</v>
      </c>
      <c r="BI15" s="308" t="b">
        <v>0</v>
      </c>
      <c r="BJ15" s="308" t="b">
        <v>0</v>
      </c>
      <c r="BK15" s="308" t="b">
        <v>0</v>
      </c>
      <c r="BL15" s="309" t="b">
        <v>0</v>
      </c>
      <c r="BM15" s="307" t="b">
        <v>0</v>
      </c>
      <c r="BN15" s="313"/>
      <c r="BO15" s="313"/>
      <c r="BP15" s="311"/>
      <c r="BQ15" s="307" t="b">
        <v>0</v>
      </c>
      <c r="BR15" s="308" t="b">
        <v>0</v>
      </c>
      <c r="BS15" s="308" t="b">
        <v>0</v>
      </c>
      <c r="BT15" s="308" t="b">
        <v>1</v>
      </c>
      <c r="BU15" s="308" t="b">
        <v>1</v>
      </c>
      <c r="BV15" s="309" t="b">
        <v>1</v>
      </c>
      <c r="BW15" s="307" t="b">
        <v>1</v>
      </c>
      <c r="BX15" s="308" t="b">
        <v>1</v>
      </c>
      <c r="BY15" s="308" t="b">
        <v>1</v>
      </c>
      <c r="BZ15" s="308" t="b">
        <v>0</v>
      </c>
      <c r="CA15" s="313"/>
      <c r="CB15" s="313"/>
      <c r="CC15" s="307" t="b">
        <v>0</v>
      </c>
      <c r="CD15" s="308" t="b">
        <v>0</v>
      </c>
      <c r="CE15" s="308" t="b">
        <v>0</v>
      </c>
      <c r="CF15" s="308" t="b">
        <v>0</v>
      </c>
      <c r="CG15" s="308" t="b">
        <v>0</v>
      </c>
      <c r="CH15" s="309" t="b">
        <v>0</v>
      </c>
      <c r="CI15" s="310"/>
      <c r="CJ15" s="313"/>
      <c r="CK15" s="313"/>
      <c r="CL15" s="313"/>
      <c r="CM15" s="313"/>
      <c r="CN15" s="313"/>
      <c r="CO15" s="313"/>
      <c r="CP15" s="313"/>
      <c r="CQ15" s="313"/>
      <c r="CR15" s="313"/>
      <c r="CS15" s="313"/>
      <c r="CT15" s="313"/>
      <c r="CU15" s="313"/>
      <c r="CV15" s="313"/>
      <c r="CW15" s="313"/>
      <c r="CX15" s="313"/>
      <c r="CY15" s="313"/>
      <c r="CZ15" s="313"/>
      <c r="DA15" s="313"/>
    </row>
    <row r="16">
      <c r="A16" s="175" t="s">
        <v>1114</v>
      </c>
      <c r="B16" s="175" t="s">
        <v>1115</v>
      </c>
      <c r="C16" s="259">
        <v>117.0</v>
      </c>
      <c r="D16" s="260">
        <v>108.0</v>
      </c>
      <c r="E16" s="260">
        <v>99.0</v>
      </c>
      <c r="F16" s="273">
        <v>0.0</v>
      </c>
      <c r="G16" s="273">
        <v>0.0</v>
      </c>
      <c r="H16" s="273">
        <v>0.0</v>
      </c>
      <c r="I16" s="273">
        <v>0.0</v>
      </c>
      <c r="J16" s="273">
        <v>0.0</v>
      </c>
      <c r="K16" s="273">
        <v>0.0</v>
      </c>
      <c r="L16" s="273">
        <v>0.0</v>
      </c>
      <c r="M16" s="273">
        <v>0.0</v>
      </c>
      <c r="N16" s="273">
        <v>0.0</v>
      </c>
      <c r="O16" s="273">
        <v>0.0</v>
      </c>
      <c r="P16" s="273">
        <v>0.0</v>
      </c>
      <c r="Q16" s="267">
        <v>0.0</v>
      </c>
      <c r="R16" s="260">
        <v>1950.0</v>
      </c>
      <c r="S16" s="260">
        <v>1680.0</v>
      </c>
      <c r="T16" s="260">
        <v>1470.0</v>
      </c>
      <c r="U16" s="260">
        <v>655.0</v>
      </c>
      <c r="V16" s="260">
        <v>443.0</v>
      </c>
      <c r="W16" s="260">
        <v>219.0</v>
      </c>
      <c r="X16" s="260">
        <v>80.0</v>
      </c>
      <c r="Y16" s="260">
        <v>52.0</v>
      </c>
      <c r="Z16" s="260">
        <v>34.0</v>
      </c>
      <c r="AA16" s="263">
        <v>435.0</v>
      </c>
      <c r="AB16" s="263">
        <v>245.0</v>
      </c>
      <c r="AC16" s="263">
        <v>145.0</v>
      </c>
      <c r="AD16" s="260">
        <v>1840.0</v>
      </c>
      <c r="AE16" s="260">
        <v>1070.0</v>
      </c>
      <c r="AF16" s="262">
        <v>610.0</v>
      </c>
      <c r="AG16" s="266"/>
      <c r="AH16" s="263">
        <v>270.0</v>
      </c>
      <c r="AI16" s="263">
        <v>200.0</v>
      </c>
      <c r="AJ16" s="263">
        <v>160.0</v>
      </c>
      <c r="AK16" s="267"/>
      <c r="AL16" s="259">
        <v>655.0</v>
      </c>
      <c r="AM16" s="260">
        <v>455.0</v>
      </c>
      <c r="AN16" s="260">
        <v>305.0</v>
      </c>
      <c r="AO16" s="263">
        <v>108.0</v>
      </c>
      <c r="AP16" s="263">
        <v>67.0</v>
      </c>
      <c r="AQ16" s="263">
        <v>40.0</v>
      </c>
      <c r="AR16" s="268"/>
      <c r="AS16" s="269">
        <v>450.0</v>
      </c>
      <c r="AT16" s="314">
        <v>35.0</v>
      </c>
      <c r="AU16" s="263">
        <v>18.0</v>
      </c>
      <c r="AV16" s="263">
        <v>13.0</v>
      </c>
      <c r="AW16" s="260">
        <v>60.0</v>
      </c>
      <c r="AX16" s="260">
        <v>45.0</v>
      </c>
      <c r="AY16" s="260">
        <v>35.0</v>
      </c>
      <c r="AZ16" s="263">
        <v>115.0</v>
      </c>
      <c r="BA16" s="263">
        <v>90.0</v>
      </c>
      <c r="BB16" s="263">
        <v>70.0</v>
      </c>
      <c r="BC16" s="263">
        <v>250.0</v>
      </c>
      <c r="BD16" s="263">
        <v>135.0</v>
      </c>
      <c r="BE16" s="315">
        <v>80.0</v>
      </c>
      <c r="BF16" s="314">
        <v>110.0</v>
      </c>
      <c r="BG16" s="268">
        <v>80.0</v>
      </c>
      <c r="BH16" s="263">
        <v>60.0</v>
      </c>
      <c r="BI16" s="263">
        <v>170.0</v>
      </c>
      <c r="BJ16" s="268">
        <v>120.0</v>
      </c>
      <c r="BK16" s="263">
        <v>90.0</v>
      </c>
      <c r="BL16" s="271">
        <v>150.0</v>
      </c>
      <c r="BM16" s="272">
        <v>200.0</v>
      </c>
      <c r="BN16" s="273"/>
      <c r="BO16" s="273"/>
      <c r="BP16" s="267"/>
      <c r="BQ16" s="314">
        <v>75.0</v>
      </c>
      <c r="BR16" s="263">
        <v>50.0</v>
      </c>
      <c r="BS16" s="263">
        <v>25.0</v>
      </c>
      <c r="BT16" s="260">
        <v>18.0</v>
      </c>
      <c r="BU16" s="260">
        <v>13.0</v>
      </c>
      <c r="BV16" s="262">
        <v>9.0</v>
      </c>
      <c r="BW16" s="259">
        <v>130.0</v>
      </c>
      <c r="BX16" s="260">
        <v>90.0</v>
      </c>
      <c r="BY16" s="260">
        <v>50.0</v>
      </c>
      <c r="BZ16" s="275">
        <v>150.0</v>
      </c>
      <c r="CA16" s="273"/>
      <c r="CB16" s="273"/>
      <c r="CC16" s="314">
        <v>178.0</v>
      </c>
      <c r="CD16" s="263">
        <v>113.0</v>
      </c>
      <c r="CE16" s="263">
        <v>78.0</v>
      </c>
      <c r="CF16" s="263">
        <v>178.0</v>
      </c>
      <c r="CG16" s="263">
        <v>113.0</v>
      </c>
      <c r="CH16" s="315">
        <v>78.0</v>
      </c>
      <c r="CI16" s="266"/>
      <c r="CJ16" s="273"/>
      <c r="CK16" s="273"/>
      <c r="CL16" s="273"/>
      <c r="CM16" s="273"/>
      <c r="CN16" s="273"/>
      <c r="CO16" s="273"/>
      <c r="CP16" s="273"/>
      <c r="CQ16" s="273"/>
      <c r="CR16" s="273"/>
      <c r="CS16" s="273"/>
      <c r="CT16" s="273"/>
      <c r="CU16" s="273"/>
      <c r="CV16" s="273"/>
      <c r="CW16" s="273"/>
      <c r="CX16" s="273"/>
      <c r="CY16" s="273"/>
      <c r="CZ16" s="273"/>
      <c r="DA16" s="273"/>
    </row>
    <row r="17">
      <c r="A17" s="10" t="s">
        <v>1116</v>
      </c>
      <c r="B17" s="163"/>
      <c r="C17" s="280" t="s">
        <v>1117</v>
      </c>
      <c r="D17" s="10" t="s">
        <v>1117</v>
      </c>
      <c r="E17" s="10" t="s">
        <v>1117</v>
      </c>
      <c r="F17" s="10" t="s">
        <v>1117</v>
      </c>
      <c r="G17" s="10" t="s">
        <v>1117</v>
      </c>
      <c r="H17" s="10" t="s">
        <v>1117</v>
      </c>
      <c r="I17" s="10" t="s">
        <v>1117</v>
      </c>
      <c r="J17" s="10" t="s">
        <v>1117</v>
      </c>
      <c r="K17" s="10" t="s">
        <v>1117</v>
      </c>
      <c r="L17" s="10" t="s">
        <v>1117</v>
      </c>
      <c r="M17" s="10" t="s">
        <v>1117</v>
      </c>
      <c r="N17" s="10" t="s">
        <v>1117</v>
      </c>
      <c r="O17" s="10" t="s">
        <v>1117</v>
      </c>
      <c r="P17" s="10" t="s">
        <v>1117</v>
      </c>
      <c r="Q17" s="281" t="s">
        <v>1117</v>
      </c>
      <c r="R17" s="10" t="s">
        <v>1117</v>
      </c>
      <c r="S17" s="10" t="s">
        <v>1117</v>
      </c>
      <c r="T17" s="10" t="s">
        <v>1117</v>
      </c>
      <c r="U17" s="10" t="s">
        <v>1117</v>
      </c>
      <c r="V17" s="10" t="s">
        <v>1117</v>
      </c>
      <c r="W17" s="10" t="s">
        <v>1117</v>
      </c>
      <c r="X17" s="10" t="s">
        <v>1117</v>
      </c>
      <c r="Y17" s="10" t="s">
        <v>1117</v>
      </c>
      <c r="Z17" s="10" t="s">
        <v>1117</v>
      </c>
      <c r="AA17" s="10" t="s">
        <v>1117</v>
      </c>
      <c r="AB17" s="10" t="s">
        <v>1117</v>
      </c>
      <c r="AC17" s="10" t="s">
        <v>1117</v>
      </c>
      <c r="AD17" s="154" t="s">
        <v>1117</v>
      </c>
      <c r="AE17" s="154" t="s">
        <v>1117</v>
      </c>
      <c r="AF17" s="279" t="s">
        <v>1117</v>
      </c>
      <c r="AG17" s="280"/>
      <c r="AH17" s="10" t="s">
        <v>1117</v>
      </c>
      <c r="AI17" s="10" t="s">
        <v>1117</v>
      </c>
      <c r="AJ17" s="10" t="s">
        <v>1117</v>
      </c>
      <c r="AK17" s="281"/>
      <c r="AL17" s="280" t="s">
        <v>1117</v>
      </c>
      <c r="AM17" s="10" t="s">
        <v>1117</v>
      </c>
      <c r="AN17" s="10" t="s">
        <v>1117</v>
      </c>
      <c r="AO17" s="154" t="s">
        <v>1117</v>
      </c>
      <c r="AP17" s="154" t="s">
        <v>1117</v>
      </c>
      <c r="AQ17" s="11" t="s">
        <v>1117</v>
      </c>
      <c r="AR17" s="10"/>
      <c r="AS17" s="281" t="s">
        <v>1117</v>
      </c>
      <c r="AT17" s="280" t="s">
        <v>1117</v>
      </c>
      <c r="AU17" s="10" t="s">
        <v>1117</v>
      </c>
      <c r="AV17" s="10" t="s">
        <v>1117</v>
      </c>
      <c r="AW17" s="10" t="s">
        <v>1117</v>
      </c>
      <c r="AX17" s="10" t="s">
        <v>1117</v>
      </c>
      <c r="AY17" s="10" t="s">
        <v>1117</v>
      </c>
      <c r="AZ17" s="10" t="s">
        <v>1117</v>
      </c>
      <c r="BA17" s="10" t="s">
        <v>1117</v>
      </c>
      <c r="BB17" s="10" t="s">
        <v>1117</v>
      </c>
      <c r="BC17" s="10" t="s">
        <v>1117</v>
      </c>
      <c r="BD17" s="10" t="s">
        <v>1117</v>
      </c>
      <c r="BE17" s="281" t="s">
        <v>1117</v>
      </c>
      <c r="BF17" s="280" t="s">
        <v>1117</v>
      </c>
      <c r="BG17" s="10" t="s">
        <v>1117</v>
      </c>
      <c r="BH17" s="10" t="s">
        <v>1117</v>
      </c>
      <c r="BI17" s="10" t="s">
        <v>1117</v>
      </c>
      <c r="BJ17" s="10" t="s">
        <v>1117</v>
      </c>
      <c r="BK17" s="10" t="s">
        <v>1117</v>
      </c>
      <c r="BL17" s="281" t="s">
        <v>1117</v>
      </c>
      <c r="BM17" s="280" t="s">
        <v>1117</v>
      </c>
      <c r="BN17" s="10"/>
      <c r="BO17" s="10"/>
      <c r="BP17" s="281"/>
      <c r="BQ17" s="280" t="s">
        <v>1117</v>
      </c>
      <c r="BR17" s="10" t="s">
        <v>1117</v>
      </c>
      <c r="BS17" s="10" t="s">
        <v>1117</v>
      </c>
      <c r="BT17" s="10" t="s">
        <v>1117</v>
      </c>
      <c r="BU17" s="10" t="s">
        <v>1117</v>
      </c>
      <c r="BV17" s="281" t="s">
        <v>1117</v>
      </c>
      <c r="BW17" s="280" t="s">
        <v>1117</v>
      </c>
      <c r="BX17" s="10" t="s">
        <v>1117</v>
      </c>
      <c r="BY17" s="10" t="s">
        <v>1117</v>
      </c>
      <c r="BZ17" s="10" t="s">
        <v>1117</v>
      </c>
      <c r="CA17" s="10"/>
      <c r="CB17" s="10"/>
      <c r="CC17" s="280" t="s">
        <v>1117</v>
      </c>
      <c r="CD17" s="10" t="s">
        <v>1117</v>
      </c>
      <c r="CE17" s="10" t="s">
        <v>1117</v>
      </c>
      <c r="CF17" s="10" t="s">
        <v>1117</v>
      </c>
      <c r="CG17" s="10" t="s">
        <v>1117</v>
      </c>
      <c r="CH17" s="281" t="s">
        <v>1117</v>
      </c>
      <c r="CI17" s="280"/>
      <c r="CJ17" s="10"/>
      <c r="CK17" s="10"/>
      <c r="CL17" s="10"/>
      <c r="CM17" s="10"/>
      <c r="CN17" s="10"/>
      <c r="CO17" s="10"/>
      <c r="CP17" s="10"/>
      <c r="CQ17" s="10"/>
      <c r="CR17" s="10"/>
      <c r="CS17" s="10"/>
      <c r="CT17" s="10"/>
      <c r="CU17" s="10"/>
      <c r="CV17" s="10"/>
      <c r="CW17" s="10"/>
      <c r="CX17" s="10"/>
      <c r="CY17" s="10"/>
      <c r="CZ17" s="10"/>
      <c r="DA17" s="10"/>
    </row>
    <row r="18">
      <c r="A18" s="10" t="s">
        <v>1118</v>
      </c>
      <c r="B18" s="10" t="s">
        <v>1119</v>
      </c>
      <c r="C18" s="289">
        <v>0.0</v>
      </c>
      <c r="D18" s="292">
        <v>0.0</v>
      </c>
      <c r="E18" s="292">
        <v>0.0</v>
      </c>
      <c r="F18" s="292">
        <v>0.0</v>
      </c>
      <c r="G18" s="292">
        <v>0.0</v>
      </c>
      <c r="H18" s="292">
        <v>0.0</v>
      </c>
      <c r="I18" s="292">
        <v>0.0</v>
      </c>
      <c r="J18" s="292">
        <v>0.0</v>
      </c>
      <c r="K18" s="292">
        <v>0.0</v>
      </c>
      <c r="L18" s="292">
        <v>0.0</v>
      </c>
      <c r="M18" s="292">
        <v>0.0</v>
      </c>
      <c r="N18" s="292">
        <v>0.0</v>
      </c>
      <c r="O18" s="292">
        <v>0.0</v>
      </c>
      <c r="P18" s="292">
        <v>0.0</v>
      </c>
      <c r="Q18" s="290">
        <v>0.0</v>
      </c>
      <c r="R18" s="292">
        <v>0.0</v>
      </c>
      <c r="S18" s="292">
        <v>0.0</v>
      </c>
      <c r="T18" s="292">
        <v>0.0</v>
      </c>
      <c r="U18" s="292">
        <v>0.0</v>
      </c>
      <c r="V18" s="292">
        <v>0.0</v>
      </c>
      <c r="W18" s="292">
        <v>0.0</v>
      </c>
      <c r="X18" s="292">
        <v>0.0</v>
      </c>
      <c r="Y18" s="292">
        <v>0.0</v>
      </c>
      <c r="Z18" s="292">
        <v>0.0</v>
      </c>
      <c r="AA18" s="292">
        <v>0.0</v>
      </c>
      <c r="AB18" s="292">
        <v>0.0</v>
      </c>
      <c r="AC18" s="292">
        <v>0.0</v>
      </c>
      <c r="AD18" s="178">
        <v>0.0</v>
      </c>
      <c r="AE18" s="178">
        <v>0.0</v>
      </c>
      <c r="AF18" s="316">
        <v>0.0</v>
      </c>
      <c r="AG18" s="289"/>
      <c r="AH18" s="189">
        <v>150.0</v>
      </c>
      <c r="AI18" s="189">
        <v>100.0</v>
      </c>
      <c r="AJ18" s="189">
        <v>75.0</v>
      </c>
      <c r="AK18" s="290"/>
      <c r="AL18" s="289">
        <v>0.0</v>
      </c>
      <c r="AM18" s="292">
        <v>0.0</v>
      </c>
      <c r="AN18" s="292">
        <v>0.0</v>
      </c>
      <c r="AO18" s="178">
        <v>0.0</v>
      </c>
      <c r="AP18" s="178">
        <v>0.0</v>
      </c>
      <c r="AQ18" s="297">
        <v>0.0</v>
      </c>
      <c r="AR18" s="292"/>
      <c r="AS18" s="290">
        <v>0.0</v>
      </c>
      <c r="AT18" s="289">
        <v>0.0</v>
      </c>
      <c r="AU18" s="292">
        <v>0.0</v>
      </c>
      <c r="AV18" s="292">
        <v>0.0</v>
      </c>
      <c r="AW18" s="292">
        <v>0.0</v>
      </c>
      <c r="AX18" s="292">
        <v>0.0</v>
      </c>
      <c r="AY18" s="292">
        <v>0.0</v>
      </c>
      <c r="AZ18" s="292">
        <v>0.0</v>
      </c>
      <c r="BA18" s="292">
        <v>0.0</v>
      </c>
      <c r="BB18" s="292">
        <v>0.0</v>
      </c>
      <c r="BC18" s="292">
        <v>0.0</v>
      </c>
      <c r="BD18" s="292">
        <v>0.0</v>
      </c>
      <c r="BE18" s="290">
        <v>0.0</v>
      </c>
      <c r="BF18" s="289">
        <v>0.0</v>
      </c>
      <c r="BG18" s="292">
        <v>0.0</v>
      </c>
      <c r="BH18" s="292">
        <v>0.0</v>
      </c>
      <c r="BI18" s="292">
        <v>0.0</v>
      </c>
      <c r="BJ18" s="292">
        <v>0.0</v>
      </c>
      <c r="BK18" s="292">
        <v>0.0</v>
      </c>
      <c r="BL18" s="290">
        <v>0.0</v>
      </c>
      <c r="BM18" s="289">
        <v>0.0</v>
      </c>
      <c r="BN18" s="292"/>
      <c r="BO18" s="292"/>
      <c r="BP18" s="290"/>
      <c r="BQ18" s="289">
        <v>0.0</v>
      </c>
      <c r="BR18" s="292">
        <v>0.0</v>
      </c>
      <c r="BS18" s="292">
        <v>0.0</v>
      </c>
      <c r="BT18" s="292">
        <v>0.0</v>
      </c>
      <c r="BU18" s="292">
        <v>0.0</v>
      </c>
      <c r="BV18" s="290">
        <v>0.0</v>
      </c>
      <c r="BW18" s="289">
        <v>0.0</v>
      </c>
      <c r="BX18" s="292">
        <v>0.0</v>
      </c>
      <c r="BY18" s="292">
        <v>0.0</v>
      </c>
      <c r="BZ18" s="292">
        <v>0.0</v>
      </c>
      <c r="CA18" s="292"/>
      <c r="CB18" s="292"/>
      <c r="CC18" s="317">
        <v>3.37</v>
      </c>
      <c r="CD18" s="318">
        <v>3.11</v>
      </c>
      <c r="CE18" s="318">
        <v>2.85</v>
      </c>
      <c r="CF18" s="319">
        <v>0.0</v>
      </c>
      <c r="CG18" s="319">
        <v>0.0</v>
      </c>
      <c r="CH18" s="320">
        <v>0.0</v>
      </c>
      <c r="CI18" s="289"/>
      <c r="CJ18" s="292"/>
      <c r="CK18" s="292"/>
      <c r="CL18" s="292"/>
      <c r="CM18" s="292"/>
      <c r="CN18" s="292"/>
      <c r="CO18" s="292"/>
      <c r="CP18" s="292"/>
      <c r="CQ18" s="292"/>
      <c r="CR18" s="292"/>
      <c r="CS18" s="292"/>
      <c r="CT18" s="292"/>
      <c r="CU18" s="292"/>
      <c r="CV18" s="292"/>
      <c r="CW18" s="292"/>
      <c r="CX18" s="292"/>
      <c r="CY18" s="292"/>
      <c r="CZ18" s="292"/>
      <c r="DA18" s="292"/>
    </row>
    <row r="19">
      <c r="A19" s="10" t="s">
        <v>1120</v>
      </c>
      <c r="B19" s="163"/>
      <c r="C19" s="280" t="s">
        <v>1121</v>
      </c>
      <c r="D19" s="10" t="s">
        <v>1121</v>
      </c>
      <c r="E19" s="10" t="s">
        <v>1121</v>
      </c>
      <c r="F19" s="10" t="s">
        <v>1121</v>
      </c>
      <c r="G19" s="10" t="s">
        <v>1121</v>
      </c>
      <c r="H19" s="10" t="s">
        <v>1121</v>
      </c>
      <c r="I19" s="10" t="s">
        <v>1121</v>
      </c>
      <c r="J19" s="10" t="s">
        <v>1121</v>
      </c>
      <c r="K19" s="10" t="s">
        <v>1121</v>
      </c>
      <c r="L19" s="10" t="s">
        <v>1121</v>
      </c>
      <c r="M19" s="10" t="s">
        <v>1121</v>
      </c>
      <c r="N19" s="10" t="s">
        <v>1121</v>
      </c>
      <c r="O19" s="10" t="s">
        <v>1121</v>
      </c>
      <c r="P19" s="10" t="s">
        <v>1121</v>
      </c>
      <c r="Q19" s="281" t="s">
        <v>1121</v>
      </c>
      <c r="R19" s="10" t="s">
        <v>1121</v>
      </c>
      <c r="S19" s="10" t="s">
        <v>1121</v>
      </c>
      <c r="T19" s="10" t="s">
        <v>1121</v>
      </c>
      <c r="U19" s="10" t="s">
        <v>1121</v>
      </c>
      <c r="V19" s="10" t="s">
        <v>1121</v>
      </c>
      <c r="W19" s="10" t="s">
        <v>1121</v>
      </c>
      <c r="X19" s="10" t="s">
        <v>1121</v>
      </c>
      <c r="Y19" s="10" t="s">
        <v>1121</v>
      </c>
      <c r="Z19" s="10" t="s">
        <v>1121</v>
      </c>
      <c r="AA19" s="10" t="s">
        <v>1121</v>
      </c>
      <c r="AB19" s="10" t="s">
        <v>1121</v>
      </c>
      <c r="AC19" s="10" t="s">
        <v>1121</v>
      </c>
      <c r="AD19" s="10" t="s">
        <v>1121</v>
      </c>
      <c r="AE19" s="10" t="s">
        <v>1121</v>
      </c>
      <c r="AF19" s="281" t="s">
        <v>1121</v>
      </c>
      <c r="AG19" s="280"/>
      <c r="AH19" s="10" t="s">
        <v>1121</v>
      </c>
      <c r="AI19" s="10" t="s">
        <v>1121</v>
      </c>
      <c r="AJ19" s="10" t="s">
        <v>1121</v>
      </c>
      <c r="AK19" s="281"/>
      <c r="AL19" s="280" t="s">
        <v>1121</v>
      </c>
      <c r="AM19" s="10" t="s">
        <v>1121</v>
      </c>
      <c r="AN19" s="10" t="s">
        <v>1121</v>
      </c>
      <c r="AO19" s="10" t="s">
        <v>1121</v>
      </c>
      <c r="AP19" s="10" t="s">
        <v>1121</v>
      </c>
      <c r="AQ19" s="10" t="s">
        <v>1121</v>
      </c>
      <c r="AR19" s="10"/>
      <c r="AS19" s="281" t="s">
        <v>1121</v>
      </c>
      <c r="AT19" s="280" t="s">
        <v>1121</v>
      </c>
      <c r="AU19" s="10" t="s">
        <v>1121</v>
      </c>
      <c r="AV19" s="10" t="s">
        <v>1121</v>
      </c>
      <c r="AW19" s="10" t="s">
        <v>1121</v>
      </c>
      <c r="AX19" s="10" t="s">
        <v>1121</v>
      </c>
      <c r="AY19" s="10" t="s">
        <v>1121</v>
      </c>
      <c r="AZ19" s="10" t="s">
        <v>1121</v>
      </c>
      <c r="BA19" s="10" t="s">
        <v>1121</v>
      </c>
      <c r="BB19" s="10" t="s">
        <v>1121</v>
      </c>
      <c r="BC19" s="10" t="s">
        <v>1121</v>
      </c>
      <c r="BD19" s="10" t="s">
        <v>1121</v>
      </c>
      <c r="BE19" s="281" t="s">
        <v>1121</v>
      </c>
      <c r="BF19" s="280" t="s">
        <v>1121</v>
      </c>
      <c r="BG19" s="10" t="s">
        <v>1121</v>
      </c>
      <c r="BH19" s="10" t="s">
        <v>1121</v>
      </c>
      <c r="BI19" s="10" t="s">
        <v>1121</v>
      </c>
      <c r="BJ19" s="10" t="s">
        <v>1121</v>
      </c>
      <c r="BK19" s="10" t="s">
        <v>1121</v>
      </c>
      <c r="BL19" s="281" t="s">
        <v>1121</v>
      </c>
      <c r="BM19" s="280" t="s">
        <v>1121</v>
      </c>
      <c r="BN19" s="10"/>
      <c r="BO19" s="10"/>
      <c r="BP19" s="281"/>
      <c r="BQ19" s="280" t="s">
        <v>1121</v>
      </c>
      <c r="BR19" s="10" t="s">
        <v>1121</v>
      </c>
      <c r="BS19" s="10" t="s">
        <v>1121</v>
      </c>
      <c r="BT19" s="10" t="s">
        <v>1121</v>
      </c>
      <c r="BU19" s="10" t="s">
        <v>1121</v>
      </c>
      <c r="BV19" s="281" t="s">
        <v>1121</v>
      </c>
      <c r="BW19" s="280" t="s">
        <v>1121</v>
      </c>
      <c r="BX19" s="10" t="s">
        <v>1121</v>
      </c>
      <c r="BY19" s="10" t="s">
        <v>1121</v>
      </c>
      <c r="BZ19" s="10" t="s">
        <v>1121</v>
      </c>
      <c r="CA19" s="10"/>
      <c r="CB19" s="10"/>
      <c r="CC19" s="280" t="s">
        <v>1121</v>
      </c>
      <c r="CD19" s="10" t="s">
        <v>1121</v>
      </c>
      <c r="CE19" s="10" t="s">
        <v>1121</v>
      </c>
      <c r="CF19" s="10" t="s">
        <v>1121</v>
      </c>
      <c r="CG19" s="10" t="s">
        <v>1121</v>
      </c>
      <c r="CH19" s="281" t="s">
        <v>1121</v>
      </c>
      <c r="CI19" s="280"/>
      <c r="CJ19" s="10"/>
      <c r="CK19" s="10"/>
      <c r="CL19" s="10"/>
      <c r="CM19" s="10"/>
      <c r="CN19" s="10"/>
      <c r="CO19" s="10"/>
      <c r="CP19" s="10"/>
      <c r="CQ19" s="10"/>
      <c r="CR19" s="10"/>
      <c r="CS19" s="10"/>
      <c r="CT19" s="10"/>
      <c r="CU19" s="10"/>
      <c r="CV19" s="10"/>
      <c r="CW19" s="10"/>
      <c r="CX19" s="10"/>
      <c r="CY19" s="10"/>
      <c r="CZ19" s="10"/>
      <c r="DA19" s="10"/>
    </row>
    <row r="20">
      <c r="A20" s="10" t="s">
        <v>1122</v>
      </c>
      <c r="B20" s="10" t="s">
        <v>1123</v>
      </c>
      <c r="C20" s="284">
        <v>0.0</v>
      </c>
      <c r="D20" s="164">
        <v>0.0</v>
      </c>
      <c r="E20" s="164">
        <v>0.0</v>
      </c>
      <c r="F20" s="164">
        <v>0.0</v>
      </c>
      <c r="G20" s="164">
        <v>0.0</v>
      </c>
      <c r="H20" s="164">
        <v>0.0</v>
      </c>
      <c r="I20" s="286">
        <v>0.0</v>
      </c>
      <c r="J20" s="286">
        <v>0.0</v>
      </c>
      <c r="K20" s="286">
        <v>0.0</v>
      </c>
      <c r="L20" s="321">
        <v>95.0</v>
      </c>
      <c r="M20" s="321">
        <v>80.0</v>
      </c>
      <c r="N20" s="321">
        <v>65.0</v>
      </c>
      <c r="O20" s="189">
        <v>160.0</v>
      </c>
      <c r="P20" s="189">
        <v>124.0</v>
      </c>
      <c r="Q20" s="322">
        <v>105.0</v>
      </c>
      <c r="R20" s="292">
        <v>0.0</v>
      </c>
      <c r="S20" s="292">
        <v>0.0</v>
      </c>
      <c r="T20" s="292">
        <v>0.0</v>
      </c>
      <c r="U20" s="292">
        <v>0.0</v>
      </c>
      <c r="V20" s="292">
        <v>0.0</v>
      </c>
      <c r="W20" s="292">
        <v>0.0</v>
      </c>
      <c r="X20" s="292">
        <v>0.0</v>
      </c>
      <c r="Y20" s="292">
        <v>0.0</v>
      </c>
      <c r="Z20" s="292">
        <v>0.0</v>
      </c>
      <c r="AA20" s="292">
        <v>0.0</v>
      </c>
      <c r="AB20" s="292">
        <v>0.0</v>
      </c>
      <c r="AC20" s="292">
        <v>0.0</v>
      </c>
      <c r="AD20" s="178">
        <v>0.0</v>
      </c>
      <c r="AE20" s="178">
        <v>0.0</v>
      </c>
      <c r="AF20" s="316">
        <v>0.0</v>
      </c>
      <c r="AG20" s="289"/>
      <c r="AH20" s="292">
        <v>0.0</v>
      </c>
      <c r="AI20" s="292">
        <v>0.0</v>
      </c>
      <c r="AJ20" s="292">
        <v>0.0</v>
      </c>
      <c r="AK20" s="290"/>
      <c r="AL20" s="289">
        <v>0.0</v>
      </c>
      <c r="AM20" s="292">
        <v>0.0</v>
      </c>
      <c r="AN20" s="292">
        <v>0.0</v>
      </c>
      <c r="AO20" s="292">
        <v>0.0</v>
      </c>
      <c r="AP20" s="292">
        <v>0.0</v>
      </c>
      <c r="AQ20" s="292">
        <v>0.0</v>
      </c>
      <c r="AR20" s="292"/>
      <c r="AS20" s="285">
        <v>0.0</v>
      </c>
      <c r="AT20" s="289">
        <v>0.0</v>
      </c>
      <c r="AU20" s="292">
        <v>0.0</v>
      </c>
      <c r="AV20" s="292">
        <v>0.0</v>
      </c>
      <c r="AW20" s="292">
        <v>0.0</v>
      </c>
      <c r="AX20" s="292">
        <v>0.0</v>
      </c>
      <c r="AY20" s="292">
        <v>0.0</v>
      </c>
      <c r="AZ20" s="292">
        <v>0.0</v>
      </c>
      <c r="BA20" s="292">
        <v>0.0</v>
      </c>
      <c r="BB20" s="292">
        <v>0.0</v>
      </c>
      <c r="BC20" s="297">
        <v>0.0</v>
      </c>
      <c r="BD20" s="297">
        <v>0.0</v>
      </c>
      <c r="BE20" s="285">
        <v>0.0</v>
      </c>
      <c r="BF20" s="289">
        <v>0.0</v>
      </c>
      <c r="BG20" s="292">
        <v>0.0</v>
      </c>
      <c r="BH20" s="292">
        <v>0.0</v>
      </c>
      <c r="BI20" s="292">
        <v>0.0</v>
      </c>
      <c r="BJ20" s="292">
        <v>0.0</v>
      </c>
      <c r="BK20" s="292">
        <v>0.0</v>
      </c>
      <c r="BL20" s="290">
        <v>0.0</v>
      </c>
      <c r="BM20" s="284">
        <v>0.0</v>
      </c>
      <c r="BN20" s="163"/>
      <c r="BO20" s="163"/>
      <c r="BP20" s="283"/>
      <c r="BQ20" s="284">
        <v>0.0</v>
      </c>
      <c r="BR20" s="164">
        <v>0.0</v>
      </c>
      <c r="BS20" s="164">
        <v>0.0</v>
      </c>
      <c r="BT20" s="292">
        <v>0.0</v>
      </c>
      <c r="BU20" s="292">
        <v>0.0</v>
      </c>
      <c r="BV20" s="290">
        <v>0.0</v>
      </c>
      <c r="BW20" s="284">
        <v>0.0</v>
      </c>
      <c r="BX20" s="164">
        <v>0.0</v>
      </c>
      <c r="BY20" s="164">
        <v>0.0</v>
      </c>
      <c r="BZ20" s="164">
        <v>0.0</v>
      </c>
      <c r="CA20" s="163"/>
      <c r="CB20" s="163"/>
      <c r="CC20" s="284">
        <v>0.0</v>
      </c>
      <c r="CD20" s="164">
        <v>0.0</v>
      </c>
      <c r="CE20" s="164">
        <v>0.0</v>
      </c>
      <c r="CF20" s="164">
        <v>0.0</v>
      </c>
      <c r="CG20" s="164">
        <v>0.0</v>
      </c>
      <c r="CH20" s="285">
        <v>0.0</v>
      </c>
      <c r="CI20" s="282"/>
      <c r="CJ20" s="163"/>
      <c r="CK20" s="163"/>
      <c r="CL20" s="163"/>
      <c r="CM20" s="163"/>
      <c r="CN20" s="163"/>
      <c r="CO20" s="163"/>
      <c r="CP20" s="163"/>
      <c r="CQ20" s="163"/>
      <c r="CR20" s="163"/>
      <c r="CS20" s="163"/>
      <c r="CT20" s="163"/>
      <c r="CU20" s="163"/>
      <c r="CV20" s="163"/>
      <c r="CW20" s="163"/>
      <c r="CX20" s="163"/>
      <c r="CY20" s="163"/>
      <c r="CZ20" s="163"/>
      <c r="DA20" s="163"/>
    </row>
    <row r="21">
      <c r="A21" s="10" t="s">
        <v>1124</v>
      </c>
      <c r="B21" s="163"/>
      <c r="C21" s="280" t="s">
        <v>1082</v>
      </c>
      <c r="D21" s="10" t="s">
        <v>1082</v>
      </c>
      <c r="E21" s="10" t="s">
        <v>1082</v>
      </c>
      <c r="F21" s="10" t="s">
        <v>1082</v>
      </c>
      <c r="G21" s="10" t="s">
        <v>1082</v>
      </c>
      <c r="H21" s="10" t="s">
        <v>1082</v>
      </c>
      <c r="I21" s="10" t="s">
        <v>1082</v>
      </c>
      <c r="J21" s="10" t="s">
        <v>1082</v>
      </c>
      <c r="K21" s="10" t="s">
        <v>1082</v>
      </c>
      <c r="L21" s="10" t="s">
        <v>1082</v>
      </c>
      <c r="M21" s="10" t="s">
        <v>1082</v>
      </c>
      <c r="N21" s="10" t="s">
        <v>1082</v>
      </c>
      <c r="O21" s="10" t="s">
        <v>1082</v>
      </c>
      <c r="P21" s="10" t="s">
        <v>1082</v>
      </c>
      <c r="Q21" s="281" t="s">
        <v>1082</v>
      </c>
      <c r="R21" s="10" t="s">
        <v>1082</v>
      </c>
      <c r="S21" s="10" t="s">
        <v>1082</v>
      </c>
      <c r="T21" s="10" t="s">
        <v>1082</v>
      </c>
      <c r="U21" s="10" t="s">
        <v>1082</v>
      </c>
      <c r="V21" s="10" t="s">
        <v>1082</v>
      </c>
      <c r="W21" s="10" t="s">
        <v>1082</v>
      </c>
      <c r="X21" s="10" t="s">
        <v>1082</v>
      </c>
      <c r="Y21" s="10" t="s">
        <v>1082</v>
      </c>
      <c r="Z21" s="10" t="s">
        <v>1082</v>
      </c>
      <c r="AA21" s="10" t="s">
        <v>1082</v>
      </c>
      <c r="AB21" s="10" t="s">
        <v>1082</v>
      </c>
      <c r="AC21" s="10" t="s">
        <v>1082</v>
      </c>
      <c r="AD21" s="154" t="s">
        <v>1082</v>
      </c>
      <c r="AE21" s="154" t="s">
        <v>1082</v>
      </c>
      <c r="AF21" s="279" t="s">
        <v>1082</v>
      </c>
      <c r="AG21" s="278" t="s">
        <v>1082</v>
      </c>
      <c r="AH21" s="11" t="s">
        <v>1082</v>
      </c>
      <c r="AI21" s="11" t="s">
        <v>1082</v>
      </c>
      <c r="AJ21" s="11" t="s">
        <v>1082</v>
      </c>
      <c r="AK21" s="13" t="s">
        <v>1082</v>
      </c>
      <c r="AL21" s="278" t="s">
        <v>1082</v>
      </c>
      <c r="AM21" s="11" t="s">
        <v>1082</v>
      </c>
      <c r="AN21" s="11" t="s">
        <v>1082</v>
      </c>
      <c r="AO21" s="154" t="s">
        <v>1082</v>
      </c>
      <c r="AP21" s="154" t="s">
        <v>1082</v>
      </c>
      <c r="AQ21" s="11" t="s">
        <v>1082</v>
      </c>
      <c r="AR21" s="11" t="s">
        <v>1082</v>
      </c>
      <c r="AS21" s="13" t="s">
        <v>1082</v>
      </c>
      <c r="AT21" s="278" t="s">
        <v>1082</v>
      </c>
      <c r="AU21" s="11" t="s">
        <v>1082</v>
      </c>
      <c r="AV21" s="11" t="s">
        <v>1082</v>
      </c>
      <c r="AW21" s="11" t="s">
        <v>1082</v>
      </c>
      <c r="AX21" s="11" t="s">
        <v>1082</v>
      </c>
      <c r="AY21" s="11" t="s">
        <v>1082</v>
      </c>
      <c r="AZ21" s="11" t="s">
        <v>1082</v>
      </c>
      <c r="BA21" s="11" t="s">
        <v>1082</v>
      </c>
      <c r="BB21" s="11" t="s">
        <v>1082</v>
      </c>
      <c r="BC21" s="11" t="s">
        <v>1082</v>
      </c>
      <c r="BD21" s="11" t="s">
        <v>1082</v>
      </c>
      <c r="BE21" s="285" t="s">
        <v>1082</v>
      </c>
      <c r="BF21" s="278" t="s">
        <v>1082</v>
      </c>
      <c r="BG21" s="11" t="s">
        <v>1082</v>
      </c>
      <c r="BH21" s="11" t="s">
        <v>1082</v>
      </c>
      <c r="BI21" s="11" t="s">
        <v>1082</v>
      </c>
      <c r="BJ21" s="11" t="s">
        <v>1082</v>
      </c>
      <c r="BK21" s="11" t="s">
        <v>1082</v>
      </c>
      <c r="BL21" s="13" t="s">
        <v>1082</v>
      </c>
      <c r="BM21" s="284" t="s">
        <v>1082</v>
      </c>
      <c r="BN21" s="11" t="s">
        <v>1082</v>
      </c>
      <c r="BO21" s="11" t="s">
        <v>1082</v>
      </c>
      <c r="BP21" s="13" t="s">
        <v>1082</v>
      </c>
      <c r="BQ21" s="284" t="s">
        <v>1082</v>
      </c>
      <c r="BR21" s="164" t="s">
        <v>1082</v>
      </c>
      <c r="BS21" s="164" t="s">
        <v>1082</v>
      </c>
      <c r="BT21" s="154" t="s">
        <v>1082</v>
      </c>
      <c r="BU21" s="154" t="s">
        <v>1082</v>
      </c>
      <c r="BV21" s="13" t="s">
        <v>1082</v>
      </c>
      <c r="BW21" s="284" t="s">
        <v>1082</v>
      </c>
      <c r="BX21" s="164" t="s">
        <v>1082</v>
      </c>
      <c r="BY21" s="164" t="s">
        <v>1082</v>
      </c>
      <c r="BZ21" s="11" t="s">
        <v>1082</v>
      </c>
      <c r="CA21" s="11" t="s">
        <v>1082</v>
      </c>
      <c r="CB21" s="11" t="s">
        <v>1082</v>
      </c>
      <c r="CC21" s="284" t="s">
        <v>1082</v>
      </c>
      <c r="CD21" s="164" t="s">
        <v>1082</v>
      </c>
      <c r="CE21" s="164" t="s">
        <v>1082</v>
      </c>
      <c r="CF21" s="164" t="s">
        <v>1082</v>
      </c>
      <c r="CG21" s="164" t="s">
        <v>1082</v>
      </c>
      <c r="CH21" s="285" t="s">
        <v>1082</v>
      </c>
      <c r="CI21" s="280"/>
      <c r="CJ21" s="10"/>
      <c r="CK21" s="10"/>
      <c r="CL21" s="10"/>
      <c r="CM21" s="10"/>
      <c r="CN21" s="10"/>
      <c r="CO21" s="10"/>
      <c r="CP21" s="10"/>
      <c r="CQ21" s="10"/>
      <c r="CR21" s="10"/>
      <c r="CS21" s="10"/>
      <c r="CT21" s="10"/>
      <c r="CU21" s="10"/>
      <c r="CV21" s="10"/>
      <c r="CW21" s="10"/>
      <c r="CX21" s="10"/>
      <c r="CY21" s="10"/>
      <c r="CZ21" s="10"/>
      <c r="DA21" s="10"/>
    </row>
    <row r="22">
      <c r="A22" s="11" t="s">
        <v>1125</v>
      </c>
      <c r="B22" s="11" t="s">
        <v>1126</v>
      </c>
      <c r="C22" s="296">
        <v>0.0</v>
      </c>
      <c r="D22" s="297">
        <v>0.0</v>
      </c>
      <c r="E22" s="297">
        <v>0.0</v>
      </c>
      <c r="F22" s="297">
        <v>0.0</v>
      </c>
      <c r="G22" s="297">
        <v>0.0</v>
      </c>
      <c r="H22" s="297">
        <v>0.0</v>
      </c>
      <c r="I22" s="178">
        <v>0.0</v>
      </c>
      <c r="J22" s="178">
        <v>0.0</v>
      </c>
      <c r="K22" s="178">
        <v>0.0</v>
      </c>
      <c r="L22" s="297">
        <v>0.0</v>
      </c>
      <c r="M22" s="297">
        <v>0.0</v>
      </c>
      <c r="N22" s="297">
        <v>0.0</v>
      </c>
      <c r="O22" s="297">
        <v>0.0</v>
      </c>
      <c r="P22" s="297">
        <v>0.0</v>
      </c>
      <c r="Q22" s="323">
        <v>0.0</v>
      </c>
      <c r="R22" s="297">
        <v>0.0</v>
      </c>
      <c r="S22" s="297">
        <v>0.0</v>
      </c>
      <c r="T22" s="297">
        <v>0.0</v>
      </c>
      <c r="U22" s="297">
        <v>0.0</v>
      </c>
      <c r="V22" s="297">
        <v>0.0</v>
      </c>
      <c r="W22" s="297">
        <v>0.0</v>
      </c>
      <c r="X22" s="297">
        <v>0.0</v>
      </c>
      <c r="Y22" s="297">
        <v>0.0</v>
      </c>
      <c r="Z22" s="297">
        <v>0.0</v>
      </c>
      <c r="AA22" s="297">
        <v>0.0</v>
      </c>
      <c r="AB22" s="297">
        <v>0.0</v>
      </c>
      <c r="AC22" s="297">
        <v>0.0</v>
      </c>
      <c r="AD22" s="178">
        <v>0.0</v>
      </c>
      <c r="AE22" s="178">
        <v>0.0</v>
      </c>
      <c r="AF22" s="316">
        <v>0.0</v>
      </c>
      <c r="AG22" s="296"/>
      <c r="AH22" s="297">
        <v>0.0</v>
      </c>
      <c r="AI22" s="297">
        <v>0.0</v>
      </c>
      <c r="AJ22" s="297">
        <v>0.0</v>
      </c>
      <c r="AK22" s="290"/>
      <c r="AL22" s="296">
        <v>0.0</v>
      </c>
      <c r="AM22" s="297">
        <v>0.0</v>
      </c>
      <c r="AN22" s="297">
        <v>0.0</v>
      </c>
      <c r="AO22" s="286">
        <v>0.0</v>
      </c>
      <c r="AP22" s="286">
        <v>0.0</v>
      </c>
      <c r="AQ22" s="2">
        <v>0.0</v>
      </c>
      <c r="AR22" s="292"/>
      <c r="AS22" s="323">
        <v>0.0</v>
      </c>
      <c r="AT22" s="296">
        <v>0.0</v>
      </c>
      <c r="AU22" s="297">
        <v>0.0</v>
      </c>
      <c r="AV22" s="297">
        <v>0.0</v>
      </c>
      <c r="AW22" s="297">
        <v>0.0</v>
      </c>
      <c r="AX22" s="297">
        <v>0.0</v>
      </c>
      <c r="AY22" s="297">
        <v>0.0</v>
      </c>
      <c r="AZ22" s="297">
        <v>0.0</v>
      </c>
      <c r="BA22" s="297">
        <v>0.0</v>
      </c>
      <c r="BB22" s="297">
        <v>0.0</v>
      </c>
      <c r="BC22" s="297">
        <v>0.0</v>
      </c>
      <c r="BD22" s="297">
        <v>0.0</v>
      </c>
      <c r="BE22" s="323">
        <v>0.0</v>
      </c>
      <c r="BF22" s="296">
        <v>0.0</v>
      </c>
      <c r="BG22" s="297">
        <v>0.0</v>
      </c>
      <c r="BH22" s="297">
        <v>0.0</v>
      </c>
      <c r="BI22" s="297">
        <v>0.0</v>
      </c>
      <c r="BJ22" s="297">
        <v>0.0</v>
      </c>
      <c r="BK22" s="297">
        <v>0.0</v>
      </c>
      <c r="BL22" s="323">
        <v>0.0</v>
      </c>
      <c r="BM22" s="296">
        <v>0.0</v>
      </c>
      <c r="BN22" s="292"/>
      <c r="BO22" s="292"/>
      <c r="BP22" s="290"/>
      <c r="BQ22" s="296">
        <v>0.0</v>
      </c>
      <c r="BR22" s="297">
        <v>0.0</v>
      </c>
      <c r="BS22" s="297">
        <v>0.0</v>
      </c>
      <c r="BT22" s="178">
        <v>0.0</v>
      </c>
      <c r="BU22" s="178">
        <v>0.0</v>
      </c>
      <c r="BV22" s="323">
        <v>0.0</v>
      </c>
      <c r="BW22" s="296">
        <v>0.0</v>
      </c>
      <c r="BX22" s="297">
        <v>0.0</v>
      </c>
      <c r="BY22" s="297">
        <v>0.0</v>
      </c>
      <c r="BZ22" s="297">
        <v>0.0</v>
      </c>
      <c r="CA22" s="292"/>
      <c r="CB22" s="292"/>
      <c r="CC22" s="296">
        <v>0.0</v>
      </c>
      <c r="CD22" s="297">
        <v>0.0</v>
      </c>
      <c r="CE22" s="297">
        <v>0.0</v>
      </c>
      <c r="CF22" s="189">
        <v>139.0</v>
      </c>
      <c r="CG22" s="189">
        <v>129.0</v>
      </c>
      <c r="CH22" s="322">
        <v>118.0</v>
      </c>
      <c r="CI22" s="289"/>
      <c r="CJ22" s="292"/>
      <c r="CK22" s="292"/>
      <c r="CL22" s="292"/>
      <c r="CM22" s="292"/>
      <c r="CN22" s="292"/>
      <c r="CO22" s="292"/>
      <c r="CP22" s="292"/>
      <c r="CQ22" s="292"/>
      <c r="CR22" s="292"/>
      <c r="CS22" s="292"/>
      <c r="CT22" s="292"/>
      <c r="CU22" s="292"/>
      <c r="CV22" s="292"/>
      <c r="CW22" s="292"/>
      <c r="CX22" s="292"/>
      <c r="CY22" s="292"/>
      <c r="CZ22" s="292"/>
      <c r="DA22" s="292"/>
    </row>
    <row r="23">
      <c r="A23" s="11" t="s">
        <v>1127</v>
      </c>
      <c r="B23" s="10"/>
      <c r="C23" s="280" t="s">
        <v>1082</v>
      </c>
      <c r="D23" s="10" t="s">
        <v>1082</v>
      </c>
      <c r="E23" s="10" t="s">
        <v>1082</v>
      </c>
      <c r="F23" s="10" t="s">
        <v>1082</v>
      </c>
      <c r="G23" s="10" t="s">
        <v>1082</v>
      </c>
      <c r="H23" s="10" t="s">
        <v>1082</v>
      </c>
      <c r="I23" s="10" t="s">
        <v>1082</v>
      </c>
      <c r="J23" s="10" t="s">
        <v>1082</v>
      </c>
      <c r="K23" s="10" t="s">
        <v>1082</v>
      </c>
      <c r="L23" s="10" t="s">
        <v>1082</v>
      </c>
      <c r="M23" s="10" t="s">
        <v>1082</v>
      </c>
      <c r="N23" s="10" t="s">
        <v>1082</v>
      </c>
      <c r="O23" s="10" t="s">
        <v>1082</v>
      </c>
      <c r="P23" s="10" t="s">
        <v>1082</v>
      </c>
      <c r="Q23" s="281" t="s">
        <v>1082</v>
      </c>
      <c r="R23" s="10" t="s">
        <v>1082</v>
      </c>
      <c r="S23" s="10" t="s">
        <v>1082</v>
      </c>
      <c r="T23" s="10" t="s">
        <v>1082</v>
      </c>
      <c r="U23" s="10" t="s">
        <v>1082</v>
      </c>
      <c r="V23" s="10" t="s">
        <v>1082</v>
      </c>
      <c r="W23" s="10" t="s">
        <v>1082</v>
      </c>
      <c r="X23" s="10" t="s">
        <v>1082</v>
      </c>
      <c r="Y23" s="10" t="s">
        <v>1082</v>
      </c>
      <c r="Z23" s="10" t="s">
        <v>1082</v>
      </c>
      <c r="AA23" s="10" t="s">
        <v>1082</v>
      </c>
      <c r="AB23" s="10" t="s">
        <v>1082</v>
      </c>
      <c r="AC23" s="10" t="s">
        <v>1082</v>
      </c>
      <c r="AD23" s="154" t="s">
        <v>1082</v>
      </c>
      <c r="AE23" s="154" t="s">
        <v>1082</v>
      </c>
      <c r="AF23" s="279" t="s">
        <v>1082</v>
      </c>
      <c r="AG23" s="278" t="s">
        <v>1082</v>
      </c>
      <c r="AH23" s="11" t="s">
        <v>1082</v>
      </c>
      <c r="AI23" s="11" t="s">
        <v>1082</v>
      </c>
      <c r="AJ23" s="11" t="s">
        <v>1082</v>
      </c>
      <c r="AK23" s="13" t="s">
        <v>1082</v>
      </c>
      <c r="AL23" s="278" t="s">
        <v>1082</v>
      </c>
      <c r="AM23" s="11" t="s">
        <v>1082</v>
      </c>
      <c r="AN23" s="11" t="s">
        <v>1082</v>
      </c>
      <c r="AO23" s="154" t="s">
        <v>1082</v>
      </c>
      <c r="AP23" s="154" t="s">
        <v>1082</v>
      </c>
      <c r="AQ23" s="11" t="s">
        <v>1082</v>
      </c>
      <c r="AR23" s="11" t="s">
        <v>1082</v>
      </c>
      <c r="AS23" s="13" t="s">
        <v>1082</v>
      </c>
      <c r="AT23" s="278" t="s">
        <v>1082</v>
      </c>
      <c r="AU23" s="11" t="s">
        <v>1082</v>
      </c>
      <c r="AV23" s="11" t="s">
        <v>1082</v>
      </c>
      <c r="AW23" s="11" t="s">
        <v>1082</v>
      </c>
      <c r="AX23" s="11" t="s">
        <v>1082</v>
      </c>
      <c r="AY23" s="11" t="s">
        <v>1082</v>
      </c>
      <c r="AZ23" s="11" t="s">
        <v>1082</v>
      </c>
      <c r="BA23" s="11" t="s">
        <v>1082</v>
      </c>
      <c r="BB23" s="11" t="s">
        <v>1082</v>
      </c>
      <c r="BC23" s="11" t="s">
        <v>1082</v>
      </c>
      <c r="BD23" s="11" t="s">
        <v>1082</v>
      </c>
      <c r="BE23" s="285" t="s">
        <v>1082</v>
      </c>
      <c r="BF23" s="278" t="s">
        <v>1082</v>
      </c>
      <c r="BG23" s="11" t="s">
        <v>1082</v>
      </c>
      <c r="BH23" s="11" t="s">
        <v>1082</v>
      </c>
      <c r="BI23" s="11" t="s">
        <v>1082</v>
      </c>
      <c r="BJ23" s="11" t="s">
        <v>1082</v>
      </c>
      <c r="BK23" s="11" t="s">
        <v>1082</v>
      </c>
      <c r="BL23" s="13" t="s">
        <v>1082</v>
      </c>
      <c r="BM23" s="284" t="s">
        <v>1082</v>
      </c>
      <c r="BN23" s="11" t="s">
        <v>1082</v>
      </c>
      <c r="BO23" s="11" t="s">
        <v>1082</v>
      </c>
      <c r="BP23" s="13" t="s">
        <v>1082</v>
      </c>
      <c r="BQ23" s="284" t="s">
        <v>1082</v>
      </c>
      <c r="BR23" s="164" t="s">
        <v>1082</v>
      </c>
      <c r="BS23" s="164" t="s">
        <v>1082</v>
      </c>
      <c r="BT23" s="154" t="s">
        <v>1082</v>
      </c>
      <c r="BU23" s="154" t="s">
        <v>1082</v>
      </c>
      <c r="BV23" s="13" t="s">
        <v>1082</v>
      </c>
      <c r="BW23" s="284" t="s">
        <v>1082</v>
      </c>
      <c r="BX23" s="164" t="s">
        <v>1082</v>
      </c>
      <c r="BY23" s="164" t="s">
        <v>1082</v>
      </c>
      <c r="BZ23" s="11" t="s">
        <v>1082</v>
      </c>
      <c r="CA23" s="11" t="s">
        <v>1082</v>
      </c>
      <c r="CB23" s="11" t="s">
        <v>1082</v>
      </c>
      <c r="CC23" s="284" t="s">
        <v>1082</v>
      </c>
      <c r="CD23" s="164" t="s">
        <v>1082</v>
      </c>
      <c r="CE23" s="164" t="s">
        <v>1082</v>
      </c>
      <c r="CF23" s="164" t="s">
        <v>1082</v>
      </c>
      <c r="CG23" s="164" t="s">
        <v>1082</v>
      </c>
      <c r="CH23" s="285" t="s">
        <v>1082</v>
      </c>
      <c r="CI23" s="289"/>
      <c r="CJ23" s="292"/>
      <c r="CK23" s="292"/>
      <c r="CL23" s="292"/>
      <c r="CM23" s="292"/>
      <c r="CN23" s="292"/>
      <c r="CO23" s="292"/>
      <c r="CP23" s="292"/>
      <c r="CQ23" s="292"/>
      <c r="CR23" s="292"/>
      <c r="CS23" s="292"/>
      <c r="CT23" s="292"/>
      <c r="CU23" s="292"/>
      <c r="CV23" s="292"/>
      <c r="CW23" s="292"/>
      <c r="CX23" s="292"/>
      <c r="CY23" s="292"/>
      <c r="CZ23" s="292"/>
      <c r="DA23" s="292"/>
    </row>
    <row r="24">
      <c r="A24" s="10" t="s">
        <v>1128</v>
      </c>
      <c r="B24" s="10" t="s">
        <v>1129</v>
      </c>
      <c r="C24" s="289">
        <v>0.0</v>
      </c>
      <c r="D24" s="292">
        <v>0.0</v>
      </c>
      <c r="E24" s="292">
        <v>0.0</v>
      </c>
      <c r="F24" s="292">
        <v>0.0</v>
      </c>
      <c r="G24" s="292">
        <v>0.0</v>
      </c>
      <c r="H24" s="292">
        <v>0.0</v>
      </c>
      <c r="I24" s="292">
        <v>0.0</v>
      </c>
      <c r="J24" s="292">
        <v>0.0</v>
      </c>
      <c r="K24" s="292">
        <v>0.0</v>
      </c>
      <c r="L24" s="292">
        <v>0.0</v>
      </c>
      <c r="M24" s="292">
        <v>0.0</v>
      </c>
      <c r="N24" s="292">
        <v>0.0</v>
      </c>
      <c r="O24" s="292">
        <v>0.0</v>
      </c>
      <c r="P24" s="292">
        <v>0.0</v>
      </c>
      <c r="Q24" s="290">
        <v>0.0</v>
      </c>
      <c r="R24" s="292">
        <v>0.0</v>
      </c>
      <c r="S24" s="292">
        <v>0.0</v>
      </c>
      <c r="T24" s="292">
        <v>0.0</v>
      </c>
      <c r="U24" s="292">
        <v>0.0</v>
      </c>
      <c r="V24" s="292">
        <v>0.0</v>
      </c>
      <c r="W24" s="292">
        <v>0.0</v>
      </c>
      <c r="X24" s="292">
        <v>0.0</v>
      </c>
      <c r="Y24" s="292">
        <v>0.0</v>
      </c>
      <c r="Z24" s="292">
        <v>0.0</v>
      </c>
      <c r="AA24" s="292">
        <v>0.0</v>
      </c>
      <c r="AB24" s="292">
        <v>0.0</v>
      </c>
      <c r="AC24" s="292">
        <v>0.0</v>
      </c>
      <c r="AD24" s="178">
        <v>0.0</v>
      </c>
      <c r="AE24" s="178">
        <v>0.0</v>
      </c>
      <c r="AF24" s="316">
        <v>0.0</v>
      </c>
      <c r="AG24" s="289"/>
      <c r="AH24" s="191">
        <v>0.0</v>
      </c>
      <c r="AI24" s="191">
        <v>0.0</v>
      </c>
      <c r="AJ24" s="191">
        <v>0.0</v>
      </c>
      <c r="AK24" s="290"/>
      <c r="AL24" s="289">
        <v>0.0</v>
      </c>
      <c r="AM24" s="292">
        <v>0.0</v>
      </c>
      <c r="AN24" s="292">
        <v>0.0</v>
      </c>
      <c r="AO24" s="286">
        <v>0.0</v>
      </c>
      <c r="AP24" s="286">
        <v>0.0</v>
      </c>
      <c r="AQ24" s="2">
        <v>0.0</v>
      </c>
      <c r="AR24" s="292"/>
      <c r="AS24" s="290">
        <v>0.0</v>
      </c>
      <c r="AT24" s="289">
        <v>0.0</v>
      </c>
      <c r="AU24" s="292">
        <v>0.0</v>
      </c>
      <c r="AV24" s="292">
        <v>0.0</v>
      </c>
      <c r="AW24" s="292">
        <v>0.0</v>
      </c>
      <c r="AX24" s="292">
        <v>0.0</v>
      </c>
      <c r="AY24" s="292">
        <v>0.0</v>
      </c>
      <c r="AZ24" s="292">
        <v>0.0</v>
      </c>
      <c r="BA24" s="292">
        <v>0.0</v>
      </c>
      <c r="BB24" s="292">
        <v>0.0</v>
      </c>
      <c r="BC24" s="201">
        <v>0.05</v>
      </c>
      <c r="BD24" s="201">
        <v>0.05</v>
      </c>
      <c r="BE24" s="277">
        <v>0.05</v>
      </c>
      <c r="BF24" s="289">
        <v>0.0</v>
      </c>
      <c r="BG24" s="292">
        <v>0.0</v>
      </c>
      <c r="BH24" s="292">
        <v>0.0</v>
      </c>
      <c r="BI24" s="292">
        <v>0.0</v>
      </c>
      <c r="BJ24" s="292">
        <v>0.0</v>
      </c>
      <c r="BK24" s="292">
        <v>0.0</v>
      </c>
      <c r="BL24" s="290">
        <v>0.0</v>
      </c>
      <c r="BM24" s="289">
        <v>0.0</v>
      </c>
      <c r="BN24" s="292"/>
      <c r="BO24" s="292"/>
      <c r="BP24" s="290"/>
      <c r="BQ24" s="289">
        <v>0.0</v>
      </c>
      <c r="BR24" s="292">
        <v>0.0</v>
      </c>
      <c r="BS24" s="292">
        <v>0.0</v>
      </c>
      <c r="BT24" s="292">
        <v>0.0</v>
      </c>
      <c r="BU24" s="292">
        <v>0.0</v>
      </c>
      <c r="BV24" s="290">
        <v>0.0</v>
      </c>
      <c r="BW24" s="276">
        <v>0.2</v>
      </c>
      <c r="BX24" s="201">
        <v>0.2</v>
      </c>
      <c r="BY24" s="201">
        <v>0.2</v>
      </c>
      <c r="BZ24" s="292">
        <v>0.0</v>
      </c>
      <c r="CA24" s="292"/>
      <c r="CB24" s="292"/>
      <c r="CC24" s="276">
        <v>0.1</v>
      </c>
      <c r="CD24" s="201">
        <v>0.1</v>
      </c>
      <c r="CE24" s="201">
        <v>0.1</v>
      </c>
      <c r="CF24" s="191">
        <v>0.1</v>
      </c>
      <c r="CG24" s="191">
        <v>0.1</v>
      </c>
      <c r="CH24" s="324">
        <v>0.1</v>
      </c>
      <c r="CI24" s="289"/>
      <c r="CJ24" s="292"/>
      <c r="CK24" s="292"/>
      <c r="CL24" s="292"/>
      <c r="CM24" s="292"/>
      <c r="CN24" s="292"/>
      <c r="CO24" s="292"/>
      <c r="CP24" s="292"/>
      <c r="CQ24" s="292"/>
      <c r="CR24" s="292"/>
      <c r="CS24" s="292"/>
      <c r="CT24" s="292"/>
      <c r="CU24" s="292"/>
      <c r="CV24" s="292"/>
      <c r="CW24" s="292"/>
      <c r="CX24" s="292"/>
      <c r="CY24" s="292"/>
      <c r="CZ24" s="292"/>
      <c r="DA24" s="292"/>
    </row>
    <row r="25">
      <c r="A25" s="10" t="s">
        <v>1130</v>
      </c>
      <c r="B25" s="163"/>
      <c r="C25" s="280" t="s">
        <v>1131</v>
      </c>
      <c r="D25" s="10" t="s">
        <v>1131</v>
      </c>
      <c r="E25" s="10" t="s">
        <v>1131</v>
      </c>
      <c r="F25" s="10" t="s">
        <v>1131</v>
      </c>
      <c r="G25" s="10" t="s">
        <v>1131</v>
      </c>
      <c r="H25" s="10" t="s">
        <v>1131</v>
      </c>
      <c r="I25" s="10" t="s">
        <v>1131</v>
      </c>
      <c r="J25" s="10" t="s">
        <v>1131</v>
      </c>
      <c r="K25" s="10" t="s">
        <v>1131</v>
      </c>
      <c r="L25" s="10" t="s">
        <v>1131</v>
      </c>
      <c r="M25" s="10" t="s">
        <v>1131</v>
      </c>
      <c r="N25" s="10" t="s">
        <v>1131</v>
      </c>
      <c r="O25" s="10" t="s">
        <v>1131</v>
      </c>
      <c r="P25" s="10" t="s">
        <v>1131</v>
      </c>
      <c r="Q25" s="281" t="s">
        <v>1131</v>
      </c>
      <c r="R25" s="10" t="s">
        <v>1131</v>
      </c>
      <c r="S25" s="10" t="s">
        <v>1131</v>
      </c>
      <c r="T25" s="10" t="s">
        <v>1131</v>
      </c>
      <c r="U25" s="10" t="s">
        <v>1131</v>
      </c>
      <c r="V25" s="10" t="s">
        <v>1131</v>
      </c>
      <c r="W25" s="10" t="s">
        <v>1131</v>
      </c>
      <c r="X25" s="10" t="s">
        <v>1131</v>
      </c>
      <c r="Y25" s="10" t="s">
        <v>1131</v>
      </c>
      <c r="Z25" s="10" t="s">
        <v>1131</v>
      </c>
      <c r="AA25" s="10" t="s">
        <v>1131</v>
      </c>
      <c r="AB25" s="10" t="s">
        <v>1131</v>
      </c>
      <c r="AC25" s="10" t="s">
        <v>1131</v>
      </c>
      <c r="AD25" s="10" t="s">
        <v>1131</v>
      </c>
      <c r="AE25" s="10" t="s">
        <v>1131</v>
      </c>
      <c r="AF25" s="281" t="s">
        <v>1131</v>
      </c>
      <c r="AG25" s="280"/>
      <c r="AH25" s="10" t="s">
        <v>1131</v>
      </c>
      <c r="AI25" s="10" t="s">
        <v>1131</v>
      </c>
      <c r="AJ25" s="10" t="s">
        <v>1131</v>
      </c>
      <c r="AK25" s="281"/>
      <c r="AL25" s="280" t="s">
        <v>1131</v>
      </c>
      <c r="AM25" s="10" t="s">
        <v>1131</v>
      </c>
      <c r="AN25" s="10" t="s">
        <v>1131</v>
      </c>
      <c r="AO25" s="10" t="s">
        <v>1131</v>
      </c>
      <c r="AP25" s="10" t="s">
        <v>1131</v>
      </c>
      <c r="AQ25" s="10" t="s">
        <v>1131</v>
      </c>
      <c r="AR25" s="10"/>
      <c r="AS25" s="281" t="s">
        <v>1132</v>
      </c>
      <c r="AT25" s="280" t="s">
        <v>1132</v>
      </c>
      <c r="AU25" s="10" t="s">
        <v>1132</v>
      </c>
      <c r="AV25" s="10" t="s">
        <v>1132</v>
      </c>
      <c r="AW25" s="10" t="s">
        <v>1131</v>
      </c>
      <c r="AX25" s="10" t="s">
        <v>1131</v>
      </c>
      <c r="AY25" s="10" t="s">
        <v>1131</v>
      </c>
      <c r="AZ25" s="10" t="s">
        <v>1131</v>
      </c>
      <c r="BA25" s="10" t="s">
        <v>1131</v>
      </c>
      <c r="BB25" s="10" t="s">
        <v>1131</v>
      </c>
      <c r="BC25" s="10" t="s">
        <v>1132</v>
      </c>
      <c r="BD25" s="10" t="s">
        <v>1132</v>
      </c>
      <c r="BE25" s="281" t="s">
        <v>1132</v>
      </c>
      <c r="BF25" s="280" t="s">
        <v>1131</v>
      </c>
      <c r="BG25" s="10" t="s">
        <v>1131</v>
      </c>
      <c r="BH25" s="10" t="s">
        <v>1131</v>
      </c>
      <c r="BI25" s="10" t="s">
        <v>1131</v>
      </c>
      <c r="BJ25" s="10" t="s">
        <v>1131</v>
      </c>
      <c r="BK25" s="10" t="s">
        <v>1131</v>
      </c>
      <c r="BL25" s="281" t="s">
        <v>1131</v>
      </c>
      <c r="BM25" s="280" t="s">
        <v>1132</v>
      </c>
      <c r="BN25" s="10"/>
      <c r="BO25" s="10"/>
      <c r="BP25" s="281"/>
      <c r="BQ25" s="280" t="s">
        <v>1132</v>
      </c>
      <c r="BR25" s="10" t="s">
        <v>1132</v>
      </c>
      <c r="BS25" s="10" t="s">
        <v>1132</v>
      </c>
      <c r="BT25" s="10" t="s">
        <v>1132</v>
      </c>
      <c r="BU25" s="10" t="s">
        <v>1132</v>
      </c>
      <c r="BV25" s="281" t="s">
        <v>1132</v>
      </c>
      <c r="BW25" s="280" t="s">
        <v>1132</v>
      </c>
      <c r="BX25" s="10" t="s">
        <v>1132</v>
      </c>
      <c r="BY25" s="10" t="s">
        <v>1132</v>
      </c>
      <c r="BZ25" s="10" t="s">
        <v>1132</v>
      </c>
      <c r="CA25" s="10"/>
      <c r="CB25" s="10"/>
      <c r="CC25" s="280" t="s">
        <v>1132</v>
      </c>
      <c r="CD25" s="10" t="s">
        <v>1132</v>
      </c>
      <c r="CE25" s="10" t="s">
        <v>1132</v>
      </c>
      <c r="CF25" s="10" t="s">
        <v>1132</v>
      </c>
      <c r="CG25" s="10" t="s">
        <v>1132</v>
      </c>
      <c r="CH25" s="281" t="s">
        <v>1132</v>
      </c>
      <c r="CI25" s="280"/>
      <c r="CJ25" s="10"/>
      <c r="CK25" s="10"/>
      <c r="CL25" s="10"/>
      <c r="CM25" s="10"/>
      <c r="CN25" s="10"/>
      <c r="CO25" s="10"/>
      <c r="CP25" s="10"/>
      <c r="CQ25" s="10"/>
      <c r="CR25" s="10"/>
      <c r="CS25" s="10"/>
      <c r="CT25" s="10"/>
      <c r="CU25" s="10"/>
      <c r="CV25" s="10"/>
      <c r="CW25" s="10"/>
      <c r="CX25" s="10"/>
      <c r="CY25" s="10"/>
      <c r="CZ25" s="10"/>
      <c r="DA25" s="10"/>
    </row>
    <row r="26">
      <c r="A26" s="10" t="s">
        <v>1133</v>
      </c>
      <c r="B26" s="10" t="s">
        <v>1134</v>
      </c>
      <c r="C26" s="289">
        <v>0.0</v>
      </c>
      <c r="D26" s="292">
        <v>0.0</v>
      </c>
      <c r="E26" s="292">
        <v>0.0</v>
      </c>
      <c r="F26" s="292">
        <v>0.0</v>
      </c>
      <c r="G26" s="292">
        <v>0.0</v>
      </c>
      <c r="H26" s="292">
        <v>0.0</v>
      </c>
      <c r="I26" s="292">
        <v>0.0</v>
      </c>
      <c r="J26" s="292">
        <v>0.0</v>
      </c>
      <c r="K26" s="292">
        <v>0.0</v>
      </c>
      <c r="L26" s="292">
        <v>0.0</v>
      </c>
      <c r="M26" s="292">
        <v>0.0</v>
      </c>
      <c r="N26" s="292">
        <v>0.0</v>
      </c>
      <c r="O26" s="292">
        <v>0.0</v>
      </c>
      <c r="P26" s="292">
        <v>0.0</v>
      </c>
      <c r="Q26" s="290">
        <v>0.0</v>
      </c>
      <c r="R26" s="292">
        <v>0.0</v>
      </c>
      <c r="S26" s="292">
        <v>0.0</v>
      </c>
      <c r="T26" s="292">
        <v>0.0</v>
      </c>
      <c r="U26" s="292">
        <v>0.0</v>
      </c>
      <c r="V26" s="292">
        <v>0.0</v>
      </c>
      <c r="W26" s="292">
        <v>0.0</v>
      </c>
      <c r="X26" s="292">
        <v>0.0</v>
      </c>
      <c r="Y26" s="292">
        <v>0.0</v>
      </c>
      <c r="Z26" s="292">
        <v>0.0</v>
      </c>
      <c r="AA26" s="292">
        <v>0.0</v>
      </c>
      <c r="AB26" s="292">
        <v>0.0</v>
      </c>
      <c r="AC26" s="292">
        <v>0.0</v>
      </c>
      <c r="AD26" s="178">
        <v>0.0</v>
      </c>
      <c r="AE26" s="178">
        <v>0.0</v>
      </c>
      <c r="AF26" s="316">
        <v>0.0</v>
      </c>
      <c r="AG26" s="289"/>
      <c r="AH26" s="292">
        <v>0.0</v>
      </c>
      <c r="AI26" s="292">
        <v>0.0</v>
      </c>
      <c r="AJ26" s="292">
        <v>0.0</v>
      </c>
      <c r="AK26" s="290"/>
      <c r="AL26" s="276">
        <v>8000.0</v>
      </c>
      <c r="AM26" s="201">
        <v>8000.0</v>
      </c>
      <c r="AN26" s="201">
        <v>8000.0</v>
      </c>
      <c r="AO26" s="297">
        <v>0.0</v>
      </c>
      <c r="AP26" s="297">
        <v>0.0</v>
      </c>
      <c r="AQ26" s="297">
        <v>0.0</v>
      </c>
      <c r="AR26" s="292"/>
      <c r="AS26" s="290">
        <v>0.0</v>
      </c>
      <c r="AT26" s="289">
        <v>0.0</v>
      </c>
      <c r="AU26" s="292">
        <v>0.0</v>
      </c>
      <c r="AV26" s="292">
        <v>0.0</v>
      </c>
      <c r="AW26" s="292">
        <v>0.0</v>
      </c>
      <c r="AX26" s="292">
        <v>0.0</v>
      </c>
      <c r="AY26" s="292">
        <v>0.0</v>
      </c>
      <c r="AZ26" s="292">
        <v>0.0</v>
      </c>
      <c r="BA26" s="292">
        <v>0.0</v>
      </c>
      <c r="BB26" s="292">
        <v>0.0</v>
      </c>
      <c r="BC26" s="292">
        <v>0.0</v>
      </c>
      <c r="BD26" s="292">
        <v>0.0</v>
      </c>
      <c r="BE26" s="290">
        <v>0.0</v>
      </c>
      <c r="BF26" s="289">
        <v>0.0</v>
      </c>
      <c r="BG26" s="292">
        <v>0.0</v>
      </c>
      <c r="BH26" s="292">
        <v>0.0</v>
      </c>
      <c r="BI26" s="292">
        <v>0.0</v>
      </c>
      <c r="BJ26" s="292">
        <v>0.0</v>
      </c>
      <c r="BK26" s="292">
        <v>0.0</v>
      </c>
      <c r="BL26" s="290">
        <v>0.0</v>
      </c>
      <c r="BM26" s="289">
        <v>0.0</v>
      </c>
      <c r="BN26" s="292"/>
      <c r="BO26" s="292"/>
      <c r="BP26" s="290"/>
      <c r="BQ26" s="289">
        <v>0.0</v>
      </c>
      <c r="BR26" s="292">
        <v>0.0</v>
      </c>
      <c r="BS26" s="292">
        <v>0.0</v>
      </c>
      <c r="BT26" s="292">
        <v>0.0</v>
      </c>
      <c r="BU26" s="292">
        <v>0.0</v>
      </c>
      <c r="BV26" s="290">
        <v>0.0</v>
      </c>
      <c r="BW26" s="289">
        <v>0.0</v>
      </c>
      <c r="BX26" s="292">
        <v>0.0</v>
      </c>
      <c r="BY26" s="292">
        <v>0.0</v>
      </c>
      <c r="BZ26" s="292">
        <v>0.0</v>
      </c>
      <c r="CA26" s="292"/>
      <c r="CB26" s="292"/>
      <c r="CC26" s="289">
        <v>0.0</v>
      </c>
      <c r="CD26" s="292">
        <v>0.0</v>
      </c>
      <c r="CE26" s="292">
        <v>0.0</v>
      </c>
      <c r="CF26" s="292">
        <v>0.0</v>
      </c>
      <c r="CG26" s="292">
        <v>0.0</v>
      </c>
      <c r="CH26" s="290">
        <v>0.0</v>
      </c>
      <c r="CI26" s="289"/>
      <c r="CJ26" s="292"/>
      <c r="CK26" s="292"/>
      <c r="CL26" s="292"/>
      <c r="CM26" s="292"/>
      <c r="CN26" s="292"/>
      <c r="CO26" s="292"/>
      <c r="CP26" s="292"/>
      <c r="CQ26" s="292"/>
      <c r="CR26" s="292"/>
      <c r="CS26" s="292"/>
      <c r="CT26" s="292"/>
      <c r="CU26" s="292"/>
      <c r="CV26" s="292"/>
      <c r="CW26" s="292"/>
      <c r="CX26" s="292"/>
      <c r="CY26" s="292"/>
      <c r="CZ26" s="292"/>
      <c r="DA26" s="292"/>
    </row>
    <row r="27">
      <c r="A27" s="10" t="s">
        <v>1135</v>
      </c>
      <c r="B27" s="163"/>
      <c r="C27" s="280" t="s">
        <v>1136</v>
      </c>
      <c r="D27" s="10" t="s">
        <v>1136</v>
      </c>
      <c r="E27" s="10" t="s">
        <v>1136</v>
      </c>
      <c r="F27" s="10" t="s">
        <v>1136</v>
      </c>
      <c r="G27" s="10" t="s">
        <v>1136</v>
      </c>
      <c r="H27" s="10" t="s">
        <v>1136</v>
      </c>
      <c r="I27" s="10" t="s">
        <v>1136</v>
      </c>
      <c r="J27" s="10" t="s">
        <v>1136</v>
      </c>
      <c r="K27" s="10" t="s">
        <v>1136</v>
      </c>
      <c r="L27" s="10" t="s">
        <v>1136</v>
      </c>
      <c r="M27" s="10" t="s">
        <v>1136</v>
      </c>
      <c r="N27" s="10" t="s">
        <v>1136</v>
      </c>
      <c r="O27" s="10" t="s">
        <v>1136</v>
      </c>
      <c r="P27" s="10" t="s">
        <v>1136</v>
      </c>
      <c r="Q27" s="281" t="s">
        <v>1136</v>
      </c>
      <c r="R27" s="10" t="s">
        <v>1136</v>
      </c>
      <c r="S27" s="10" t="s">
        <v>1136</v>
      </c>
      <c r="T27" s="10" t="s">
        <v>1136</v>
      </c>
      <c r="U27" s="10" t="s">
        <v>1136</v>
      </c>
      <c r="V27" s="10" t="s">
        <v>1136</v>
      </c>
      <c r="W27" s="10" t="s">
        <v>1136</v>
      </c>
      <c r="X27" s="10" t="s">
        <v>1136</v>
      </c>
      <c r="Y27" s="10" t="s">
        <v>1136</v>
      </c>
      <c r="Z27" s="10" t="s">
        <v>1136</v>
      </c>
      <c r="AA27" s="10" t="s">
        <v>1136</v>
      </c>
      <c r="AB27" s="10" t="s">
        <v>1136</v>
      </c>
      <c r="AC27" s="10" t="s">
        <v>1136</v>
      </c>
      <c r="AD27" s="10" t="s">
        <v>1136</v>
      </c>
      <c r="AE27" s="10" t="s">
        <v>1136</v>
      </c>
      <c r="AF27" s="281" t="s">
        <v>1136</v>
      </c>
      <c r="AG27" s="280"/>
      <c r="AH27" s="10" t="s">
        <v>1136</v>
      </c>
      <c r="AI27" s="10" t="s">
        <v>1136</v>
      </c>
      <c r="AJ27" s="10" t="s">
        <v>1136</v>
      </c>
      <c r="AK27" s="281"/>
      <c r="AL27" s="280" t="s">
        <v>1136</v>
      </c>
      <c r="AM27" s="10" t="s">
        <v>1136</v>
      </c>
      <c r="AN27" s="10" t="s">
        <v>1136</v>
      </c>
      <c r="AO27" s="10" t="s">
        <v>1136</v>
      </c>
      <c r="AP27" s="10" t="s">
        <v>1136</v>
      </c>
      <c r="AQ27" s="10" t="s">
        <v>1136</v>
      </c>
      <c r="AR27" s="10"/>
      <c r="AS27" s="281" t="s">
        <v>1136</v>
      </c>
      <c r="AT27" s="280" t="s">
        <v>1136</v>
      </c>
      <c r="AU27" s="10" t="s">
        <v>1136</v>
      </c>
      <c r="AV27" s="10" t="s">
        <v>1136</v>
      </c>
      <c r="AW27" s="10" t="s">
        <v>1136</v>
      </c>
      <c r="AX27" s="10" t="s">
        <v>1136</v>
      </c>
      <c r="AY27" s="10" t="s">
        <v>1136</v>
      </c>
      <c r="AZ27" s="10" t="s">
        <v>1136</v>
      </c>
      <c r="BA27" s="10" t="s">
        <v>1136</v>
      </c>
      <c r="BB27" s="10" t="s">
        <v>1136</v>
      </c>
      <c r="BC27" s="10" t="s">
        <v>1136</v>
      </c>
      <c r="BD27" s="10" t="s">
        <v>1136</v>
      </c>
      <c r="BE27" s="281" t="s">
        <v>1136</v>
      </c>
      <c r="BF27" s="280" t="s">
        <v>1136</v>
      </c>
      <c r="BG27" s="10" t="s">
        <v>1136</v>
      </c>
      <c r="BH27" s="10" t="s">
        <v>1136</v>
      </c>
      <c r="BI27" s="10" t="s">
        <v>1136</v>
      </c>
      <c r="BJ27" s="10" t="s">
        <v>1136</v>
      </c>
      <c r="BK27" s="10" t="s">
        <v>1136</v>
      </c>
      <c r="BL27" s="281" t="s">
        <v>1136</v>
      </c>
      <c r="BM27" s="280" t="s">
        <v>1136</v>
      </c>
      <c r="BN27" s="10"/>
      <c r="BO27" s="10"/>
      <c r="BP27" s="281"/>
      <c r="BQ27" s="280" t="s">
        <v>1136</v>
      </c>
      <c r="BR27" s="10" t="s">
        <v>1136</v>
      </c>
      <c r="BS27" s="10" t="s">
        <v>1136</v>
      </c>
      <c r="BT27" s="10" t="s">
        <v>1136</v>
      </c>
      <c r="BU27" s="10" t="s">
        <v>1136</v>
      </c>
      <c r="BV27" s="281" t="s">
        <v>1136</v>
      </c>
      <c r="BW27" s="280" t="s">
        <v>1136</v>
      </c>
      <c r="BX27" s="10" t="s">
        <v>1136</v>
      </c>
      <c r="BY27" s="10" t="s">
        <v>1136</v>
      </c>
      <c r="BZ27" s="10" t="s">
        <v>1136</v>
      </c>
      <c r="CA27" s="10"/>
      <c r="CB27" s="10"/>
      <c r="CC27" s="280" t="s">
        <v>1136</v>
      </c>
      <c r="CD27" s="10" t="s">
        <v>1136</v>
      </c>
      <c r="CE27" s="10" t="s">
        <v>1136</v>
      </c>
      <c r="CF27" s="10" t="s">
        <v>1136</v>
      </c>
      <c r="CG27" s="10" t="s">
        <v>1136</v>
      </c>
      <c r="CH27" s="281" t="s">
        <v>1136</v>
      </c>
      <c r="CI27" s="280"/>
      <c r="CJ27" s="10"/>
      <c r="CK27" s="10"/>
      <c r="CL27" s="10"/>
      <c r="CM27" s="10"/>
      <c r="CN27" s="10"/>
      <c r="CO27" s="10"/>
      <c r="CP27" s="10"/>
      <c r="CQ27" s="10"/>
      <c r="CR27" s="10"/>
      <c r="CS27" s="10"/>
      <c r="CT27" s="10"/>
      <c r="CU27" s="10"/>
      <c r="CV27" s="10"/>
      <c r="CW27" s="10"/>
      <c r="CX27" s="10"/>
      <c r="CY27" s="10"/>
      <c r="CZ27" s="10"/>
      <c r="DA27" s="10"/>
    </row>
    <row r="28">
      <c r="A28" s="10" t="s">
        <v>1137</v>
      </c>
      <c r="B28" s="10" t="s">
        <v>1138</v>
      </c>
      <c r="C28" s="289">
        <v>0.0</v>
      </c>
      <c r="D28" s="292">
        <v>0.0</v>
      </c>
      <c r="E28" s="292">
        <v>0.0</v>
      </c>
      <c r="F28" s="292">
        <v>0.0</v>
      </c>
      <c r="G28" s="292">
        <v>0.0</v>
      </c>
      <c r="H28" s="292">
        <v>0.0</v>
      </c>
      <c r="I28" s="292">
        <v>0.0</v>
      </c>
      <c r="J28" s="292">
        <v>0.0</v>
      </c>
      <c r="K28" s="292">
        <v>0.0</v>
      </c>
      <c r="L28" s="292">
        <v>0.0</v>
      </c>
      <c r="M28" s="292">
        <v>0.0</v>
      </c>
      <c r="N28" s="292">
        <v>0.0</v>
      </c>
      <c r="O28" s="292">
        <v>0.0</v>
      </c>
      <c r="P28" s="292">
        <v>0.0</v>
      </c>
      <c r="Q28" s="290">
        <v>0.0</v>
      </c>
      <c r="R28" s="292">
        <v>0.0</v>
      </c>
      <c r="S28" s="292">
        <v>0.0</v>
      </c>
      <c r="T28" s="292">
        <v>0.0</v>
      </c>
      <c r="U28" s="292">
        <v>0.0</v>
      </c>
      <c r="V28" s="292">
        <v>0.0</v>
      </c>
      <c r="W28" s="292">
        <v>0.0</v>
      </c>
      <c r="X28" s="292">
        <v>0.0</v>
      </c>
      <c r="Y28" s="292">
        <v>0.0</v>
      </c>
      <c r="Z28" s="292">
        <v>0.0</v>
      </c>
      <c r="AA28" s="297">
        <v>208.0</v>
      </c>
      <c r="AB28" s="297">
        <v>128.0</v>
      </c>
      <c r="AC28" s="297">
        <v>80.0</v>
      </c>
      <c r="AD28" s="178">
        <v>0.0</v>
      </c>
      <c r="AE28" s="178">
        <v>0.0</v>
      </c>
      <c r="AF28" s="316">
        <v>0.0</v>
      </c>
      <c r="AG28" s="289"/>
      <c r="AH28" s="191">
        <v>150.0</v>
      </c>
      <c r="AI28" s="191">
        <v>150.0</v>
      </c>
      <c r="AJ28" s="191">
        <v>150.0</v>
      </c>
      <c r="AK28" s="290"/>
      <c r="AL28" s="289">
        <v>0.0</v>
      </c>
      <c r="AM28" s="292">
        <v>0.0</v>
      </c>
      <c r="AN28" s="292">
        <v>0.0</v>
      </c>
      <c r="AO28" s="286">
        <v>30.0</v>
      </c>
      <c r="AP28" s="286">
        <v>30.0</v>
      </c>
      <c r="AQ28" s="2">
        <v>30.0</v>
      </c>
      <c r="AR28" s="292"/>
      <c r="AS28" s="298">
        <v>2.0</v>
      </c>
      <c r="AT28" s="289">
        <v>0.0</v>
      </c>
      <c r="AU28" s="292">
        <v>0.0</v>
      </c>
      <c r="AV28" s="292">
        <v>0.0</v>
      </c>
      <c r="AW28" s="292">
        <v>0.0</v>
      </c>
      <c r="AX28" s="292">
        <v>0.0</v>
      </c>
      <c r="AY28" s="292">
        <v>0.0</v>
      </c>
      <c r="AZ28" s="292">
        <v>0.0</v>
      </c>
      <c r="BA28" s="292">
        <v>0.0</v>
      </c>
      <c r="BB28" s="292">
        <v>0.0</v>
      </c>
      <c r="BC28" s="201">
        <v>2.0</v>
      </c>
      <c r="BD28" s="201">
        <v>2.0</v>
      </c>
      <c r="BE28" s="277">
        <v>2.0</v>
      </c>
      <c r="BF28" s="289">
        <v>0.0</v>
      </c>
      <c r="BG28" s="292">
        <v>0.0</v>
      </c>
      <c r="BH28" s="292">
        <v>0.0</v>
      </c>
      <c r="BI28" s="292">
        <v>0.0</v>
      </c>
      <c r="BJ28" s="292">
        <v>0.0</v>
      </c>
      <c r="BK28" s="292">
        <v>0.0</v>
      </c>
      <c r="BL28" s="290">
        <v>0.0</v>
      </c>
      <c r="BM28" s="299">
        <v>1.0</v>
      </c>
      <c r="BN28" s="292"/>
      <c r="BO28" s="292"/>
      <c r="BP28" s="290"/>
      <c r="BQ28" s="299">
        <v>2.0</v>
      </c>
      <c r="BR28" s="301">
        <v>2.0</v>
      </c>
      <c r="BS28" s="301">
        <v>2.0</v>
      </c>
      <c r="BT28" s="292">
        <v>0.0</v>
      </c>
      <c r="BU28" s="292">
        <v>0.0</v>
      </c>
      <c r="BV28" s="290">
        <v>0.0</v>
      </c>
      <c r="BW28" s="276">
        <v>1.0</v>
      </c>
      <c r="BX28" s="201">
        <v>1.0</v>
      </c>
      <c r="BY28" s="201">
        <v>1.0</v>
      </c>
      <c r="BZ28" s="301">
        <v>1.0</v>
      </c>
      <c r="CA28" s="292"/>
      <c r="CB28" s="292"/>
      <c r="CC28" s="276">
        <v>0.5</v>
      </c>
      <c r="CD28" s="201">
        <v>0.5</v>
      </c>
      <c r="CE28" s="201">
        <v>0.5</v>
      </c>
      <c r="CF28" s="201">
        <v>0.5</v>
      </c>
      <c r="CG28" s="201">
        <v>0.5</v>
      </c>
      <c r="CH28" s="277">
        <v>0.5</v>
      </c>
      <c r="CI28" s="289"/>
      <c r="CJ28" s="292"/>
      <c r="CK28" s="292"/>
      <c r="CL28" s="292"/>
      <c r="CM28" s="292"/>
      <c r="CN28" s="292"/>
      <c r="CO28" s="292"/>
      <c r="CP28" s="292"/>
      <c r="CQ28" s="292"/>
      <c r="CR28" s="292"/>
      <c r="CS28" s="292"/>
      <c r="CT28" s="292"/>
      <c r="CU28" s="292"/>
      <c r="CV28" s="292"/>
      <c r="CW28" s="292"/>
      <c r="CX28" s="292"/>
      <c r="CY28" s="292"/>
      <c r="CZ28" s="292"/>
      <c r="DA28" s="292"/>
    </row>
    <row r="29">
      <c r="A29" s="306" t="s">
        <v>1139</v>
      </c>
      <c r="B29" s="167"/>
      <c r="C29" s="325" t="s">
        <v>1140</v>
      </c>
      <c r="D29" s="306" t="s">
        <v>1140</v>
      </c>
      <c r="E29" s="306" t="s">
        <v>1140</v>
      </c>
      <c r="F29" s="306" t="s">
        <v>1140</v>
      </c>
      <c r="G29" s="306" t="s">
        <v>1140</v>
      </c>
      <c r="H29" s="306" t="s">
        <v>1140</v>
      </c>
      <c r="I29" s="306" t="s">
        <v>1140</v>
      </c>
      <c r="J29" s="306" t="s">
        <v>1140</v>
      </c>
      <c r="K29" s="306" t="s">
        <v>1140</v>
      </c>
      <c r="L29" s="306" t="s">
        <v>1140</v>
      </c>
      <c r="M29" s="306" t="s">
        <v>1140</v>
      </c>
      <c r="N29" s="306" t="s">
        <v>1140</v>
      </c>
      <c r="O29" s="306" t="s">
        <v>1140</v>
      </c>
      <c r="P29" s="306" t="s">
        <v>1140</v>
      </c>
      <c r="Q29" s="326" t="s">
        <v>1140</v>
      </c>
      <c r="R29" s="306" t="s">
        <v>1140</v>
      </c>
      <c r="S29" s="306" t="s">
        <v>1140</v>
      </c>
      <c r="T29" s="306" t="s">
        <v>1140</v>
      </c>
      <c r="U29" s="306" t="s">
        <v>1140</v>
      </c>
      <c r="V29" s="306" t="s">
        <v>1140</v>
      </c>
      <c r="W29" s="306" t="s">
        <v>1140</v>
      </c>
      <c r="X29" s="306" t="s">
        <v>1140</v>
      </c>
      <c r="Y29" s="306" t="s">
        <v>1140</v>
      </c>
      <c r="Z29" s="306" t="s">
        <v>1140</v>
      </c>
      <c r="AA29" s="306" t="s">
        <v>1140</v>
      </c>
      <c r="AB29" s="306" t="s">
        <v>1140</v>
      </c>
      <c r="AC29" s="306" t="s">
        <v>1140</v>
      </c>
      <c r="AD29" s="156" t="s">
        <v>1141</v>
      </c>
      <c r="AE29" s="156" t="s">
        <v>1141</v>
      </c>
      <c r="AF29" s="327" t="s">
        <v>1141</v>
      </c>
      <c r="AG29" s="325"/>
      <c r="AH29" s="306" t="s">
        <v>1140</v>
      </c>
      <c r="AI29" s="306" t="s">
        <v>1140</v>
      </c>
      <c r="AJ29" s="306" t="s">
        <v>1140</v>
      </c>
      <c r="AK29" s="326"/>
      <c r="AL29" s="325" t="s">
        <v>1140</v>
      </c>
      <c r="AM29" s="306" t="s">
        <v>1140</v>
      </c>
      <c r="AN29" s="306" t="s">
        <v>1140</v>
      </c>
      <c r="AO29" s="306" t="s">
        <v>1140</v>
      </c>
      <c r="AP29" s="306" t="s">
        <v>1140</v>
      </c>
      <c r="AQ29" s="306" t="s">
        <v>1140</v>
      </c>
      <c r="AR29" s="306"/>
      <c r="AS29" s="326" t="s">
        <v>1141</v>
      </c>
      <c r="AT29" s="325" t="s">
        <v>1141</v>
      </c>
      <c r="AU29" s="306" t="s">
        <v>1141</v>
      </c>
      <c r="AV29" s="306" t="s">
        <v>1141</v>
      </c>
      <c r="AW29" s="306" t="s">
        <v>1140</v>
      </c>
      <c r="AX29" s="306" t="s">
        <v>1140</v>
      </c>
      <c r="AY29" s="306" t="s">
        <v>1140</v>
      </c>
      <c r="AZ29" s="306" t="s">
        <v>1140</v>
      </c>
      <c r="BA29" s="306" t="s">
        <v>1140</v>
      </c>
      <c r="BB29" s="306" t="s">
        <v>1140</v>
      </c>
      <c r="BC29" s="306" t="s">
        <v>1141</v>
      </c>
      <c r="BD29" s="306" t="s">
        <v>1141</v>
      </c>
      <c r="BE29" s="326" t="s">
        <v>1141</v>
      </c>
      <c r="BF29" s="325" t="s">
        <v>1140</v>
      </c>
      <c r="BG29" s="306" t="s">
        <v>1140</v>
      </c>
      <c r="BH29" s="306" t="s">
        <v>1140</v>
      </c>
      <c r="BI29" s="306" t="s">
        <v>1140</v>
      </c>
      <c r="BJ29" s="306" t="s">
        <v>1140</v>
      </c>
      <c r="BK29" s="306" t="s">
        <v>1140</v>
      </c>
      <c r="BL29" s="326" t="s">
        <v>1140</v>
      </c>
      <c r="BM29" s="325" t="s">
        <v>1141</v>
      </c>
      <c r="BN29" s="306"/>
      <c r="BO29" s="306"/>
      <c r="BP29" s="326"/>
      <c r="BQ29" s="325" t="s">
        <v>1141</v>
      </c>
      <c r="BR29" s="306" t="s">
        <v>1141</v>
      </c>
      <c r="BS29" s="306" t="s">
        <v>1141</v>
      </c>
      <c r="BT29" s="306" t="s">
        <v>1141</v>
      </c>
      <c r="BU29" s="306" t="s">
        <v>1141</v>
      </c>
      <c r="BV29" s="326" t="s">
        <v>1141</v>
      </c>
      <c r="BW29" s="325" t="s">
        <v>1141</v>
      </c>
      <c r="BX29" s="306" t="s">
        <v>1141</v>
      </c>
      <c r="BY29" s="306" t="s">
        <v>1141</v>
      </c>
      <c r="BZ29" s="306" t="s">
        <v>1141</v>
      </c>
      <c r="CA29" s="306"/>
      <c r="CB29" s="306"/>
      <c r="CC29" s="325" t="s">
        <v>1141</v>
      </c>
      <c r="CD29" s="306" t="s">
        <v>1141</v>
      </c>
      <c r="CE29" s="306" t="s">
        <v>1141</v>
      </c>
      <c r="CF29" s="306" t="s">
        <v>1141</v>
      </c>
      <c r="CG29" s="306" t="s">
        <v>1141</v>
      </c>
      <c r="CH29" s="326" t="s">
        <v>1141</v>
      </c>
      <c r="CI29" s="325"/>
      <c r="CJ29" s="306"/>
      <c r="CK29" s="306"/>
      <c r="CL29" s="306"/>
      <c r="CM29" s="306"/>
      <c r="CN29" s="306"/>
      <c r="CO29" s="306"/>
      <c r="CP29" s="306"/>
      <c r="CQ29" s="306"/>
      <c r="CR29" s="306"/>
      <c r="CS29" s="306"/>
      <c r="CT29" s="306"/>
      <c r="CU29" s="306"/>
      <c r="CV29" s="306"/>
      <c r="CW29" s="306"/>
      <c r="CX29" s="306"/>
      <c r="CY29" s="306"/>
      <c r="CZ29" s="306"/>
      <c r="DA29" s="306"/>
    </row>
    <row r="30">
      <c r="A30" s="175" t="s">
        <v>1142</v>
      </c>
      <c r="B30" s="175" t="s">
        <v>1143</v>
      </c>
      <c r="C30" s="259">
        <v>1300000.0</v>
      </c>
      <c r="D30" s="260">
        <v>1100000.0</v>
      </c>
      <c r="E30" s="260">
        <v>800000.0</v>
      </c>
      <c r="F30" s="260">
        <v>30.0</v>
      </c>
      <c r="G30" s="260">
        <v>18.0</v>
      </c>
      <c r="H30" s="260">
        <v>12.0</v>
      </c>
      <c r="I30" s="260">
        <v>12.0</v>
      </c>
      <c r="J30" s="260">
        <v>8.0</v>
      </c>
      <c r="K30" s="260">
        <v>5.0</v>
      </c>
      <c r="L30" s="328">
        <v>8500000.0</v>
      </c>
      <c r="M30" s="328">
        <v>6900000.0</v>
      </c>
      <c r="N30" s="328">
        <v>5700000.0</v>
      </c>
      <c r="O30" s="328">
        <v>8100000.0</v>
      </c>
      <c r="P30" s="328">
        <v>7500000.0</v>
      </c>
      <c r="Q30" s="329">
        <v>7200000.0</v>
      </c>
      <c r="R30" s="330">
        <v>3.87E7</v>
      </c>
      <c r="S30" s="330">
        <v>2.44E7</v>
      </c>
      <c r="T30" s="330">
        <v>1.45E7</v>
      </c>
      <c r="U30" s="331">
        <v>1.9E7</v>
      </c>
      <c r="V30" s="331">
        <v>1.32E7</v>
      </c>
      <c r="W30" s="331">
        <v>8400000.0</v>
      </c>
      <c r="X30" s="331">
        <v>5700000.0</v>
      </c>
      <c r="Y30" s="331">
        <v>3400000.0</v>
      </c>
      <c r="Z30" s="331">
        <v>2300000.0</v>
      </c>
      <c r="AA30" s="332">
        <v>1.3E7</v>
      </c>
      <c r="AB30" s="332">
        <v>7200000.0</v>
      </c>
      <c r="AC30" s="332">
        <v>4500000.0</v>
      </c>
      <c r="AD30" s="330">
        <v>6200000.0</v>
      </c>
      <c r="AE30" s="330">
        <v>4400000.0</v>
      </c>
      <c r="AF30" s="333">
        <v>3000000.0</v>
      </c>
      <c r="AG30" s="334"/>
      <c r="AH30" s="332">
        <v>1.8E7</v>
      </c>
      <c r="AI30" s="332">
        <v>1.0E7</v>
      </c>
      <c r="AJ30" s="332">
        <v>5000000.0</v>
      </c>
      <c r="AK30" s="335"/>
      <c r="AL30" s="336">
        <v>3.77E7</v>
      </c>
      <c r="AM30" s="331">
        <v>2.03E7</v>
      </c>
      <c r="AN30" s="331">
        <v>1.0E7</v>
      </c>
      <c r="AO30" s="332">
        <v>6100000.0</v>
      </c>
      <c r="AP30" s="332">
        <v>3450000.0</v>
      </c>
      <c r="AQ30" s="332">
        <v>1750000.0</v>
      </c>
      <c r="AR30" s="337"/>
      <c r="AS30" s="338">
        <v>3088.8</v>
      </c>
      <c r="AT30" s="339">
        <v>630000.0</v>
      </c>
      <c r="AU30" s="332">
        <v>325000.0</v>
      </c>
      <c r="AV30" s="332">
        <v>140000.0</v>
      </c>
      <c r="AW30" s="331">
        <v>2450000.0</v>
      </c>
      <c r="AX30" s="331">
        <v>1700000.0</v>
      </c>
      <c r="AY30" s="331">
        <v>1200000.0</v>
      </c>
      <c r="AZ30" s="332">
        <v>9200000.0</v>
      </c>
      <c r="BA30" s="332">
        <v>6900000.0</v>
      </c>
      <c r="BB30" s="332">
        <v>4800000.0</v>
      </c>
      <c r="BC30" s="332">
        <v>4400000.0</v>
      </c>
      <c r="BD30" s="332">
        <v>2800000.0</v>
      </c>
      <c r="BE30" s="340">
        <v>2100000.0</v>
      </c>
      <c r="BF30" s="339">
        <v>1.28E7</v>
      </c>
      <c r="BG30" s="337">
        <v>8000000.0</v>
      </c>
      <c r="BH30" s="332">
        <v>5200000.0</v>
      </c>
      <c r="BI30" s="332">
        <v>4010000.0</v>
      </c>
      <c r="BJ30" s="332">
        <v>2930000.0</v>
      </c>
      <c r="BK30" s="332">
        <v>2260000.0</v>
      </c>
      <c r="BL30" s="341">
        <v>1350000.0</v>
      </c>
      <c r="BM30" s="266">
        <v>600000.0</v>
      </c>
      <c r="BN30" s="273"/>
      <c r="BO30" s="273"/>
      <c r="BP30" s="267"/>
      <c r="BQ30" s="336">
        <v>900000.0</v>
      </c>
      <c r="BR30" s="331">
        <v>650000.0</v>
      </c>
      <c r="BS30" s="331">
        <v>480000.0</v>
      </c>
      <c r="BT30" s="332">
        <v>2270000.0</v>
      </c>
      <c r="BU30" s="332">
        <v>1640000.0</v>
      </c>
      <c r="BV30" s="340">
        <v>1210000.0</v>
      </c>
      <c r="BW30" s="339">
        <v>2370000.0</v>
      </c>
      <c r="BX30" s="332">
        <v>1570000.0</v>
      </c>
      <c r="BY30" s="332">
        <v>1060000.0</v>
      </c>
      <c r="BZ30" s="273">
        <v>200000.0</v>
      </c>
      <c r="CA30" s="273"/>
      <c r="CB30" s="273"/>
      <c r="CC30" s="336">
        <v>7400000.0</v>
      </c>
      <c r="CD30" s="331">
        <v>4000000.0</v>
      </c>
      <c r="CE30" s="331">
        <v>2000000.0</v>
      </c>
      <c r="CF30" s="331">
        <v>7400000.0</v>
      </c>
      <c r="CG30" s="331">
        <v>4000000.0</v>
      </c>
      <c r="CH30" s="342">
        <v>2000000.0</v>
      </c>
      <c r="CI30" s="266"/>
      <c r="CJ30" s="273"/>
      <c r="CK30" s="273"/>
      <c r="CL30" s="273"/>
      <c r="CM30" s="273"/>
      <c r="CN30" s="273"/>
      <c r="CO30" s="273"/>
      <c r="CP30" s="273"/>
      <c r="CQ30" s="273"/>
      <c r="CR30" s="273"/>
      <c r="CS30" s="273"/>
      <c r="CT30" s="273"/>
      <c r="CU30" s="273"/>
      <c r="CV30" s="273"/>
      <c r="CW30" s="273"/>
      <c r="CX30" s="273"/>
      <c r="CY30" s="273"/>
      <c r="CZ30" s="273"/>
      <c r="DA30" s="273"/>
    </row>
    <row r="31">
      <c r="A31" s="10" t="s">
        <v>1144</v>
      </c>
      <c r="B31" s="163"/>
      <c r="C31" s="280" t="s">
        <v>1145</v>
      </c>
      <c r="D31" s="10" t="s">
        <v>1145</v>
      </c>
      <c r="E31" s="10" t="s">
        <v>1145</v>
      </c>
      <c r="F31" s="10" t="s">
        <v>1145</v>
      </c>
      <c r="G31" s="10" t="s">
        <v>1145</v>
      </c>
      <c r="H31" s="10" t="s">
        <v>1145</v>
      </c>
      <c r="I31" s="10" t="s">
        <v>1145</v>
      </c>
      <c r="J31" s="10" t="s">
        <v>1145</v>
      </c>
      <c r="K31" s="10" t="s">
        <v>1145</v>
      </c>
      <c r="L31" s="10" t="s">
        <v>1145</v>
      </c>
      <c r="M31" s="10" t="s">
        <v>1145</v>
      </c>
      <c r="N31" s="10" t="s">
        <v>1145</v>
      </c>
      <c r="O31" s="10" t="s">
        <v>1145</v>
      </c>
      <c r="P31" s="10" t="s">
        <v>1145</v>
      </c>
      <c r="Q31" s="281" t="s">
        <v>1145</v>
      </c>
      <c r="R31" s="10" t="s">
        <v>1145</v>
      </c>
      <c r="S31" s="10" t="s">
        <v>1145</v>
      </c>
      <c r="T31" s="10" t="s">
        <v>1145</v>
      </c>
      <c r="U31" s="10" t="s">
        <v>1145</v>
      </c>
      <c r="V31" s="10" t="s">
        <v>1145</v>
      </c>
      <c r="W31" s="10" t="s">
        <v>1145</v>
      </c>
      <c r="X31" s="10" t="s">
        <v>1145</v>
      </c>
      <c r="Y31" s="10" t="s">
        <v>1145</v>
      </c>
      <c r="Z31" s="10" t="s">
        <v>1145</v>
      </c>
      <c r="AA31" s="10" t="s">
        <v>1145</v>
      </c>
      <c r="AB31" s="10" t="s">
        <v>1145</v>
      </c>
      <c r="AC31" s="10" t="s">
        <v>1145</v>
      </c>
      <c r="AD31" s="10" t="s">
        <v>1145</v>
      </c>
      <c r="AE31" s="10" t="s">
        <v>1145</v>
      </c>
      <c r="AF31" s="281" t="s">
        <v>1145</v>
      </c>
      <c r="AG31" s="280"/>
      <c r="AH31" s="10" t="s">
        <v>1145</v>
      </c>
      <c r="AI31" s="10" t="s">
        <v>1145</v>
      </c>
      <c r="AJ31" s="10" t="s">
        <v>1145</v>
      </c>
      <c r="AK31" s="281"/>
      <c r="AL31" s="280" t="s">
        <v>1145</v>
      </c>
      <c r="AM31" s="10" t="s">
        <v>1145</v>
      </c>
      <c r="AN31" s="10" t="s">
        <v>1145</v>
      </c>
      <c r="AO31" s="10" t="s">
        <v>1145</v>
      </c>
      <c r="AP31" s="10" t="s">
        <v>1145</v>
      </c>
      <c r="AQ31" s="10" t="s">
        <v>1145</v>
      </c>
      <c r="AR31" s="10"/>
      <c r="AS31" s="281" t="s">
        <v>1145</v>
      </c>
      <c r="AT31" s="280" t="s">
        <v>1145</v>
      </c>
      <c r="AU31" s="10" t="s">
        <v>1145</v>
      </c>
      <c r="AV31" s="10" t="s">
        <v>1145</v>
      </c>
      <c r="AW31" s="10" t="s">
        <v>1145</v>
      </c>
      <c r="AX31" s="10" t="s">
        <v>1145</v>
      </c>
      <c r="AY31" s="10" t="s">
        <v>1145</v>
      </c>
      <c r="AZ31" s="10" t="s">
        <v>1145</v>
      </c>
      <c r="BA31" s="10" t="s">
        <v>1145</v>
      </c>
      <c r="BB31" s="10" t="s">
        <v>1145</v>
      </c>
      <c r="BC31" s="10" t="s">
        <v>1145</v>
      </c>
      <c r="BD31" s="10" t="s">
        <v>1145</v>
      </c>
      <c r="BE31" s="281" t="s">
        <v>1145</v>
      </c>
      <c r="BF31" s="280" t="s">
        <v>1145</v>
      </c>
      <c r="BG31" s="10" t="s">
        <v>1145</v>
      </c>
      <c r="BH31" s="10" t="s">
        <v>1145</v>
      </c>
      <c r="BI31" s="10" t="s">
        <v>1145</v>
      </c>
      <c r="BJ31" s="10" t="s">
        <v>1145</v>
      </c>
      <c r="BK31" s="10" t="s">
        <v>1145</v>
      </c>
      <c r="BL31" s="281" t="s">
        <v>1145</v>
      </c>
      <c r="BM31" s="280" t="s">
        <v>1145</v>
      </c>
      <c r="BN31" s="10"/>
      <c r="BO31" s="10"/>
      <c r="BP31" s="281"/>
      <c r="BQ31" s="280" t="s">
        <v>1145</v>
      </c>
      <c r="BR31" s="10" t="s">
        <v>1145</v>
      </c>
      <c r="BS31" s="10" t="s">
        <v>1145</v>
      </c>
      <c r="BT31" s="10" t="s">
        <v>1145</v>
      </c>
      <c r="BU31" s="10" t="s">
        <v>1145</v>
      </c>
      <c r="BV31" s="281" t="s">
        <v>1145</v>
      </c>
      <c r="BW31" s="280" t="s">
        <v>1145</v>
      </c>
      <c r="BX31" s="10" t="s">
        <v>1145</v>
      </c>
      <c r="BY31" s="10" t="s">
        <v>1145</v>
      </c>
      <c r="BZ31" s="10" t="s">
        <v>1145</v>
      </c>
      <c r="CA31" s="10"/>
      <c r="CB31" s="10"/>
      <c r="CC31" s="280" t="s">
        <v>1145</v>
      </c>
      <c r="CD31" s="10" t="s">
        <v>1145</v>
      </c>
      <c r="CE31" s="10" t="s">
        <v>1145</v>
      </c>
      <c r="CF31" s="10" t="s">
        <v>1145</v>
      </c>
      <c r="CG31" s="10" t="s">
        <v>1145</v>
      </c>
      <c r="CH31" s="281" t="s">
        <v>1145</v>
      </c>
      <c r="CI31" s="280"/>
      <c r="CJ31" s="10"/>
      <c r="CK31" s="10"/>
      <c r="CL31" s="10"/>
      <c r="CM31" s="10"/>
      <c r="CN31" s="10"/>
      <c r="CO31" s="10"/>
      <c r="CP31" s="10"/>
      <c r="CQ31" s="10"/>
      <c r="CR31" s="10"/>
      <c r="CS31" s="10"/>
      <c r="CT31" s="10"/>
      <c r="CU31" s="10"/>
      <c r="CV31" s="10"/>
      <c r="CW31" s="10"/>
      <c r="CX31" s="10"/>
      <c r="CY31" s="10"/>
      <c r="CZ31" s="10"/>
      <c r="DA31" s="10"/>
    </row>
    <row r="32">
      <c r="A32" s="10" t="s">
        <v>1146</v>
      </c>
      <c r="B32" s="10" t="s">
        <v>1147</v>
      </c>
      <c r="C32" s="296"/>
      <c r="D32" s="297"/>
      <c r="E32" s="297"/>
      <c r="F32" s="287">
        <v>1.0</v>
      </c>
      <c r="G32" s="287">
        <v>1.0</v>
      </c>
      <c r="H32" s="287">
        <v>1.0</v>
      </c>
      <c r="I32" s="287">
        <v>1.0</v>
      </c>
      <c r="J32" s="287">
        <v>1.0</v>
      </c>
      <c r="K32" s="287">
        <v>1.0</v>
      </c>
      <c r="L32" s="321">
        <v>1.0</v>
      </c>
      <c r="M32" s="321">
        <v>1.0</v>
      </c>
      <c r="N32" s="321">
        <v>1.0</v>
      </c>
      <c r="O32" s="287">
        <v>1.0</v>
      </c>
      <c r="P32" s="287">
        <v>1.0</v>
      </c>
      <c r="Q32" s="304">
        <v>1.0</v>
      </c>
      <c r="R32" s="189">
        <v>0.65</v>
      </c>
      <c r="S32" s="189">
        <v>0.65</v>
      </c>
      <c r="T32" s="189">
        <v>0.65</v>
      </c>
      <c r="U32" s="287">
        <v>0.6</v>
      </c>
      <c r="V32" s="287">
        <v>0.6</v>
      </c>
      <c r="W32" s="287">
        <v>0.6</v>
      </c>
      <c r="X32" s="287">
        <v>0.6</v>
      </c>
      <c r="Y32" s="287">
        <v>0.6</v>
      </c>
      <c r="Z32" s="287">
        <v>0.6</v>
      </c>
      <c r="AA32" s="287">
        <v>0.6</v>
      </c>
      <c r="AB32" s="287">
        <v>0.6</v>
      </c>
      <c r="AC32" s="287">
        <v>0.6</v>
      </c>
      <c r="AD32" s="181">
        <v>0.65</v>
      </c>
      <c r="AE32" s="181">
        <v>0.65</v>
      </c>
      <c r="AF32" s="343">
        <v>0.65</v>
      </c>
      <c r="AG32" s="291"/>
      <c r="AH32" s="287">
        <v>0.6</v>
      </c>
      <c r="AI32" s="287">
        <v>0.6</v>
      </c>
      <c r="AJ32" s="287">
        <v>0.6</v>
      </c>
      <c r="AK32" s="304"/>
      <c r="AL32" s="291">
        <v>0.6</v>
      </c>
      <c r="AM32" s="287">
        <v>0.6</v>
      </c>
      <c r="AN32" s="287">
        <v>0.6</v>
      </c>
      <c r="AO32" s="181">
        <v>0.6</v>
      </c>
      <c r="AP32" s="181">
        <v>0.6</v>
      </c>
      <c r="AQ32" s="189">
        <v>0.6</v>
      </c>
      <c r="AR32" s="287"/>
      <c r="AS32" s="304">
        <v>0.71</v>
      </c>
      <c r="AT32" s="291">
        <v>0.6</v>
      </c>
      <c r="AU32" s="287">
        <v>0.6</v>
      </c>
      <c r="AV32" s="287">
        <v>0.6</v>
      </c>
      <c r="AW32" s="287">
        <v>0.6</v>
      </c>
      <c r="AX32" s="287">
        <v>0.6</v>
      </c>
      <c r="AY32" s="287">
        <v>0.6</v>
      </c>
      <c r="AZ32" s="287">
        <v>0.6</v>
      </c>
      <c r="BA32" s="287">
        <v>0.6</v>
      </c>
      <c r="BB32" s="287">
        <v>0.6</v>
      </c>
      <c r="BC32" s="287">
        <v>0.7</v>
      </c>
      <c r="BD32" s="287">
        <v>0.7</v>
      </c>
      <c r="BE32" s="304">
        <v>0.7</v>
      </c>
      <c r="BF32" s="291">
        <v>0.6</v>
      </c>
      <c r="BG32" s="287">
        <v>0.6</v>
      </c>
      <c r="BH32" s="287">
        <v>0.6</v>
      </c>
      <c r="BI32" s="287">
        <v>0.6</v>
      </c>
      <c r="BJ32" s="287">
        <v>0.6</v>
      </c>
      <c r="BK32" s="287">
        <v>0.6</v>
      </c>
      <c r="BL32" s="304">
        <v>0.6</v>
      </c>
      <c r="BM32" s="291">
        <v>0.7</v>
      </c>
      <c r="BN32" s="287"/>
      <c r="BO32" s="287"/>
      <c r="BP32" s="304"/>
      <c r="BQ32" s="295">
        <v>0.6</v>
      </c>
      <c r="BR32" s="189">
        <v>0.6</v>
      </c>
      <c r="BS32" s="189">
        <v>0.6</v>
      </c>
      <c r="BT32" s="287">
        <v>0.6</v>
      </c>
      <c r="BU32" s="287">
        <v>0.6</v>
      </c>
      <c r="BV32" s="304">
        <v>0.6</v>
      </c>
      <c r="BW32" s="291">
        <v>0.7</v>
      </c>
      <c r="BX32" s="287">
        <v>0.7</v>
      </c>
      <c r="BY32" s="287">
        <v>0.7</v>
      </c>
      <c r="BZ32" s="287">
        <v>0.7</v>
      </c>
      <c r="CA32" s="287"/>
      <c r="CB32" s="287"/>
      <c r="CC32" s="291">
        <v>0.6</v>
      </c>
      <c r="CD32" s="287">
        <v>0.6</v>
      </c>
      <c r="CE32" s="287">
        <v>0.6</v>
      </c>
      <c r="CF32" s="287">
        <v>0.6</v>
      </c>
      <c r="CG32" s="287">
        <v>0.6</v>
      </c>
      <c r="CH32" s="304">
        <v>0.6</v>
      </c>
      <c r="CI32" s="289"/>
      <c r="CJ32" s="292"/>
      <c r="CK32" s="292"/>
      <c r="CL32" s="292"/>
      <c r="CM32" s="292"/>
      <c r="CN32" s="292"/>
      <c r="CO32" s="292"/>
      <c r="CP32" s="292"/>
      <c r="CQ32" s="292"/>
      <c r="CR32" s="292"/>
      <c r="CS32" s="292"/>
      <c r="CT32" s="292"/>
      <c r="CU32" s="292"/>
      <c r="CV32" s="292"/>
      <c r="CW32" s="292"/>
      <c r="CX32" s="292"/>
      <c r="CY32" s="292"/>
      <c r="CZ32" s="292"/>
      <c r="DA32" s="292"/>
    </row>
    <row r="33">
      <c r="A33" s="10" t="s">
        <v>1148</v>
      </c>
      <c r="B33" s="10" t="s">
        <v>1149</v>
      </c>
      <c r="C33" s="276">
        <v>20.0</v>
      </c>
      <c r="D33" s="201">
        <v>20.0</v>
      </c>
      <c r="E33" s="201">
        <v>20.0</v>
      </c>
      <c r="F33" s="344">
        <v>30.0</v>
      </c>
      <c r="G33" s="344">
        <v>30.0</v>
      </c>
      <c r="H33" s="344">
        <v>30.0</v>
      </c>
      <c r="I33" s="344">
        <v>30.0</v>
      </c>
      <c r="J33" s="344">
        <v>30.0</v>
      </c>
      <c r="K33" s="344">
        <v>30.0</v>
      </c>
      <c r="L33" s="345">
        <v>15.0</v>
      </c>
      <c r="M33" s="345">
        <v>15.0</v>
      </c>
      <c r="N33" s="345">
        <v>15.0</v>
      </c>
      <c r="O33" s="346">
        <v>20.0</v>
      </c>
      <c r="P33" s="346">
        <v>20.0</v>
      </c>
      <c r="Q33" s="347">
        <v>20.0</v>
      </c>
      <c r="R33" s="201">
        <v>15.0</v>
      </c>
      <c r="S33" s="201">
        <v>15.0</v>
      </c>
      <c r="T33" s="201">
        <v>15.0</v>
      </c>
      <c r="U33" s="201">
        <v>15.0</v>
      </c>
      <c r="V33" s="201">
        <v>15.0</v>
      </c>
      <c r="W33" s="201">
        <v>15.0</v>
      </c>
      <c r="X33" s="201">
        <v>15.0</v>
      </c>
      <c r="Y33" s="201">
        <v>15.0</v>
      </c>
      <c r="Z33" s="201">
        <v>15.0</v>
      </c>
      <c r="AA33" s="201">
        <v>15.0</v>
      </c>
      <c r="AB33" s="201">
        <v>15.0</v>
      </c>
      <c r="AC33" s="201">
        <v>15.0</v>
      </c>
      <c r="AD33" s="200">
        <v>20.0</v>
      </c>
      <c r="AE33" s="200">
        <v>20.0</v>
      </c>
      <c r="AF33" s="288">
        <v>20.0</v>
      </c>
      <c r="AG33" s="276"/>
      <c r="AH33" s="191">
        <v>20.0</v>
      </c>
      <c r="AI33" s="191">
        <v>20.0</v>
      </c>
      <c r="AJ33" s="191">
        <v>20.0</v>
      </c>
      <c r="AK33" s="290"/>
      <c r="AL33" s="276">
        <v>15.0</v>
      </c>
      <c r="AM33" s="201">
        <v>15.0</v>
      </c>
      <c r="AN33" s="201">
        <v>15.0</v>
      </c>
      <c r="AO33" s="201">
        <v>15.0</v>
      </c>
      <c r="AP33" s="201">
        <v>15.0</v>
      </c>
      <c r="AQ33" s="201">
        <v>15.0</v>
      </c>
      <c r="AR33" s="292"/>
      <c r="AS33" s="298">
        <v>20.0</v>
      </c>
      <c r="AT33" s="276">
        <v>20.0</v>
      </c>
      <c r="AU33" s="201">
        <v>20.0</v>
      </c>
      <c r="AV33" s="201">
        <v>20.0</v>
      </c>
      <c r="AW33" s="201">
        <v>15.0</v>
      </c>
      <c r="AX33" s="201">
        <v>15.0</v>
      </c>
      <c r="AY33" s="201">
        <v>15.0</v>
      </c>
      <c r="AZ33" s="201">
        <v>15.0</v>
      </c>
      <c r="BA33" s="201">
        <v>15.0</v>
      </c>
      <c r="BB33" s="201">
        <v>15.0</v>
      </c>
      <c r="BC33" s="201">
        <v>20.0</v>
      </c>
      <c r="BD33" s="201">
        <v>20.0</v>
      </c>
      <c r="BE33" s="277">
        <v>20.0</v>
      </c>
      <c r="BF33" s="276">
        <v>15.0</v>
      </c>
      <c r="BG33" s="201">
        <v>15.0</v>
      </c>
      <c r="BH33" s="201">
        <v>15.0</v>
      </c>
      <c r="BI33" s="201">
        <v>15.0</v>
      </c>
      <c r="BJ33" s="201">
        <v>15.0</v>
      </c>
      <c r="BK33" s="201">
        <v>15.0</v>
      </c>
      <c r="BL33" s="277">
        <v>15.0</v>
      </c>
      <c r="BM33" s="276">
        <v>15.0</v>
      </c>
      <c r="BN33" s="348"/>
      <c r="BO33" s="348"/>
      <c r="BP33" s="349"/>
      <c r="BQ33" s="295">
        <v>15.0</v>
      </c>
      <c r="BR33" s="189">
        <v>15.0</v>
      </c>
      <c r="BS33" s="189">
        <v>15.0</v>
      </c>
      <c r="BT33" s="189">
        <v>15.0</v>
      </c>
      <c r="BU33" s="189">
        <v>15.0</v>
      </c>
      <c r="BV33" s="322">
        <v>15.0</v>
      </c>
      <c r="BW33" s="276">
        <v>20.0</v>
      </c>
      <c r="BX33" s="201">
        <v>20.0</v>
      </c>
      <c r="BY33" s="201">
        <v>20.0</v>
      </c>
      <c r="BZ33" s="201">
        <v>15.0</v>
      </c>
      <c r="CA33" s="201"/>
      <c r="CB33" s="201"/>
      <c r="CC33" s="276">
        <v>20.0</v>
      </c>
      <c r="CD33" s="201">
        <v>20.0</v>
      </c>
      <c r="CE33" s="201">
        <v>20.0</v>
      </c>
      <c r="CF33" s="201">
        <v>20.0</v>
      </c>
      <c r="CG33" s="201">
        <v>20.0</v>
      </c>
      <c r="CH33" s="277">
        <v>20.0</v>
      </c>
      <c r="CI33" s="350"/>
      <c r="CJ33" s="351"/>
      <c r="CK33" s="351"/>
      <c r="CL33" s="351"/>
      <c r="CM33" s="351"/>
      <c r="CN33" s="351"/>
      <c r="CO33" s="351"/>
      <c r="CP33" s="351"/>
      <c r="CQ33" s="351"/>
      <c r="CR33" s="351"/>
      <c r="CS33" s="351"/>
      <c r="CT33" s="351"/>
      <c r="CU33" s="351"/>
      <c r="CV33" s="351"/>
      <c r="CW33" s="351"/>
      <c r="CX33" s="351"/>
      <c r="CY33" s="351"/>
      <c r="CZ33" s="351"/>
      <c r="DA33" s="351"/>
    </row>
    <row r="34">
      <c r="A34" s="10" t="s">
        <v>1150</v>
      </c>
      <c r="B34" s="163"/>
      <c r="C34" s="282" t="s">
        <v>922</v>
      </c>
      <c r="D34" s="163" t="s">
        <v>922</v>
      </c>
      <c r="E34" s="163" t="s">
        <v>922</v>
      </c>
      <c r="F34" s="163" t="s">
        <v>1112</v>
      </c>
      <c r="G34" s="163" t="s">
        <v>1112</v>
      </c>
      <c r="H34" s="163" t="s">
        <v>1112</v>
      </c>
      <c r="I34" s="163" t="s">
        <v>1112</v>
      </c>
      <c r="J34" s="163" t="s">
        <v>1112</v>
      </c>
      <c r="K34" s="163" t="s">
        <v>1112</v>
      </c>
      <c r="L34" s="163" t="s">
        <v>922</v>
      </c>
      <c r="M34" s="163" t="s">
        <v>922</v>
      </c>
      <c r="N34" s="163" t="s">
        <v>922</v>
      </c>
      <c r="O34" s="164" t="s">
        <v>922</v>
      </c>
      <c r="P34" s="164" t="s">
        <v>922</v>
      </c>
      <c r="Q34" s="285" t="s">
        <v>922</v>
      </c>
      <c r="R34" s="163" t="s">
        <v>922</v>
      </c>
      <c r="S34" s="163" t="s">
        <v>922</v>
      </c>
      <c r="T34" s="163" t="s">
        <v>922</v>
      </c>
      <c r="U34" s="164" t="s">
        <v>922</v>
      </c>
      <c r="V34" s="164" t="s">
        <v>922</v>
      </c>
      <c r="W34" s="164" t="s">
        <v>922</v>
      </c>
      <c r="X34" s="164" t="s">
        <v>922</v>
      </c>
      <c r="Y34" s="164" t="s">
        <v>922</v>
      </c>
      <c r="Z34" s="164" t="s">
        <v>922</v>
      </c>
      <c r="AA34" s="164" t="s">
        <v>922</v>
      </c>
      <c r="AB34" s="164" t="s">
        <v>922</v>
      </c>
      <c r="AC34" s="164" t="s">
        <v>922</v>
      </c>
      <c r="AD34" s="162" t="s">
        <v>922</v>
      </c>
      <c r="AE34" s="162" t="s">
        <v>922</v>
      </c>
      <c r="AF34" s="352" t="s">
        <v>922</v>
      </c>
      <c r="AG34" s="282"/>
      <c r="AH34" s="164" t="s">
        <v>922</v>
      </c>
      <c r="AI34" s="164" t="s">
        <v>922</v>
      </c>
      <c r="AJ34" s="164" t="s">
        <v>922</v>
      </c>
      <c r="AK34" s="283"/>
      <c r="AL34" s="282" t="s">
        <v>922</v>
      </c>
      <c r="AM34" s="163" t="s">
        <v>922</v>
      </c>
      <c r="AN34" s="163" t="s">
        <v>922</v>
      </c>
      <c r="AO34" s="163" t="s">
        <v>922</v>
      </c>
      <c r="AP34" s="163" t="s">
        <v>922</v>
      </c>
      <c r="AQ34" s="163" t="s">
        <v>922</v>
      </c>
      <c r="AR34" s="163"/>
      <c r="AS34" s="281" t="s">
        <v>922</v>
      </c>
      <c r="AT34" s="280" t="s">
        <v>922</v>
      </c>
      <c r="AU34" s="163" t="s">
        <v>922</v>
      </c>
      <c r="AV34" s="163" t="s">
        <v>922</v>
      </c>
      <c r="AW34" s="163" t="s">
        <v>1112</v>
      </c>
      <c r="AX34" s="163" t="s">
        <v>1112</v>
      </c>
      <c r="AY34" s="163" t="s">
        <v>1112</v>
      </c>
      <c r="AZ34" s="163" t="s">
        <v>922</v>
      </c>
      <c r="BA34" s="163" t="s">
        <v>922</v>
      </c>
      <c r="BB34" s="163" t="s">
        <v>922</v>
      </c>
      <c r="BC34" s="163" t="s">
        <v>922</v>
      </c>
      <c r="BD34" s="163" t="s">
        <v>922</v>
      </c>
      <c r="BE34" s="281" t="s">
        <v>922</v>
      </c>
      <c r="BF34" s="282" t="s">
        <v>922</v>
      </c>
      <c r="BG34" s="163" t="s">
        <v>922</v>
      </c>
      <c r="BH34" s="163" t="s">
        <v>922</v>
      </c>
      <c r="BI34" s="163" t="s">
        <v>922</v>
      </c>
      <c r="BJ34" s="163" t="s">
        <v>922</v>
      </c>
      <c r="BK34" s="163" t="s">
        <v>922</v>
      </c>
      <c r="BL34" s="283" t="s">
        <v>922</v>
      </c>
      <c r="BM34" s="280" t="s">
        <v>922</v>
      </c>
      <c r="BN34" s="163"/>
      <c r="BO34" s="163"/>
      <c r="BP34" s="283"/>
      <c r="BQ34" s="280" t="s">
        <v>922</v>
      </c>
      <c r="BR34" s="10" t="s">
        <v>922</v>
      </c>
      <c r="BS34" s="10" t="s">
        <v>922</v>
      </c>
      <c r="BT34" s="10" t="s">
        <v>922</v>
      </c>
      <c r="BU34" s="10" t="s">
        <v>922</v>
      </c>
      <c r="BV34" s="281" t="s">
        <v>922</v>
      </c>
      <c r="BW34" s="280" t="s">
        <v>922</v>
      </c>
      <c r="BX34" s="10" t="s">
        <v>922</v>
      </c>
      <c r="BY34" s="10" t="s">
        <v>922</v>
      </c>
      <c r="BZ34" s="10" t="s">
        <v>922</v>
      </c>
      <c r="CA34" s="10"/>
      <c r="CB34" s="10"/>
      <c r="CC34" s="280" t="s">
        <v>922</v>
      </c>
      <c r="CD34" s="10" t="s">
        <v>922</v>
      </c>
      <c r="CE34" s="10" t="s">
        <v>922</v>
      </c>
      <c r="CF34" s="10" t="s">
        <v>922</v>
      </c>
      <c r="CG34" s="10" t="s">
        <v>922</v>
      </c>
      <c r="CH34" s="281" t="s">
        <v>922</v>
      </c>
      <c r="CI34" s="282"/>
      <c r="CJ34" s="163"/>
      <c r="CK34" s="163"/>
      <c r="CL34" s="163"/>
      <c r="CM34" s="163"/>
      <c r="CN34" s="163"/>
      <c r="CO34" s="163"/>
      <c r="CP34" s="163"/>
      <c r="CQ34" s="163"/>
      <c r="CR34" s="163"/>
      <c r="CS34" s="163"/>
      <c r="CT34" s="163"/>
      <c r="CU34" s="163"/>
      <c r="CV34" s="163"/>
      <c r="CW34" s="163"/>
      <c r="CX34" s="163"/>
      <c r="CY34" s="163"/>
      <c r="CZ34" s="163"/>
      <c r="DA34" s="163"/>
    </row>
    <row r="35">
      <c r="A35" s="10" t="s">
        <v>1151</v>
      </c>
      <c r="B35" s="10" t="s">
        <v>1152</v>
      </c>
      <c r="C35" s="350">
        <v>0.0</v>
      </c>
      <c r="D35" s="351">
        <v>0.0</v>
      </c>
      <c r="E35" s="351">
        <v>0.0</v>
      </c>
      <c r="F35" s="351">
        <v>0.0</v>
      </c>
      <c r="G35" s="351">
        <v>0.0</v>
      </c>
      <c r="H35" s="351">
        <v>0.0</v>
      </c>
      <c r="I35" s="351">
        <v>0.0</v>
      </c>
      <c r="J35" s="351">
        <v>0.0</v>
      </c>
      <c r="K35" s="351">
        <v>0.0</v>
      </c>
      <c r="L35" s="163"/>
      <c r="M35" s="163"/>
      <c r="N35" s="163"/>
      <c r="O35" s="353">
        <v>81000.0</v>
      </c>
      <c r="P35" s="353">
        <v>53000.0</v>
      </c>
      <c r="Q35" s="354">
        <v>26000.0</v>
      </c>
      <c r="R35" s="351">
        <v>0.0</v>
      </c>
      <c r="S35" s="351">
        <v>0.0</v>
      </c>
      <c r="T35" s="351">
        <v>0.0</v>
      </c>
      <c r="U35" s="351">
        <v>0.0</v>
      </c>
      <c r="V35" s="351">
        <v>0.0</v>
      </c>
      <c r="W35" s="351">
        <v>0.0</v>
      </c>
      <c r="X35" s="351">
        <v>0.0</v>
      </c>
      <c r="Y35" s="351">
        <v>0.0</v>
      </c>
      <c r="Z35" s="351">
        <v>0.0</v>
      </c>
      <c r="AA35" s="351">
        <v>0.0</v>
      </c>
      <c r="AB35" s="351">
        <v>0.0</v>
      </c>
      <c r="AC35" s="351">
        <v>0.0</v>
      </c>
      <c r="AD35" s="286">
        <v>0.0</v>
      </c>
      <c r="AE35" s="286">
        <v>0.0</v>
      </c>
      <c r="AF35" s="355">
        <v>0.0</v>
      </c>
      <c r="AG35" s="350"/>
      <c r="AH35" s="351">
        <v>0.0</v>
      </c>
      <c r="AI35" s="351">
        <v>0.0</v>
      </c>
      <c r="AJ35" s="351">
        <v>0.0</v>
      </c>
      <c r="AK35" s="356"/>
      <c r="AL35" s="350">
        <v>0.0</v>
      </c>
      <c r="AM35" s="351">
        <v>0.0</v>
      </c>
      <c r="AN35" s="351">
        <v>0.0</v>
      </c>
      <c r="AO35" s="351">
        <v>0.0</v>
      </c>
      <c r="AP35" s="351">
        <v>0.0</v>
      </c>
      <c r="AQ35" s="351">
        <v>0.0</v>
      </c>
      <c r="AR35" s="351"/>
      <c r="AS35" s="283"/>
      <c r="AT35" s="350">
        <v>0.0</v>
      </c>
      <c r="AU35" s="351">
        <v>0.0</v>
      </c>
      <c r="AV35" s="351">
        <v>0.0</v>
      </c>
      <c r="AW35" s="351">
        <v>0.0</v>
      </c>
      <c r="AX35" s="351">
        <v>0.0</v>
      </c>
      <c r="AY35" s="351">
        <v>0.0</v>
      </c>
      <c r="AZ35" s="351">
        <v>0.0</v>
      </c>
      <c r="BA35" s="351">
        <v>0.0</v>
      </c>
      <c r="BB35" s="351">
        <v>0.0</v>
      </c>
      <c r="BC35" s="351"/>
      <c r="BD35" s="351"/>
      <c r="BE35" s="283"/>
      <c r="BF35" s="350">
        <v>0.0</v>
      </c>
      <c r="BG35" s="351">
        <v>0.0</v>
      </c>
      <c r="BH35" s="351">
        <v>0.0</v>
      </c>
      <c r="BI35" s="351">
        <v>0.0</v>
      </c>
      <c r="BJ35" s="351">
        <v>0.0</v>
      </c>
      <c r="BK35" s="351">
        <v>0.0</v>
      </c>
      <c r="BL35" s="356">
        <v>0.0</v>
      </c>
      <c r="BM35" s="282"/>
      <c r="BN35" s="351"/>
      <c r="BO35" s="351"/>
      <c r="BP35" s="356"/>
      <c r="BQ35" s="282"/>
      <c r="BR35" s="163"/>
      <c r="BS35" s="163"/>
      <c r="BT35" s="351">
        <v>0.0</v>
      </c>
      <c r="BU35" s="351">
        <v>0.0</v>
      </c>
      <c r="BV35" s="356">
        <v>0.0</v>
      </c>
      <c r="BW35" s="282"/>
      <c r="BX35" s="163"/>
      <c r="BY35" s="163"/>
      <c r="BZ35" s="163"/>
      <c r="CA35" s="163"/>
      <c r="CB35" s="163"/>
      <c r="CC35" s="282"/>
      <c r="CD35" s="163"/>
      <c r="CE35" s="163"/>
      <c r="CF35" s="163"/>
      <c r="CG35" s="163"/>
      <c r="CH35" s="283"/>
      <c r="CI35" s="350"/>
      <c r="CJ35" s="351"/>
      <c r="CK35" s="351"/>
      <c r="CL35" s="351"/>
      <c r="CM35" s="351"/>
      <c r="CN35" s="351"/>
      <c r="CO35" s="351"/>
      <c r="CP35" s="351"/>
      <c r="CQ35" s="351"/>
      <c r="CR35" s="351"/>
      <c r="CS35" s="351"/>
      <c r="CT35" s="351"/>
      <c r="CU35" s="351"/>
      <c r="CV35" s="351"/>
      <c r="CW35" s="351"/>
      <c r="CX35" s="351"/>
      <c r="CY35" s="351"/>
      <c r="CZ35" s="351"/>
      <c r="DA35" s="351"/>
    </row>
    <row r="36">
      <c r="A36" s="10" t="s">
        <v>1153</v>
      </c>
      <c r="B36" s="163"/>
      <c r="C36" s="282" t="s">
        <v>1112</v>
      </c>
      <c r="D36" s="163" t="s">
        <v>1112</v>
      </c>
      <c r="E36" s="163" t="s">
        <v>1112</v>
      </c>
      <c r="F36" s="351">
        <v>0.0</v>
      </c>
      <c r="G36" s="351">
        <v>0.0</v>
      </c>
      <c r="H36" s="351">
        <v>0.0</v>
      </c>
      <c r="I36" s="351">
        <v>0.0</v>
      </c>
      <c r="J36" s="351">
        <v>0.0</v>
      </c>
      <c r="K36" s="351">
        <v>0.0</v>
      </c>
      <c r="L36" s="163"/>
      <c r="M36" s="163"/>
      <c r="N36" s="163"/>
      <c r="O36" s="164" t="s">
        <v>1154</v>
      </c>
      <c r="P36" s="164" t="s">
        <v>1154</v>
      </c>
      <c r="Q36" s="285" t="s">
        <v>1154</v>
      </c>
      <c r="R36" s="163" t="s">
        <v>64</v>
      </c>
      <c r="S36" s="163" t="s">
        <v>64</v>
      </c>
      <c r="T36" s="163" t="s">
        <v>64</v>
      </c>
      <c r="U36" s="163" t="s">
        <v>64</v>
      </c>
      <c r="V36" s="163" t="s">
        <v>64</v>
      </c>
      <c r="W36" s="163" t="s">
        <v>64</v>
      </c>
      <c r="X36" s="163" t="s">
        <v>64</v>
      </c>
      <c r="Y36" s="163" t="s">
        <v>64</v>
      </c>
      <c r="Z36" s="163" t="s">
        <v>64</v>
      </c>
      <c r="AA36" s="163" t="s">
        <v>64</v>
      </c>
      <c r="AB36" s="163" t="s">
        <v>64</v>
      </c>
      <c r="AC36" s="163" t="s">
        <v>64</v>
      </c>
      <c r="AD36" s="162" t="s">
        <v>64</v>
      </c>
      <c r="AE36" s="162" t="s">
        <v>64</v>
      </c>
      <c r="AF36" s="352" t="s">
        <v>64</v>
      </c>
      <c r="AG36" s="282"/>
      <c r="AH36" s="163" t="s">
        <v>64</v>
      </c>
      <c r="AI36" s="163" t="s">
        <v>64</v>
      </c>
      <c r="AJ36" s="163" t="s">
        <v>64</v>
      </c>
      <c r="AK36" s="283"/>
      <c r="AL36" s="282" t="s">
        <v>64</v>
      </c>
      <c r="AM36" s="163" t="s">
        <v>64</v>
      </c>
      <c r="AN36" s="163" t="s">
        <v>64</v>
      </c>
      <c r="AO36" s="163" t="s">
        <v>64</v>
      </c>
      <c r="AP36" s="163" t="s">
        <v>64</v>
      </c>
      <c r="AQ36" s="163" t="s">
        <v>64</v>
      </c>
      <c r="AR36" s="163"/>
      <c r="AS36" s="283"/>
      <c r="AT36" s="280" t="s">
        <v>1145</v>
      </c>
      <c r="AU36" s="163" t="s">
        <v>1145</v>
      </c>
      <c r="AV36" s="163" t="s">
        <v>1145</v>
      </c>
      <c r="AW36" s="163" t="s">
        <v>64</v>
      </c>
      <c r="AX36" s="163" t="s">
        <v>64</v>
      </c>
      <c r="AY36" s="163" t="s">
        <v>64</v>
      </c>
      <c r="AZ36" s="163" t="s">
        <v>64</v>
      </c>
      <c r="BA36" s="163" t="s">
        <v>64</v>
      </c>
      <c r="BB36" s="163" t="s">
        <v>64</v>
      </c>
      <c r="BC36" s="163"/>
      <c r="BD36" s="163"/>
      <c r="BE36" s="283"/>
      <c r="BF36" s="282" t="s">
        <v>64</v>
      </c>
      <c r="BG36" s="163" t="s">
        <v>64</v>
      </c>
      <c r="BH36" s="163" t="s">
        <v>64</v>
      </c>
      <c r="BI36" s="163" t="s">
        <v>64</v>
      </c>
      <c r="BJ36" s="163" t="s">
        <v>64</v>
      </c>
      <c r="BK36" s="163" t="s">
        <v>64</v>
      </c>
      <c r="BL36" s="283" t="s">
        <v>64</v>
      </c>
      <c r="BM36" s="282"/>
      <c r="BN36" s="351"/>
      <c r="BO36" s="351"/>
      <c r="BP36" s="356"/>
      <c r="BQ36" s="282"/>
      <c r="BR36" s="163"/>
      <c r="BS36" s="163"/>
      <c r="BT36" s="10" t="s">
        <v>1145</v>
      </c>
      <c r="BU36" s="10" t="s">
        <v>1145</v>
      </c>
      <c r="BV36" s="281" t="s">
        <v>1145</v>
      </c>
      <c r="BW36" s="282"/>
      <c r="BX36" s="163"/>
      <c r="BY36" s="163"/>
      <c r="BZ36" s="163"/>
      <c r="CA36" s="163"/>
      <c r="CB36" s="163"/>
      <c r="CC36" s="282"/>
      <c r="CD36" s="163"/>
      <c r="CE36" s="163"/>
      <c r="CF36" s="163"/>
      <c r="CG36" s="163"/>
      <c r="CH36" s="283"/>
      <c r="CI36" s="350"/>
      <c r="CJ36" s="351"/>
      <c r="CK36" s="351"/>
      <c r="CL36" s="351"/>
      <c r="CM36" s="351"/>
      <c r="CN36" s="351"/>
      <c r="CO36" s="351"/>
      <c r="CP36" s="351"/>
      <c r="CQ36" s="351"/>
      <c r="CR36" s="351"/>
      <c r="CS36" s="351"/>
      <c r="CT36" s="351"/>
      <c r="CU36" s="351"/>
      <c r="CV36" s="351"/>
      <c r="CW36" s="351"/>
      <c r="CX36" s="351"/>
      <c r="CY36" s="351"/>
      <c r="CZ36" s="351"/>
      <c r="DA36" s="351"/>
    </row>
    <row r="37">
      <c r="A37" s="10" t="s">
        <v>1155</v>
      </c>
      <c r="B37" s="10" t="s">
        <v>1156</v>
      </c>
      <c r="C37" s="350">
        <v>1.0</v>
      </c>
      <c r="D37" s="351">
        <v>1.0</v>
      </c>
      <c r="E37" s="351">
        <v>1.0</v>
      </c>
      <c r="F37" s="351">
        <v>1.0</v>
      </c>
      <c r="G37" s="351">
        <v>1.0</v>
      </c>
      <c r="H37" s="351">
        <v>1.0</v>
      </c>
      <c r="I37" s="351">
        <v>1.0</v>
      </c>
      <c r="J37" s="351">
        <v>1.0</v>
      </c>
      <c r="K37" s="351">
        <v>1.0</v>
      </c>
      <c r="L37" s="163"/>
      <c r="M37" s="163"/>
      <c r="N37" s="163"/>
      <c r="O37" s="348">
        <v>1.0</v>
      </c>
      <c r="P37" s="348">
        <v>1.0</v>
      </c>
      <c r="Q37" s="349">
        <v>1.0</v>
      </c>
      <c r="R37" s="163" t="s">
        <v>64</v>
      </c>
      <c r="S37" s="163" t="s">
        <v>64</v>
      </c>
      <c r="T37" s="163" t="s">
        <v>64</v>
      </c>
      <c r="U37" s="163" t="s">
        <v>64</v>
      </c>
      <c r="V37" s="163" t="s">
        <v>64</v>
      </c>
      <c r="W37" s="163" t="s">
        <v>64</v>
      </c>
      <c r="X37" s="163" t="s">
        <v>64</v>
      </c>
      <c r="Y37" s="163" t="s">
        <v>64</v>
      </c>
      <c r="Z37" s="163" t="s">
        <v>64</v>
      </c>
      <c r="AA37" s="163" t="s">
        <v>64</v>
      </c>
      <c r="AB37" s="163" t="s">
        <v>64</v>
      </c>
      <c r="AC37" s="163" t="s">
        <v>64</v>
      </c>
      <c r="AD37" s="162" t="s">
        <v>64</v>
      </c>
      <c r="AE37" s="162" t="s">
        <v>64</v>
      </c>
      <c r="AF37" s="352" t="s">
        <v>64</v>
      </c>
      <c r="AG37" s="282"/>
      <c r="AH37" s="163" t="s">
        <v>64</v>
      </c>
      <c r="AI37" s="163" t="s">
        <v>64</v>
      </c>
      <c r="AJ37" s="163" t="s">
        <v>64</v>
      </c>
      <c r="AK37" s="283"/>
      <c r="AL37" s="282" t="s">
        <v>64</v>
      </c>
      <c r="AM37" s="163" t="s">
        <v>64</v>
      </c>
      <c r="AN37" s="163" t="s">
        <v>64</v>
      </c>
      <c r="AO37" s="163" t="s">
        <v>64</v>
      </c>
      <c r="AP37" s="163" t="s">
        <v>64</v>
      </c>
      <c r="AQ37" s="163" t="s">
        <v>64</v>
      </c>
      <c r="AR37" s="163"/>
      <c r="AS37" s="283"/>
      <c r="AT37" s="350">
        <v>0.6</v>
      </c>
      <c r="AU37" s="163">
        <v>0.6</v>
      </c>
      <c r="AV37" s="163">
        <v>0.6</v>
      </c>
      <c r="AW37" s="163" t="s">
        <v>64</v>
      </c>
      <c r="AX37" s="163" t="s">
        <v>64</v>
      </c>
      <c r="AY37" s="163" t="s">
        <v>64</v>
      </c>
      <c r="AZ37" s="163" t="s">
        <v>64</v>
      </c>
      <c r="BA37" s="163" t="s">
        <v>64</v>
      </c>
      <c r="BB37" s="163" t="s">
        <v>64</v>
      </c>
      <c r="BC37" s="163"/>
      <c r="BD37" s="163"/>
      <c r="BE37" s="283"/>
      <c r="BF37" s="282" t="s">
        <v>64</v>
      </c>
      <c r="BG37" s="163" t="s">
        <v>64</v>
      </c>
      <c r="BH37" s="163" t="s">
        <v>64</v>
      </c>
      <c r="BI37" s="163" t="s">
        <v>64</v>
      </c>
      <c r="BJ37" s="163" t="s">
        <v>64</v>
      </c>
      <c r="BK37" s="163" t="s">
        <v>64</v>
      </c>
      <c r="BL37" s="283" t="s">
        <v>64</v>
      </c>
      <c r="BM37" s="282"/>
      <c r="BN37" s="351"/>
      <c r="BO37" s="351"/>
      <c r="BP37" s="356"/>
      <c r="BQ37" s="282"/>
      <c r="BR37" s="163"/>
      <c r="BS37" s="163"/>
      <c r="BT37" s="351">
        <v>0.6</v>
      </c>
      <c r="BU37" s="351">
        <v>0.6</v>
      </c>
      <c r="BV37" s="356">
        <v>0.6</v>
      </c>
      <c r="BW37" s="282"/>
      <c r="BX37" s="163"/>
      <c r="BY37" s="163"/>
      <c r="BZ37" s="163"/>
      <c r="CA37" s="163"/>
      <c r="CB37" s="163"/>
      <c r="CC37" s="282"/>
      <c r="CD37" s="163"/>
      <c r="CE37" s="163"/>
      <c r="CF37" s="163"/>
      <c r="CG37" s="163"/>
      <c r="CH37" s="283"/>
      <c r="CI37" s="350"/>
      <c r="CJ37" s="351"/>
      <c r="CK37" s="351"/>
      <c r="CL37" s="351"/>
      <c r="CM37" s="351"/>
      <c r="CN37" s="351"/>
      <c r="CO37" s="351"/>
      <c r="CP37" s="351"/>
      <c r="CQ37" s="351"/>
      <c r="CR37" s="351"/>
      <c r="CS37" s="351"/>
      <c r="CT37" s="351"/>
      <c r="CU37" s="351"/>
      <c r="CV37" s="351"/>
      <c r="CW37" s="351"/>
      <c r="CX37" s="351"/>
      <c r="CY37" s="351"/>
      <c r="CZ37" s="351"/>
      <c r="DA37" s="351"/>
    </row>
    <row r="38">
      <c r="A38" s="10" t="s">
        <v>1157</v>
      </c>
      <c r="B38" s="10" t="s">
        <v>1158</v>
      </c>
      <c r="C38" s="300">
        <v>5.0</v>
      </c>
      <c r="D38" s="191">
        <v>5.0</v>
      </c>
      <c r="E38" s="191">
        <v>5.0</v>
      </c>
      <c r="F38" s="351">
        <v>0.0</v>
      </c>
      <c r="G38" s="351">
        <v>0.0</v>
      </c>
      <c r="H38" s="351">
        <v>0.0</v>
      </c>
      <c r="I38" s="351">
        <v>0.0</v>
      </c>
      <c r="J38" s="351">
        <v>0.0</v>
      </c>
      <c r="K38" s="351">
        <v>0.0</v>
      </c>
      <c r="L38" s="351">
        <v>0.0</v>
      </c>
      <c r="M38" s="351">
        <v>0.0</v>
      </c>
      <c r="N38" s="351">
        <v>0.0</v>
      </c>
      <c r="O38" s="346">
        <v>0.0</v>
      </c>
      <c r="P38" s="346">
        <v>0.0</v>
      </c>
      <c r="Q38" s="347">
        <v>0.0</v>
      </c>
      <c r="R38" s="201">
        <v>500.0</v>
      </c>
      <c r="S38" s="201">
        <v>500.0</v>
      </c>
      <c r="T38" s="201">
        <v>500.0</v>
      </c>
      <c r="U38" s="201">
        <v>300.0</v>
      </c>
      <c r="V38" s="201">
        <v>300.0</v>
      </c>
      <c r="W38" s="201">
        <v>300.0</v>
      </c>
      <c r="X38" s="191">
        <v>50.0</v>
      </c>
      <c r="Y38" s="191">
        <v>50.0</v>
      </c>
      <c r="Z38" s="191">
        <v>50.0</v>
      </c>
      <c r="AA38" s="191">
        <v>1000.0</v>
      </c>
      <c r="AB38" s="191">
        <v>750.0</v>
      </c>
      <c r="AC38" s="191">
        <v>370.0</v>
      </c>
      <c r="AD38" s="200">
        <v>150.0</v>
      </c>
      <c r="AE38" s="200">
        <v>150.0</v>
      </c>
      <c r="AF38" s="288">
        <v>150.0</v>
      </c>
      <c r="AG38" s="276"/>
      <c r="AH38" s="191">
        <v>3800.0</v>
      </c>
      <c r="AI38" s="191">
        <v>3800.0</v>
      </c>
      <c r="AJ38" s="191">
        <v>3800.0</v>
      </c>
      <c r="AK38" s="277"/>
      <c r="AL38" s="276">
        <v>800.0</v>
      </c>
      <c r="AM38" s="201">
        <v>800.0</v>
      </c>
      <c r="AN38" s="201">
        <v>800.0</v>
      </c>
      <c r="AO38" s="200">
        <v>350.0</v>
      </c>
      <c r="AP38" s="200">
        <v>350.0</v>
      </c>
      <c r="AQ38" s="191">
        <v>350.0</v>
      </c>
      <c r="AR38" s="201"/>
      <c r="AS38" s="277">
        <v>120.0</v>
      </c>
      <c r="AT38" s="300">
        <v>400.0</v>
      </c>
      <c r="AU38" s="191">
        <v>400.0</v>
      </c>
      <c r="AV38" s="191">
        <v>400.0</v>
      </c>
      <c r="AW38" s="191">
        <v>600.0</v>
      </c>
      <c r="AX38" s="191">
        <v>600.0</v>
      </c>
      <c r="AY38" s="191">
        <v>600.0</v>
      </c>
      <c r="AZ38" s="191">
        <v>3500.0</v>
      </c>
      <c r="BA38" s="191">
        <v>3500.0</v>
      </c>
      <c r="BB38" s="191">
        <v>3500.0</v>
      </c>
      <c r="BC38" s="191">
        <v>250.0</v>
      </c>
      <c r="BD38" s="191">
        <v>250.0</v>
      </c>
      <c r="BE38" s="324">
        <v>250.0</v>
      </c>
      <c r="BF38" s="276">
        <v>500.0</v>
      </c>
      <c r="BG38" s="201">
        <v>500.0</v>
      </c>
      <c r="BH38" s="201">
        <v>500.0</v>
      </c>
      <c r="BI38" s="201">
        <v>500.0</v>
      </c>
      <c r="BJ38" s="201">
        <v>500.0</v>
      </c>
      <c r="BK38" s="201">
        <v>500.0</v>
      </c>
      <c r="BL38" s="277">
        <v>500.0</v>
      </c>
      <c r="BM38" s="276">
        <v>250.0</v>
      </c>
      <c r="BN38" s="348"/>
      <c r="BO38" s="348"/>
      <c r="BP38" s="349"/>
      <c r="BQ38" s="276">
        <v>150.0</v>
      </c>
      <c r="BR38" s="201">
        <v>150.0</v>
      </c>
      <c r="BS38" s="201">
        <v>150.0</v>
      </c>
      <c r="BT38" s="201">
        <v>300.0</v>
      </c>
      <c r="BU38" s="201">
        <v>300.0</v>
      </c>
      <c r="BV38" s="277">
        <v>300.0</v>
      </c>
      <c r="BW38" s="276">
        <v>100.0</v>
      </c>
      <c r="BX38" s="201">
        <v>100.0</v>
      </c>
      <c r="BY38" s="201">
        <v>100.0</v>
      </c>
      <c r="BZ38" s="201">
        <v>60.0</v>
      </c>
      <c r="CA38" s="201"/>
      <c r="CB38" s="201"/>
      <c r="CC38" s="300">
        <v>400.0</v>
      </c>
      <c r="CD38" s="191">
        <v>400.0</v>
      </c>
      <c r="CE38" s="191">
        <v>400.0</v>
      </c>
      <c r="CF38" s="191">
        <v>400.0</v>
      </c>
      <c r="CG38" s="191">
        <v>400.0</v>
      </c>
      <c r="CH38" s="324">
        <v>400.0</v>
      </c>
      <c r="CI38" s="350"/>
      <c r="CJ38" s="351"/>
      <c r="CK38" s="351"/>
      <c r="CL38" s="351"/>
      <c r="CM38" s="351"/>
      <c r="CN38" s="351"/>
      <c r="CO38" s="351"/>
      <c r="CP38" s="351"/>
      <c r="CQ38" s="351"/>
      <c r="CR38" s="351"/>
      <c r="CS38" s="351"/>
      <c r="CT38" s="351"/>
      <c r="CU38" s="351"/>
      <c r="CV38" s="351"/>
      <c r="CW38" s="351"/>
      <c r="CX38" s="351"/>
      <c r="CY38" s="351"/>
      <c r="CZ38" s="351"/>
      <c r="DA38" s="351"/>
    </row>
    <row r="39">
      <c r="A39" s="10" t="s">
        <v>1159</v>
      </c>
      <c r="B39" s="163"/>
      <c r="C39" s="282" t="s">
        <v>1160</v>
      </c>
      <c r="D39" s="163" t="s">
        <v>1160</v>
      </c>
      <c r="E39" s="163" t="s">
        <v>1160</v>
      </c>
      <c r="F39" s="163" t="s">
        <v>1160</v>
      </c>
      <c r="G39" s="163" t="s">
        <v>1160</v>
      </c>
      <c r="H39" s="163" t="s">
        <v>1160</v>
      </c>
      <c r="I39" s="163" t="s">
        <v>1160</v>
      </c>
      <c r="J39" s="163" t="s">
        <v>1160</v>
      </c>
      <c r="K39" s="163" t="s">
        <v>1160</v>
      </c>
      <c r="L39" s="163" t="s">
        <v>1160</v>
      </c>
      <c r="M39" s="163" t="s">
        <v>1160</v>
      </c>
      <c r="N39" s="163" t="s">
        <v>1160</v>
      </c>
      <c r="O39" s="163" t="s">
        <v>1160</v>
      </c>
      <c r="P39" s="163" t="s">
        <v>1160</v>
      </c>
      <c r="Q39" s="283" t="s">
        <v>1160</v>
      </c>
      <c r="R39" s="163" t="s">
        <v>1160</v>
      </c>
      <c r="S39" s="163" t="s">
        <v>1160</v>
      </c>
      <c r="T39" s="163" t="s">
        <v>1160</v>
      </c>
      <c r="U39" s="163" t="s">
        <v>1160</v>
      </c>
      <c r="V39" s="163" t="s">
        <v>1160</v>
      </c>
      <c r="W39" s="163" t="s">
        <v>1160</v>
      </c>
      <c r="X39" s="163" t="s">
        <v>1160</v>
      </c>
      <c r="Y39" s="163" t="s">
        <v>1160</v>
      </c>
      <c r="Z39" s="163" t="s">
        <v>1160</v>
      </c>
      <c r="AA39" s="163" t="s">
        <v>1160</v>
      </c>
      <c r="AB39" s="163" t="s">
        <v>1160</v>
      </c>
      <c r="AC39" s="163" t="s">
        <v>1160</v>
      </c>
      <c r="AD39" s="163" t="s">
        <v>1160</v>
      </c>
      <c r="AE39" s="163" t="s">
        <v>1160</v>
      </c>
      <c r="AF39" s="283" t="s">
        <v>1160</v>
      </c>
      <c r="AG39" s="282"/>
      <c r="AH39" s="163" t="s">
        <v>1160</v>
      </c>
      <c r="AI39" s="163" t="s">
        <v>1160</v>
      </c>
      <c r="AJ39" s="163" t="s">
        <v>1160</v>
      </c>
      <c r="AK39" s="283"/>
      <c r="AL39" s="282" t="s">
        <v>1160</v>
      </c>
      <c r="AM39" s="163" t="s">
        <v>1160</v>
      </c>
      <c r="AN39" s="163" t="s">
        <v>1160</v>
      </c>
      <c r="AO39" s="163" t="s">
        <v>1160</v>
      </c>
      <c r="AP39" s="163" t="s">
        <v>1160</v>
      </c>
      <c r="AQ39" s="163" t="s">
        <v>1160</v>
      </c>
      <c r="AR39" s="163"/>
      <c r="AS39" s="281" t="s">
        <v>304</v>
      </c>
      <c r="AT39" s="280" t="s">
        <v>304</v>
      </c>
      <c r="AU39" s="163" t="s">
        <v>304</v>
      </c>
      <c r="AV39" s="163" t="s">
        <v>304</v>
      </c>
      <c r="AW39" s="163" t="s">
        <v>1160</v>
      </c>
      <c r="AX39" s="163" t="s">
        <v>1160</v>
      </c>
      <c r="AY39" s="163" t="s">
        <v>1160</v>
      </c>
      <c r="AZ39" s="163" t="s">
        <v>1160</v>
      </c>
      <c r="BA39" s="163" t="s">
        <v>1160</v>
      </c>
      <c r="BB39" s="163" t="s">
        <v>1160</v>
      </c>
      <c r="BC39" s="163" t="s">
        <v>304</v>
      </c>
      <c r="BD39" s="163" t="s">
        <v>304</v>
      </c>
      <c r="BE39" s="281" t="s">
        <v>304</v>
      </c>
      <c r="BF39" s="282" t="s">
        <v>1160</v>
      </c>
      <c r="BG39" s="163" t="s">
        <v>1160</v>
      </c>
      <c r="BH39" s="163" t="s">
        <v>1160</v>
      </c>
      <c r="BI39" s="163" t="s">
        <v>1160</v>
      </c>
      <c r="BJ39" s="163" t="s">
        <v>1160</v>
      </c>
      <c r="BK39" s="163" t="s">
        <v>1160</v>
      </c>
      <c r="BL39" s="283" t="s">
        <v>1160</v>
      </c>
      <c r="BM39" s="280" t="s">
        <v>304</v>
      </c>
      <c r="BN39" s="163"/>
      <c r="BO39" s="163"/>
      <c r="BP39" s="283"/>
      <c r="BQ39" s="280" t="s">
        <v>304</v>
      </c>
      <c r="BR39" s="10" t="s">
        <v>304</v>
      </c>
      <c r="BS39" s="10" t="s">
        <v>304</v>
      </c>
      <c r="BT39" s="10" t="s">
        <v>304</v>
      </c>
      <c r="BU39" s="10" t="s">
        <v>304</v>
      </c>
      <c r="BV39" s="281" t="s">
        <v>304</v>
      </c>
      <c r="BW39" s="280" t="s">
        <v>304</v>
      </c>
      <c r="BX39" s="10" t="s">
        <v>304</v>
      </c>
      <c r="BY39" s="10" t="s">
        <v>304</v>
      </c>
      <c r="BZ39" s="10" t="s">
        <v>304</v>
      </c>
      <c r="CA39" s="10"/>
      <c r="CB39" s="10"/>
      <c r="CC39" s="280" t="s">
        <v>304</v>
      </c>
      <c r="CD39" s="10" t="s">
        <v>304</v>
      </c>
      <c r="CE39" s="10" t="s">
        <v>304</v>
      </c>
      <c r="CF39" s="10" t="s">
        <v>304</v>
      </c>
      <c r="CG39" s="10" t="s">
        <v>304</v>
      </c>
      <c r="CH39" s="281" t="s">
        <v>304</v>
      </c>
      <c r="CI39" s="282"/>
      <c r="CJ39" s="163"/>
      <c r="CK39" s="163"/>
      <c r="CL39" s="163"/>
      <c r="CM39" s="163"/>
      <c r="CN39" s="163"/>
      <c r="CO39" s="163"/>
      <c r="CP39" s="163"/>
      <c r="CQ39" s="163"/>
      <c r="CR39" s="163"/>
      <c r="CS39" s="163"/>
      <c r="CT39" s="163"/>
      <c r="CU39" s="163"/>
      <c r="CV39" s="163"/>
      <c r="CW39" s="163"/>
      <c r="CX39" s="163"/>
      <c r="CY39" s="163"/>
      <c r="CZ39" s="163"/>
      <c r="DA39" s="163"/>
    </row>
    <row r="40">
      <c r="A40" s="10" t="s">
        <v>1161</v>
      </c>
      <c r="B40" s="10" t="s">
        <v>1156</v>
      </c>
      <c r="C40" s="289">
        <v>1.0</v>
      </c>
      <c r="D40" s="292">
        <v>1.0</v>
      </c>
      <c r="E40" s="292">
        <v>1.0</v>
      </c>
      <c r="F40" s="292">
        <v>1.0</v>
      </c>
      <c r="G40" s="292">
        <v>1.0</v>
      </c>
      <c r="H40" s="292">
        <v>1.0</v>
      </c>
      <c r="I40" s="292">
        <v>1.0</v>
      </c>
      <c r="J40" s="292">
        <v>1.0</v>
      </c>
      <c r="K40" s="292">
        <v>1.0</v>
      </c>
      <c r="L40" s="292">
        <v>1.0</v>
      </c>
      <c r="M40" s="292">
        <v>1.0</v>
      </c>
      <c r="N40" s="292">
        <v>1.0</v>
      </c>
      <c r="O40" s="292">
        <v>1.0</v>
      </c>
      <c r="P40" s="292">
        <v>1.0</v>
      </c>
      <c r="Q40" s="290">
        <v>1.0</v>
      </c>
      <c r="R40" s="201">
        <v>0.7</v>
      </c>
      <c r="S40" s="201">
        <v>0.7</v>
      </c>
      <c r="T40" s="201">
        <v>0.7</v>
      </c>
      <c r="U40" s="201">
        <v>0.7</v>
      </c>
      <c r="V40" s="201">
        <v>0.7</v>
      </c>
      <c r="W40" s="201">
        <v>0.7</v>
      </c>
      <c r="X40" s="201">
        <v>0.7</v>
      </c>
      <c r="Y40" s="201">
        <v>0.7</v>
      </c>
      <c r="Z40" s="201">
        <v>0.7</v>
      </c>
      <c r="AA40" s="201">
        <v>0.7</v>
      </c>
      <c r="AB40" s="201">
        <v>0.7</v>
      </c>
      <c r="AC40" s="201">
        <v>0.7</v>
      </c>
      <c r="AD40" s="200">
        <v>0.6</v>
      </c>
      <c r="AE40" s="200">
        <v>0.6</v>
      </c>
      <c r="AF40" s="288">
        <v>0.6</v>
      </c>
      <c r="AG40" s="276"/>
      <c r="AH40" s="201">
        <v>0.7</v>
      </c>
      <c r="AI40" s="201">
        <v>0.7</v>
      </c>
      <c r="AJ40" s="201">
        <v>0.7</v>
      </c>
      <c r="AK40" s="277"/>
      <c r="AL40" s="276">
        <v>0.7</v>
      </c>
      <c r="AM40" s="201">
        <v>0.7</v>
      </c>
      <c r="AN40" s="201">
        <v>0.7</v>
      </c>
      <c r="AO40" s="200">
        <v>0.6</v>
      </c>
      <c r="AP40" s="200">
        <v>0.6</v>
      </c>
      <c r="AQ40" s="191">
        <v>0.6</v>
      </c>
      <c r="AR40" s="201"/>
      <c r="AS40" s="277">
        <v>0.7</v>
      </c>
      <c r="AT40" s="276">
        <v>0.6</v>
      </c>
      <c r="AU40" s="201">
        <v>0.6</v>
      </c>
      <c r="AV40" s="201">
        <v>0.6</v>
      </c>
      <c r="AW40" s="201">
        <v>0.7</v>
      </c>
      <c r="AX40" s="201">
        <v>0.7</v>
      </c>
      <c r="AY40" s="201">
        <v>0.7</v>
      </c>
      <c r="AZ40" s="201">
        <v>0.7</v>
      </c>
      <c r="BA40" s="201">
        <v>0.7</v>
      </c>
      <c r="BB40" s="201">
        <v>0.7</v>
      </c>
      <c r="BC40" s="201">
        <v>0.7</v>
      </c>
      <c r="BD40" s="201">
        <v>0.7</v>
      </c>
      <c r="BE40" s="277">
        <v>0.7</v>
      </c>
      <c r="BF40" s="276">
        <v>0.7</v>
      </c>
      <c r="BG40" s="201">
        <v>0.7</v>
      </c>
      <c r="BH40" s="201">
        <v>0.7</v>
      </c>
      <c r="BI40" s="201">
        <v>0.7</v>
      </c>
      <c r="BJ40" s="201">
        <v>0.7</v>
      </c>
      <c r="BK40" s="201">
        <v>0.7</v>
      </c>
      <c r="BL40" s="277">
        <v>0.7</v>
      </c>
      <c r="BM40" s="276">
        <v>0.7</v>
      </c>
      <c r="BN40" s="201"/>
      <c r="BO40" s="201"/>
      <c r="BP40" s="277"/>
      <c r="BQ40" s="276">
        <v>0.7</v>
      </c>
      <c r="BR40" s="201">
        <v>0.7</v>
      </c>
      <c r="BS40" s="201">
        <v>0.7</v>
      </c>
      <c r="BT40" s="201">
        <v>0.6</v>
      </c>
      <c r="BU40" s="201">
        <v>0.6</v>
      </c>
      <c r="BV40" s="277">
        <v>0.6</v>
      </c>
      <c r="BW40" s="276">
        <v>0.7</v>
      </c>
      <c r="BX40" s="201">
        <v>0.7</v>
      </c>
      <c r="BY40" s="201">
        <v>0.7</v>
      </c>
      <c r="BZ40" s="201">
        <v>0.7</v>
      </c>
      <c r="CA40" s="201"/>
      <c r="CB40" s="201"/>
      <c r="CC40" s="276">
        <v>0.7</v>
      </c>
      <c r="CD40" s="201">
        <v>0.7</v>
      </c>
      <c r="CE40" s="201">
        <v>0.7</v>
      </c>
      <c r="CF40" s="201">
        <v>0.7</v>
      </c>
      <c r="CG40" s="201">
        <v>0.7</v>
      </c>
      <c r="CH40" s="277">
        <v>0.7</v>
      </c>
      <c r="CI40" s="289"/>
      <c r="CJ40" s="292"/>
      <c r="CK40" s="292"/>
      <c r="CL40" s="292"/>
      <c r="CM40" s="292"/>
      <c r="CN40" s="292"/>
      <c r="CO40" s="292"/>
      <c r="CP40" s="292"/>
      <c r="CQ40" s="292"/>
      <c r="CR40" s="292"/>
      <c r="CS40" s="292"/>
      <c r="CT40" s="292"/>
      <c r="CU40" s="292"/>
      <c r="CV40" s="292"/>
      <c r="CW40" s="292"/>
      <c r="CX40" s="292"/>
      <c r="CY40" s="292"/>
      <c r="CZ40" s="292"/>
      <c r="DA40" s="292"/>
    </row>
    <row r="41">
      <c r="A41" s="10" t="s">
        <v>1162</v>
      </c>
      <c r="B41" s="163"/>
      <c r="C41" s="357" t="b">
        <v>0</v>
      </c>
      <c r="D41" s="358" t="b">
        <v>0</v>
      </c>
      <c r="E41" s="358" t="b">
        <v>0</v>
      </c>
      <c r="F41" s="359" t="b">
        <v>1</v>
      </c>
      <c r="G41" s="359" t="b">
        <v>1</v>
      </c>
      <c r="H41" s="359" t="b">
        <v>1</v>
      </c>
      <c r="I41" s="360" t="b">
        <v>1</v>
      </c>
      <c r="J41" s="360" t="b">
        <v>1</v>
      </c>
      <c r="K41" s="360" t="b">
        <v>1</v>
      </c>
      <c r="L41" s="358" t="b">
        <v>0</v>
      </c>
      <c r="M41" s="358" t="b">
        <v>0</v>
      </c>
      <c r="N41" s="358" t="b">
        <v>0</v>
      </c>
      <c r="O41" s="358" t="b">
        <v>0</v>
      </c>
      <c r="P41" s="358" t="b">
        <v>0</v>
      </c>
      <c r="Q41" s="361" t="b">
        <v>0</v>
      </c>
      <c r="R41" s="358" t="b">
        <v>0</v>
      </c>
      <c r="S41" s="358" t="b">
        <v>0</v>
      </c>
      <c r="T41" s="358" t="b">
        <v>0</v>
      </c>
      <c r="U41" s="358" t="b">
        <v>0</v>
      </c>
      <c r="V41" s="358" t="b">
        <v>0</v>
      </c>
      <c r="W41" s="358" t="b">
        <v>0</v>
      </c>
      <c r="X41" s="358" t="b">
        <v>0</v>
      </c>
      <c r="Y41" s="358" t="b">
        <v>0</v>
      </c>
      <c r="Z41" s="358" t="b">
        <v>0</v>
      </c>
      <c r="AA41" s="358" t="b">
        <v>0</v>
      </c>
      <c r="AB41" s="358" t="b">
        <v>0</v>
      </c>
      <c r="AC41" s="358" t="b">
        <v>0</v>
      </c>
      <c r="AD41" s="360" t="b">
        <v>0</v>
      </c>
      <c r="AE41" s="360" t="b">
        <v>0</v>
      </c>
      <c r="AF41" s="362" t="b">
        <v>0</v>
      </c>
      <c r="AG41" s="357"/>
      <c r="AH41" s="358" t="b">
        <v>0</v>
      </c>
      <c r="AI41" s="358" t="b">
        <v>0</v>
      </c>
      <c r="AJ41" s="358" t="b">
        <v>0</v>
      </c>
      <c r="AK41" s="361"/>
      <c r="AL41" s="357" t="b">
        <v>0</v>
      </c>
      <c r="AM41" s="358" t="b">
        <v>0</v>
      </c>
      <c r="AN41" s="358" t="b">
        <v>0</v>
      </c>
      <c r="AO41" s="360" t="b">
        <v>0</v>
      </c>
      <c r="AP41" s="360" t="b">
        <v>0</v>
      </c>
      <c r="AQ41" s="359" t="b">
        <v>0</v>
      </c>
      <c r="AR41" s="358"/>
      <c r="AS41" s="361" t="b">
        <v>0</v>
      </c>
      <c r="AT41" s="357" t="b">
        <v>0</v>
      </c>
      <c r="AU41" s="358" t="b">
        <v>0</v>
      </c>
      <c r="AV41" s="358" t="b">
        <v>0</v>
      </c>
      <c r="AW41" s="358" t="b">
        <v>0</v>
      </c>
      <c r="AX41" s="358" t="b">
        <v>0</v>
      </c>
      <c r="AY41" s="358" t="b">
        <v>0</v>
      </c>
      <c r="AZ41" s="358" t="b">
        <v>0</v>
      </c>
      <c r="BA41" s="358" t="b">
        <v>0</v>
      </c>
      <c r="BB41" s="358" t="b">
        <v>0</v>
      </c>
      <c r="BC41" s="358" t="b">
        <v>0</v>
      </c>
      <c r="BD41" s="358" t="b">
        <v>0</v>
      </c>
      <c r="BE41" s="361" t="b">
        <v>0</v>
      </c>
      <c r="BF41" s="357" t="b">
        <v>0</v>
      </c>
      <c r="BG41" s="358" t="b">
        <v>0</v>
      </c>
      <c r="BH41" s="358" t="b">
        <v>0</v>
      </c>
      <c r="BI41" s="358" t="b">
        <v>0</v>
      </c>
      <c r="BJ41" s="358" t="b">
        <v>0</v>
      </c>
      <c r="BK41" s="358" t="b">
        <v>0</v>
      </c>
      <c r="BL41" s="361" t="b">
        <v>0</v>
      </c>
      <c r="BM41" s="357" t="b">
        <v>0</v>
      </c>
      <c r="BN41" s="358"/>
      <c r="BO41" s="358"/>
      <c r="BP41" s="361"/>
      <c r="BQ41" s="357" t="b">
        <v>0</v>
      </c>
      <c r="BR41" s="358" t="b">
        <v>0</v>
      </c>
      <c r="BS41" s="358" t="b">
        <v>0</v>
      </c>
      <c r="BT41" s="358" t="b">
        <v>1</v>
      </c>
      <c r="BU41" s="358" t="b">
        <v>1</v>
      </c>
      <c r="BV41" s="361" t="b">
        <v>1</v>
      </c>
      <c r="BW41" s="357" t="b">
        <v>0</v>
      </c>
      <c r="BX41" s="358" t="b">
        <v>0</v>
      </c>
      <c r="BY41" s="358" t="b">
        <v>0</v>
      </c>
      <c r="BZ41" s="358" t="b">
        <v>0</v>
      </c>
      <c r="CA41" s="358"/>
      <c r="CB41" s="358"/>
      <c r="CC41" s="357" t="b">
        <v>0</v>
      </c>
      <c r="CD41" s="358" t="b">
        <v>0</v>
      </c>
      <c r="CE41" s="358" t="b">
        <v>0</v>
      </c>
      <c r="CF41" s="358" t="b">
        <v>0</v>
      </c>
      <c r="CG41" s="358" t="b">
        <v>0</v>
      </c>
      <c r="CH41" s="361" t="b">
        <v>0</v>
      </c>
      <c r="CI41" s="357"/>
      <c r="CJ41" s="358"/>
      <c r="CK41" s="358"/>
      <c r="CL41" s="358"/>
      <c r="CM41" s="358"/>
      <c r="CN41" s="358"/>
      <c r="CO41" s="358"/>
      <c r="CP41" s="358"/>
      <c r="CQ41" s="358"/>
      <c r="CR41" s="358"/>
      <c r="CS41" s="358"/>
      <c r="CT41" s="358"/>
      <c r="CU41" s="358"/>
      <c r="CV41" s="358"/>
      <c r="CW41" s="358"/>
      <c r="CX41" s="358"/>
      <c r="CY41" s="358"/>
      <c r="CZ41" s="358"/>
      <c r="DA41" s="358"/>
    </row>
    <row r="42">
      <c r="A42" s="10" t="s">
        <v>1163</v>
      </c>
      <c r="B42" s="10" t="s">
        <v>1164</v>
      </c>
      <c r="C42" s="363">
        <v>0.06</v>
      </c>
      <c r="D42" s="344">
        <v>0.05</v>
      </c>
      <c r="E42" s="344">
        <v>0.04</v>
      </c>
      <c r="F42" s="344">
        <f>1/2.6/10^6</f>
        <v>0.0000003846153846</v>
      </c>
      <c r="G42" s="344">
        <f>1/2.6/10^6*0.8</f>
        <v>0.0000003076923077</v>
      </c>
      <c r="H42" s="344">
        <f>1/2.6/10^6*0.6</f>
        <v>0.0000002307692308</v>
      </c>
      <c r="I42" s="344">
        <f>1/2.6/10^6</f>
        <v>0.0000003846153846</v>
      </c>
      <c r="J42" s="344">
        <f>1/2.6/10^6*0.8</f>
        <v>0.0000003076923077</v>
      </c>
      <c r="K42" s="344">
        <f>1/2.6/10^6*0.6</f>
        <v>0.0000002307692308</v>
      </c>
      <c r="L42" s="238">
        <v>4.5</v>
      </c>
      <c r="M42" s="238">
        <v>4.5</v>
      </c>
      <c r="N42" s="238">
        <v>4.5</v>
      </c>
      <c r="O42" s="238">
        <v>4.5</v>
      </c>
      <c r="P42" s="238">
        <v>4.5</v>
      </c>
      <c r="Q42" s="364">
        <v>4.5</v>
      </c>
      <c r="R42" s="189">
        <v>9.0</v>
      </c>
      <c r="S42" s="189">
        <v>9.0</v>
      </c>
      <c r="T42" s="189">
        <v>9.0</v>
      </c>
      <c r="U42" s="189">
        <v>4.5</v>
      </c>
      <c r="V42" s="189">
        <v>4.5</v>
      </c>
      <c r="W42" s="189">
        <v>4.5</v>
      </c>
      <c r="X42" s="189">
        <v>4.5</v>
      </c>
      <c r="Y42" s="189">
        <v>4.5</v>
      </c>
      <c r="Z42" s="189">
        <v>4.5</v>
      </c>
      <c r="AA42" s="189">
        <v>6.75</v>
      </c>
      <c r="AB42" s="189">
        <v>6.75</v>
      </c>
      <c r="AC42" s="189">
        <v>6.75</v>
      </c>
      <c r="AD42" s="189">
        <v>2.25</v>
      </c>
      <c r="AE42" s="189">
        <v>2.25</v>
      </c>
      <c r="AF42" s="322">
        <v>2.25</v>
      </c>
      <c r="AG42" s="291"/>
      <c r="AH42" s="189">
        <f t="shared" ref="AH42:AJ42" si="1">(0.5+0.5+0.2+0.1)*4.5</f>
        <v>5.85</v>
      </c>
      <c r="AI42" s="189">
        <f t="shared" si="1"/>
        <v>5.85</v>
      </c>
      <c r="AJ42" s="189">
        <f t="shared" si="1"/>
        <v>5.85</v>
      </c>
      <c r="AK42" s="304"/>
      <c r="AL42" s="295">
        <f t="shared" ref="AL42:AN42" si="2">(0.5+0.2+0.3)*4.5</f>
        <v>4.5</v>
      </c>
      <c r="AM42" s="189">
        <f t="shared" si="2"/>
        <v>4.5</v>
      </c>
      <c r="AN42" s="189">
        <f t="shared" si="2"/>
        <v>4.5</v>
      </c>
      <c r="AO42" s="181">
        <f t="shared" ref="AO42:AQ42" si="3">(0.5+0.2)*4.5</f>
        <v>3.15</v>
      </c>
      <c r="AP42" s="181">
        <f t="shared" si="3"/>
        <v>3.15</v>
      </c>
      <c r="AQ42" s="189">
        <f t="shared" si="3"/>
        <v>3.15</v>
      </c>
      <c r="AR42" s="287"/>
      <c r="AS42" s="304">
        <f>0.3*4.5</f>
        <v>1.35</v>
      </c>
      <c r="AT42" s="295">
        <f>(0.2)*4.5</f>
        <v>0.9</v>
      </c>
      <c r="AU42" s="189">
        <v>0.9</v>
      </c>
      <c r="AV42" s="189">
        <v>0.9</v>
      </c>
      <c r="AW42" s="189">
        <f t="shared" ref="AW42:BB42" si="4">(0.2+0.2)*4.5</f>
        <v>1.8</v>
      </c>
      <c r="AX42" s="189">
        <f t="shared" si="4"/>
        <v>1.8</v>
      </c>
      <c r="AY42" s="189">
        <f t="shared" si="4"/>
        <v>1.8</v>
      </c>
      <c r="AZ42" s="189">
        <f t="shared" si="4"/>
        <v>1.8</v>
      </c>
      <c r="BA42" s="189">
        <f t="shared" si="4"/>
        <v>1.8</v>
      </c>
      <c r="BB42" s="189">
        <f t="shared" si="4"/>
        <v>1.8</v>
      </c>
      <c r="BC42" s="189">
        <v>0.9</v>
      </c>
      <c r="BD42" s="189">
        <v>0.9</v>
      </c>
      <c r="BE42" s="322">
        <f>(0.2)*4.5</f>
        <v>0.9</v>
      </c>
      <c r="BF42" s="291">
        <f>(0.5+0.3+0.2)*4.5</f>
        <v>4.5</v>
      </c>
      <c r="BG42" s="287">
        <v>4.5</v>
      </c>
      <c r="BH42" s="287">
        <v>4.5</v>
      </c>
      <c r="BI42" s="287">
        <f t="shared" ref="BI42:BL42" si="5">(0.5+0.3+0.2)*4.5</f>
        <v>4.5</v>
      </c>
      <c r="BJ42" s="287">
        <f t="shared" si="5"/>
        <v>4.5</v>
      </c>
      <c r="BK42" s="287">
        <f t="shared" si="5"/>
        <v>4.5</v>
      </c>
      <c r="BL42" s="304">
        <f t="shared" si="5"/>
        <v>4.5</v>
      </c>
      <c r="BM42" s="291">
        <f>(0.5+0.2)*4.5</f>
        <v>3.15</v>
      </c>
      <c r="BN42" s="346"/>
      <c r="BO42" s="346"/>
      <c r="BP42" s="347"/>
      <c r="BQ42" s="295">
        <f t="shared" ref="BQ42:BS42" si="6">(0.5+0.3+0.2)*4.5</f>
        <v>4.5</v>
      </c>
      <c r="BR42" s="189">
        <f t="shared" si="6"/>
        <v>4.5</v>
      </c>
      <c r="BS42" s="189">
        <f t="shared" si="6"/>
        <v>4.5</v>
      </c>
      <c r="BT42" s="181">
        <v>5.4</v>
      </c>
      <c r="BU42" s="181">
        <v>5.4</v>
      </c>
      <c r="BV42" s="322">
        <f>(0.5+0.3+0.2*2)*4.5</f>
        <v>5.4</v>
      </c>
      <c r="BW42" s="295">
        <f>(0.5+0.2)*4.5</f>
        <v>3.15</v>
      </c>
      <c r="BX42" s="189">
        <v>3.15</v>
      </c>
      <c r="BY42" s="189">
        <v>3.15</v>
      </c>
      <c r="BZ42" s="287">
        <v>0.3</v>
      </c>
      <c r="CA42" s="287"/>
      <c r="CB42" s="287"/>
      <c r="CC42" s="295">
        <f>(0.2+0.2+0.5)*4.5</f>
        <v>4.05</v>
      </c>
      <c r="CD42" s="189">
        <v>4.05</v>
      </c>
      <c r="CE42" s="189">
        <v>4.05</v>
      </c>
      <c r="CF42" s="189">
        <v>4.05</v>
      </c>
      <c r="CG42" s="189">
        <v>4.05</v>
      </c>
      <c r="CH42" s="322">
        <f>(0.2+0.2+0.5)*4.5</f>
        <v>4.05</v>
      </c>
      <c r="CI42" s="350"/>
      <c r="CJ42" s="351"/>
      <c r="CK42" s="351"/>
      <c r="CL42" s="351"/>
      <c r="CM42" s="351"/>
      <c r="CN42" s="351"/>
      <c r="CO42" s="351"/>
      <c r="CP42" s="351"/>
      <c r="CQ42" s="351"/>
      <c r="CR42" s="351"/>
      <c r="CS42" s="351"/>
      <c r="CT42" s="351"/>
      <c r="CU42" s="351"/>
      <c r="CV42" s="351"/>
      <c r="CW42" s="351"/>
      <c r="CX42" s="351"/>
      <c r="CY42" s="351"/>
      <c r="CZ42" s="351"/>
      <c r="DA42" s="351"/>
    </row>
    <row r="43">
      <c r="A43" s="10" t="s">
        <v>1165</v>
      </c>
      <c r="B43" s="163"/>
      <c r="C43" s="282" t="s">
        <v>1166</v>
      </c>
      <c r="D43" s="163" t="s">
        <v>1166</v>
      </c>
      <c r="E43" s="163" t="s">
        <v>1166</v>
      </c>
      <c r="F43" s="163" t="s">
        <v>1166</v>
      </c>
      <c r="G43" s="163" t="s">
        <v>1166</v>
      </c>
      <c r="H43" s="163" t="s">
        <v>1166</v>
      </c>
      <c r="I43" s="163" t="s">
        <v>1166</v>
      </c>
      <c r="J43" s="163" t="s">
        <v>1166</v>
      </c>
      <c r="K43" s="163" t="s">
        <v>1166</v>
      </c>
      <c r="L43" s="163" t="s">
        <v>1166</v>
      </c>
      <c r="M43" s="163" t="s">
        <v>1166</v>
      </c>
      <c r="N43" s="163" t="s">
        <v>1166</v>
      </c>
      <c r="O43" s="163" t="s">
        <v>1166</v>
      </c>
      <c r="P43" s="163" t="s">
        <v>1166</v>
      </c>
      <c r="Q43" s="283" t="s">
        <v>1166</v>
      </c>
      <c r="R43" s="163" t="s">
        <v>1166</v>
      </c>
      <c r="S43" s="163" t="s">
        <v>1166</v>
      </c>
      <c r="T43" s="163" t="s">
        <v>1166</v>
      </c>
      <c r="U43" s="163" t="s">
        <v>1166</v>
      </c>
      <c r="V43" s="163" t="s">
        <v>1166</v>
      </c>
      <c r="W43" s="163" t="s">
        <v>1166</v>
      </c>
      <c r="X43" s="163" t="s">
        <v>1166</v>
      </c>
      <c r="Y43" s="163" t="s">
        <v>1166</v>
      </c>
      <c r="Z43" s="163" t="s">
        <v>1166</v>
      </c>
      <c r="AA43" s="163" t="s">
        <v>1166</v>
      </c>
      <c r="AB43" s="163" t="s">
        <v>1166</v>
      </c>
      <c r="AC43" s="163" t="s">
        <v>1166</v>
      </c>
      <c r="AD43" s="162" t="s">
        <v>1166</v>
      </c>
      <c r="AE43" s="162" t="s">
        <v>1166</v>
      </c>
      <c r="AF43" s="352" t="s">
        <v>1166</v>
      </c>
      <c r="AG43" s="282"/>
      <c r="AH43" s="163" t="s">
        <v>1166</v>
      </c>
      <c r="AI43" s="163" t="s">
        <v>1166</v>
      </c>
      <c r="AJ43" s="163" t="s">
        <v>1166</v>
      </c>
      <c r="AK43" s="283"/>
      <c r="AL43" s="282" t="s">
        <v>1166</v>
      </c>
      <c r="AM43" s="163" t="s">
        <v>1166</v>
      </c>
      <c r="AN43" s="163" t="s">
        <v>1166</v>
      </c>
      <c r="AO43" s="162" t="s">
        <v>1166</v>
      </c>
      <c r="AP43" s="162" t="s">
        <v>1166</v>
      </c>
      <c r="AQ43" s="164" t="s">
        <v>1166</v>
      </c>
      <c r="AR43" s="163"/>
      <c r="AS43" s="281" t="s">
        <v>1166</v>
      </c>
      <c r="AT43" s="280" t="s">
        <v>1166</v>
      </c>
      <c r="AU43" s="163" t="s">
        <v>1166</v>
      </c>
      <c r="AV43" s="163" t="s">
        <v>1166</v>
      </c>
      <c r="AW43" s="163" t="s">
        <v>1166</v>
      </c>
      <c r="AX43" s="163" t="s">
        <v>1166</v>
      </c>
      <c r="AY43" s="163" t="s">
        <v>1166</v>
      </c>
      <c r="AZ43" s="163" t="s">
        <v>1166</v>
      </c>
      <c r="BA43" s="163" t="s">
        <v>1166</v>
      </c>
      <c r="BB43" s="163" t="s">
        <v>1166</v>
      </c>
      <c r="BC43" s="163" t="s">
        <v>1166</v>
      </c>
      <c r="BD43" s="163" t="s">
        <v>1166</v>
      </c>
      <c r="BE43" s="281" t="s">
        <v>1166</v>
      </c>
      <c r="BF43" s="282" t="s">
        <v>1166</v>
      </c>
      <c r="BG43" s="163" t="s">
        <v>1166</v>
      </c>
      <c r="BH43" s="163" t="s">
        <v>1166</v>
      </c>
      <c r="BI43" s="163" t="s">
        <v>1166</v>
      </c>
      <c r="BJ43" s="163" t="s">
        <v>1166</v>
      </c>
      <c r="BK43" s="163" t="s">
        <v>1166</v>
      </c>
      <c r="BL43" s="283" t="s">
        <v>1166</v>
      </c>
      <c r="BM43" s="280" t="s">
        <v>1166</v>
      </c>
      <c r="BN43" s="163"/>
      <c r="BO43" s="163"/>
      <c r="BP43" s="283"/>
      <c r="BQ43" s="280" t="s">
        <v>1166</v>
      </c>
      <c r="BR43" s="10" t="s">
        <v>1166</v>
      </c>
      <c r="BS43" s="10" t="s">
        <v>1166</v>
      </c>
      <c r="BT43" s="10" t="s">
        <v>1166</v>
      </c>
      <c r="BU43" s="10" t="s">
        <v>1166</v>
      </c>
      <c r="BV43" s="281" t="s">
        <v>1166</v>
      </c>
      <c r="BW43" s="280" t="s">
        <v>1166</v>
      </c>
      <c r="BX43" s="10" t="s">
        <v>1166</v>
      </c>
      <c r="BY43" s="10" t="s">
        <v>1166</v>
      </c>
      <c r="BZ43" s="10" t="s">
        <v>1166</v>
      </c>
      <c r="CA43" s="10"/>
      <c r="CB43" s="10"/>
      <c r="CC43" s="280" t="s">
        <v>1166</v>
      </c>
      <c r="CD43" s="10" t="s">
        <v>1166</v>
      </c>
      <c r="CE43" s="10" t="s">
        <v>1166</v>
      </c>
      <c r="CF43" s="10" t="s">
        <v>1166</v>
      </c>
      <c r="CG43" s="10" t="s">
        <v>1166</v>
      </c>
      <c r="CH43" s="281" t="s">
        <v>1166</v>
      </c>
      <c r="CI43" s="282"/>
      <c r="CJ43" s="163"/>
      <c r="CK43" s="163"/>
      <c r="CL43" s="163"/>
      <c r="CM43" s="163"/>
      <c r="CN43" s="163"/>
      <c r="CO43" s="163"/>
      <c r="CP43" s="163"/>
      <c r="CQ43" s="163"/>
      <c r="CR43" s="163"/>
      <c r="CS43" s="163"/>
      <c r="CT43" s="163"/>
      <c r="CU43" s="163"/>
      <c r="CV43" s="163"/>
      <c r="CW43" s="163"/>
      <c r="CX43" s="163"/>
      <c r="CY43" s="163"/>
      <c r="CZ43" s="163"/>
      <c r="DA43" s="163"/>
    </row>
    <row r="44">
      <c r="A44" s="306" t="s">
        <v>1167</v>
      </c>
      <c r="B44" s="107" t="s">
        <v>1168</v>
      </c>
      <c r="C44" s="365">
        <v>0.5</v>
      </c>
      <c r="D44" s="366">
        <v>0.5</v>
      </c>
      <c r="E44" s="366">
        <v>0.5</v>
      </c>
      <c r="F44" s="367">
        <v>0.5</v>
      </c>
      <c r="G44" s="367">
        <v>0.5</v>
      </c>
      <c r="H44" s="367">
        <v>0.5</v>
      </c>
      <c r="I44" s="368">
        <v>0.5</v>
      </c>
      <c r="J44" s="368">
        <v>0.5</v>
      </c>
      <c r="K44" s="368">
        <v>0.5</v>
      </c>
      <c r="L44" s="367">
        <v>0.5</v>
      </c>
      <c r="M44" s="367">
        <v>0.5</v>
      </c>
      <c r="N44" s="367">
        <v>0.5</v>
      </c>
      <c r="O44" s="367">
        <v>0.5</v>
      </c>
      <c r="P44" s="367">
        <v>0.5</v>
      </c>
      <c r="Q44" s="369">
        <v>0.5</v>
      </c>
      <c r="R44" s="370">
        <v>0.5</v>
      </c>
      <c r="S44" s="370">
        <v>0.5</v>
      </c>
      <c r="T44" s="370">
        <v>0.5</v>
      </c>
      <c r="U44" s="370">
        <v>0.5</v>
      </c>
      <c r="V44" s="370">
        <v>0.5</v>
      </c>
      <c r="W44" s="370">
        <v>0.5</v>
      </c>
      <c r="X44" s="370">
        <v>0.5</v>
      </c>
      <c r="Y44" s="370">
        <v>0.5</v>
      </c>
      <c r="Z44" s="370">
        <v>0.5</v>
      </c>
      <c r="AA44" s="370">
        <v>0.5</v>
      </c>
      <c r="AB44" s="370">
        <v>0.5</v>
      </c>
      <c r="AC44" s="370">
        <v>0.5</v>
      </c>
      <c r="AD44" s="371">
        <v>0.5</v>
      </c>
      <c r="AE44" s="371">
        <v>0.5</v>
      </c>
      <c r="AF44" s="372">
        <v>0.5</v>
      </c>
      <c r="AG44" s="373"/>
      <c r="AH44" s="370">
        <v>0.2</v>
      </c>
      <c r="AI44" s="370">
        <v>0.2</v>
      </c>
      <c r="AJ44" s="370">
        <v>0.2</v>
      </c>
      <c r="AK44" s="374"/>
      <c r="AL44" s="375">
        <v>0.2</v>
      </c>
      <c r="AM44" s="370">
        <v>0.2</v>
      </c>
      <c r="AN44" s="370">
        <v>0.2</v>
      </c>
      <c r="AO44" s="371">
        <v>0.2</v>
      </c>
      <c r="AP44" s="371">
        <v>0.2</v>
      </c>
      <c r="AQ44" s="370">
        <v>0.2</v>
      </c>
      <c r="AR44" s="376"/>
      <c r="AS44" s="377">
        <v>0.2</v>
      </c>
      <c r="AT44" s="375">
        <v>0.2</v>
      </c>
      <c r="AU44" s="370">
        <v>0.2</v>
      </c>
      <c r="AV44" s="370">
        <v>0.2</v>
      </c>
      <c r="AW44" s="370">
        <v>0.2</v>
      </c>
      <c r="AX44" s="370">
        <v>0.2</v>
      </c>
      <c r="AY44" s="370">
        <v>0.2</v>
      </c>
      <c r="AZ44" s="370">
        <v>0.2</v>
      </c>
      <c r="BA44" s="370">
        <v>0.2</v>
      </c>
      <c r="BB44" s="370">
        <v>0.2</v>
      </c>
      <c r="BC44" s="370">
        <v>0.2</v>
      </c>
      <c r="BD44" s="370">
        <v>0.2</v>
      </c>
      <c r="BE44" s="377">
        <v>0.2</v>
      </c>
      <c r="BF44" s="375">
        <v>0.2</v>
      </c>
      <c r="BG44" s="370">
        <v>0.2</v>
      </c>
      <c r="BH44" s="370">
        <v>0.2</v>
      </c>
      <c r="BI44" s="370">
        <v>0.2</v>
      </c>
      <c r="BJ44" s="370">
        <v>0.2</v>
      </c>
      <c r="BK44" s="370">
        <v>0.2</v>
      </c>
      <c r="BL44" s="377">
        <v>0.2</v>
      </c>
      <c r="BM44" s="375">
        <v>0.2</v>
      </c>
      <c r="BN44" s="378"/>
      <c r="BO44" s="378"/>
      <c r="BP44" s="379"/>
      <c r="BQ44" s="375">
        <v>0.2</v>
      </c>
      <c r="BR44" s="370">
        <v>0.2</v>
      </c>
      <c r="BS44" s="370">
        <v>0.2</v>
      </c>
      <c r="BT44" s="371">
        <v>0.2</v>
      </c>
      <c r="BU44" s="371">
        <v>0.2</v>
      </c>
      <c r="BV44" s="377">
        <v>0.2</v>
      </c>
      <c r="BW44" s="375">
        <v>0.5</v>
      </c>
      <c r="BX44" s="370">
        <v>0.5</v>
      </c>
      <c r="BY44" s="370">
        <v>0.5</v>
      </c>
      <c r="BZ44" s="370">
        <v>0.2</v>
      </c>
      <c r="CA44" s="376"/>
      <c r="CB44" s="376"/>
      <c r="CC44" s="380">
        <v>0.5</v>
      </c>
      <c r="CD44" s="381">
        <v>0.5</v>
      </c>
      <c r="CE44" s="381">
        <v>0.5</v>
      </c>
      <c r="CF44" s="381">
        <v>0.5</v>
      </c>
      <c r="CG44" s="381">
        <v>0.5</v>
      </c>
      <c r="CH44" s="382">
        <v>0.5</v>
      </c>
      <c r="CI44" s="383"/>
      <c r="CJ44" s="378"/>
      <c r="CK44" s="378"/>
      <c r="CL44" s="378"/>
      <c r="CM44" s="378"/>
      <c r="CN44" s="378"/>
      <c r="CO44" s="378"/>
      <c r="CP44" s="378"/>
      <c r="CQ44" s="378"/>
      <c r="CR44" s="378"/>
      <c r="CS44" s="378"/>
      <c r="CT44" s="378"/>
      <c r="CU44" s="378"/>
      <c r="CV44" s="378"/>
      <c r="CW44" s="378"/>
      <c r="CX44" s="378"/>
      <c r="CY44" s="378"/>
      <c r="CZ44" s="378"/>
      <c r="DA44" s="378"/>
    </row>
    <row r="45">
      <c r="A45" s="175" t="s">
        <v>1169</v>
      </c>
      <c r="B45" s="175" t="s">
        <v>1170</v>
      </c>
      <c r="C45" s="384">
        <v>0.0</v>
      </c>
      <c r="D45" s="385">
        <v>0.0</v>
      </c>
      <c r="E45" s="385">
        <v>0.0</v>
      </c>
      <c r="F45" s="385">
        <v>0.0</v>
      </c>
      <c r="G45" s="385">
        <v>0.0</v>
      </c>
      <c r="H45" s="385">
        <v>0.0</v>
      </c>
      <c r="I45" s="385">
        <v>0.0</v>
      </c>
      <c r="J45" s="385">
        <v>0.0</v>
      </c>
      <c r="K45" s="385">
        <v>0.0</v>
      </c>
      <c r="L45" s="385">
        <v>0.0</v>
      </c>
      <c r="M45" s="385">
        <v>0.0</v>
      </c>
      <c r="N45" s="385">
        <v>0.0</v>
      </c>
      <c r="O45" s="385">
        <v>0.0</v>
      </c>
      <c r="P45" s="385">
        <v>0.0</v>
      </c>
      <c r="Q45" s="386">
        <v>0.0</v>
      </c>
      <c r="R45" s="385">
        <v>0.0</v>
      </c>
      <c r="S45" s="385">
        <v>0.0</v>
      </c>
      <c r="T45" s="385">
        <v>0.0</v>
      </c>
      <c r="U45" s="385">
        <v>0.0</v>
      </c>
      <c r="V45" s="385">
        <v>0.0</v>
      </c>
      <c r="W45" s="385">
        <v>0.0</v>
      </c>
      <c r="X45" s="385">
        <v>0.0</v>
      </c>
      <c r="Y45" s="385">
        <v>0.0</v>
      </c>
      <c r="Z45" s="385">
        <v>0.0</v>
      </c>
      <c r="AA45" s="385">
        <v>0.0</v>
      </c>
      <c r="AB45" s="385">
        <v>0.0</v>
      </c>
      <c r="AC45" s="385">
        <v>0.0</v>
      </c>
      <c r="AD45" s="385">
        <v>0.0</v>
      </c>
      <c r="AE45" s="385">
        <v>0.0</v>
      </c>
      <c r="AF45" s="386">
        <v>0.0</v>
      </c>
      <c r="AG45" s="266"/>
      <c r="AH45" s="385">
        <v>0.0</v>
      </c>
      <c r="AI45" s="385">
        <v>0.0</v>
      </c>
      <c r="AJ45" s="385">
        <v>0.0</v>
      </c>
      <c r="AK45" s="267"/>
      <c r="AL45" s="384">
        <v>0.0</v>
      </c>
      <c r="AM45" s="385">
        <v>0.0</v>
      </c>
      <c r="AN45" s="385">
        <v>0.0</v>
      </c>
      <c r="AO45" s="387">
        <v>0.0</v>
      </c>
      <c r="AP45" s="387">
        <v>0.0</v>
      </c>
      <c r="AQ45" s="385">
        <v>0.0</v>
      </c>
      <c r="AR45" s="273"/>
      <c r="AS45" s="386">
        <v>0.0</v>
      </c>
      <c r="AT45" s="384">
        <v>0.0</v>
      </c>
      <c r="AU45" s="385">
        <v>0.0</v>
      </c>
      <c r="AV45" s="385">
        <v>0.0</v>
      </c>
      <c r="AW45" s="385">
        <v>0.0</v>
      </c>
      <c r="AX45" s="385">
        <v>0.0</v>
      </c>
      <c r="AY45" s="385">
        <v>0.0</v>
      </c>
      <c r="AZ45" s="385">
        <v>0.0</v>
      </c>
      <c r="BA45" s="385">
        <v>0.0</v>
      </c>
      <c r="BB45" s="385">
        <v>0.0</v>
      </c>
      <c r="BC45" s="385">
        <v>0.0</v>
      </c>
      <c r="BD45" s="385">
        <v>0.0</v>
      </c>
      <c r="BE45" s="386">
        <v>0.0</v>
      </c>
      <c r="BF45" s="384">
        <v>0.0</v>
      </c>
      <c r="BG45" s="385">
        <v>0.0</v>
      </c>
      <c r="BH45" s="385">
        <v>0.0</v>
      </c>
      <c r="BI45" s="385">
        <v>0.0</v>
      </c>
      <c r="BJ45" s="385">
        <v>0.0</v>
      </c>
      <c r="BK45" s="385">
        <v>0.0</v>
      </c>
      <c r="BL45" s="386">
        <v>0.0</v>
      </c>
      <c r="BM45" s="384">
        <v>0.0</v>
      </c>
      <c r="BN45" s="385"/>
      <c r="BO45" s="273"/>
      <c r="BP45" s="267"/>
      <c r="BQ45" s="384">
        <v>0.0</v>
      </c>
      <c r="BR45" s="385">
        <v>0.0</v>
      </c>
      <c r="BS45" s="385">
        <v>0.0</v>
      </c>
      <c r="BT45" s="385">
        <v>0.0</v>
      </c>
      <c r="BU45" s="385">
        <v>0.0</v>
      </c>
      <c r="BV45" s="386">
        <v>0.0</v>
      </c>
      <c r="BW45" s="384">
        <v>0.0</v>
      </c>
      <c r="BX45" s="385">
        <v>0.0</v>
      </c>
      <c r="BY45" s="385">
        <v>0.0</v>
      </c>
      <c r="BZ45" s="273">
        <v>0.05</v>
      </c>
      <c r="CA45" s="273"/>
      <c r="CB45" s="273"/>
      <c r="CC45" s="384">
        <v>0.0</v>
      </c>
      <c r="CD45" s="385">
        <v>0.0</v>
      </c>
      <c r="CE45" s="385">
        <v>0.0</v>
      </c>
      <c r="CF45" s="385">
        <v>0.0</v>
      </c>
      <c r="CG45" s="385">
        <v>0.0</v>
      </c>
      <c r="CH45" s="386">
        <v>0.0</v>
      </c>
      <c r="CI45" s="266"/>
      <c r="CJ45" s="273"/>
      <c r="CK45" s="273"/>
      <c r="CL45" s="273"/>
      <c r="CM45" s="273"/>
      <c r="CN45" s="273"/>
      <c r="CO45" s="273"/>
      <c r="CP45" s="273"/>
      <c r="CQ45" s="273"/>
      <c r="CR45" s="273"/>
      <c r="CS45" s="273"/>
      <c r="CT45" s="273"/>
      <c r="CU45" s="273"/>
      <c r="CV45" s="273"/>
      <c r="CW45" s="273"/>
      <c r="CX45" s="273"/>
      <c r="CY45" s="273"/>
      <c r="CZ45" s="273"/>
      <c r="DA45" s="273"/>
    </row>
    <row r="46">
      <c r="A46" s="11" t="s">
        <v>1171</v>
      </c>
      <c r="B46" s="11" t="s">
        <v>1172</v>
      </c>
      <c r="C46" s="300">
        <v>0.02</v>
      </c>
      <c r="D46" s="191">
        <v>0.015</v>
      </c>
      <c r="E46" s="191">
        <v>0.01</v>
      </c>
      <c r="F46" s="191">
        <v>0.01</v>
      </c>
      <c r="G46" s="191">
        <v>0.0075</v>
      </c>
      <c r="H46" s="191">
        <v>0.005</v>
      </c>
      <c r="I46" s="191">
        <v>0.005</v>
      </c>
      <c r="J46" s="191">
        <v>0.004</v>
      </c>
      <c r="K46" s="191">
        <v>0.003</v>
      </c>
      <c r="L46" s="191">
        <v>0.05</v>
      </c>
      <c r="M46" s="191">
        <v>0.04</v>
      </c>
      <c r="N46" s="191">
        <v>0.03</v>
      </c>
      <c r="O46" s="191">
        <v>0.08</v>
      </c>
      <c r="P46" s="191">
        <v>0.06</v>
      </c>
      <c r="Q46" s="324">
        <v>0.04</v>
      </c>
      <c r="R46" s="297"/>
      <c r="S46" s="297"/>
      <c r="T46" s="297"/>
      <c r="U46" s="297"/>
      <c r="V46" s="297"/>
      <c r="W46" s="297"/>
      <c r="X46" s="297"/>
      <c r="Y46" s="297"/>
      <c r="Z46" s="297"/>
      <c r="AA46" s="297"/>
      <c r="AB46" s="297"/>
      <c r="AC46" s="297"/>
      <c r="AD46" s="297"/>
      <c r="AE46" s="297"/>
      <c r="AF46" s="323"/>
      <c r="AG46" s="289"/>
      <c r="AH46" s="297"/>
      <c r="AI46" s="297"/>
      <c r="AJ46" s="297"/>
      <c r="AK46" s="290"/>
      <c r="AL46" s="296"/>
      <c r="AM46" s="297"/>
      <c r="AN46" s="297"/>
      <c r="AO46" s="162"/>
      <c r="AP46" s="162"/>
      <c r="AQ46" s="297"/>
      <c r="AR46" s="292"/>
      <c r="AS46" s="323"/>
      <c r="AT46" s="296"/>
      <c r="AU46" s="297"/>
      <c r="AV46" s="297"/>
      <c r="AW46" s="297"/>
      <c r="AX46" s="297"/>
      <c r="AY46" s="297"/>
      <c r="AZ46" s="297"/>
      <c r="BA46" s="297"/>
      <c r="BB46" s="297"/>
      <c r="BC46" s="297"/>
      <c r="BD46" s="297"/>
      <c r="BE46" s="323"/>
      <c r="BF46" s="296"/>
      <c r="BG46" s="297"/>
      <c r="BH46" s="297"/>
      <c r="BI46" s="297"/>
      <c r="BJ46" s="297"/>
      <c r="BK46" s="297"/>
      <c r="BL46" s="323"/>
      <c r="BM46" s="296"/>
      <c r="BN46" s="297"/>
      <c r="BO46" s="292"/>
      <c r="BP46" s="290"/>
      <c r="BQ46" s="289"/>
      <c r="BR46" s="292"/>
      <c r="BS46" s="292"/>
      <c r="BT46" s="292"/>
      <c r="BU46" s="292"/>
      <c r="BV46" s="290"/>
      <c r="BW46" s="289"/>
      <c r="BX46" s="292"/>
      <c r="BY46" s="292"/>
      <c r="BZ46" s="292"/>
      <c r="CA46" s="292"/>
      <c r="CB46" s="292"/>
      <c r="CC46" s="289"/>
      <c r="CD46" s="292"/>
      <c r="CE46" s="292"/>
      <c r="CF46" s="292"/>
      <c r="CG46" s="292"/>
      <c r="CH46" s="290"/>
      <c r="CI46" s="289"/>
      <c r="CJ46" s="292"/>
      <c r="CK46" s="292"/>
      <c r="CL46" s="292"/>
      <c r="CM46" s="292"/>
      <c r="CN46" s="292"/>
      <c r="CO46" s="292"/>
      <c r="CP46" s="292"/>
      <c r="CQ46" s="292"/>
      <c r="CR46" s="292"/>
      <c r="CS46" s="292"/>
      <c r="CT46" s="292"/>
      <c r="CU46" s="292"/>
      <c r="CV46" s="292"/>
      <c r="CW46" s="292"/>
      <c r="CX46" s="292"/>
      <c r="CY46" s="292"/>
      <c r="CZ46" s="292"/>
      <c r="DA46" s="292"/>
    </row>
    <row r="47">
      <c r="A47" s="10" t="s">
        <v>1173</v>
      </c>
      <c r="B47" s="10" t="s">
        <v>1174</v>
      </c>
      <c r="C47" s="300">
        <v>0.05</v>
      </c>
      <c r="D47" s="191">
        <v>0.05</v>
      </c>
      <c r="E47" s="191">
        <v>0.05</v>
      </c>
      <c r="F47" s="287">
        <v>0.0</v>
      </c>
      <c r="G47" s="287">
        <v>0.0</v>
      </c>
      <c r="H47" s="287">
        <v>0.0</v>
      </c>
      <c r="I47" s="287">
        <v>0.0</v>
      </c>
      <c r="J47" s="287">
        <v>0.0</v>
      </c>
      <c r="K47" s="287">
        <v>0.0</v>
      </c>
      <c r="L47" s="191">
        <v>0.05</v>
      </c>
      <c r="M47" s="191">
        <v>0.05</v>
      </c>
      <c r="N47" s="191">
        <v>0.05</v>
      </c>
      <c r="O47" s="191">
        <v>0.05</v>
      </c>
      <c r="P47" s="191">
        <v>0.05</v>
      </c>
      <c r="Q47" s="324">
        <v>0.05</v>
      </c>
      <c r="R47" s="201">
        <v>0.03</v>
      </c>
      <c r="S47" s="201">
        <v>0.03</v>
      </c>
      <c r="T47" s="201">
        <v>0.03</v>
      </c>
      <c r="U47" s="201">
        <v>0.03</v>
      </c>
      <c r="V47" s="201">
        <v>0.03</v>
      </c>
      <c r="W47" s="201">
        <v>0.03</v>
      </c>
      <c r="X47" s="201">
        <v>0.03</v>
      </c>
      <c r="Y47" s="201">
        <v>0.03</v>
      </c>
      <c r="Z47" s="201">
        <v>0.03</v>
      </c>
      <c r="AA47" s="191">
        <v>0.05</v>
      </c>
      <c r="AB47" s="191">
        <v>0.05</v>
      </c>
      <c r="AC47" s="191">
        <v>0.05</v>
      </c>
      <c r="AD47" s="201">
        <v>0.03</v>
      </c>
      <c r="AE47" s="201">
        <v>0.03</v>
      </c>
      <c r="AF47" s="277">
        <v>0.03</v>
      </c>
      <c r="AG47" s="276"/>
      <c r="AH47" s="201">
        <v>0.03</v>
      </c>
      <c r="AI47" s="201">
        <v>0.03</v>
      </c>
      <c r="AJ47" s="201">
        <v>0.03</v>
      </c>
      <c r="AK47" s="277"/>
      <c r="AL47" s="276">
        <v>0.03</v>
      </c>
      <c r="AM47" s="201">
        <v>0.03</v>
      </c>
      <c r="AN47" s="201">
        <v>0.03</v>
      </c>
      <c r="AO47" s="201">
        <v>0.03</v>
      </c>
      <c r="AP47" s="201">
        <v>0.03</v>
      </c>
      <c r="AQ47" s="201">
        <v>0.03</v>
      </c>
      <c r="AR47" s="201"/>
      <c r="AS47" s="324">
        <v>0.05</v>
      </c>
      <c r="AT47" s="300">
        <v>0.05</v>
      </c>
      <c r="AU47" s="191">
        <v>0.05</v>
      </c>
      <c r="AV47" s="191">
        <v>0.05</v>
      </c>
      <c r="AW47" s="201">
        <v>0.03</v>
      </c>
      <c r="AX47" s="201">
        <v>0.03</v>
      </c>
      <c r="AY47" s="201">
        <v>0.03</v>
      </c>
      <c r="AZ47" s="201">
        <v>0.03</v>
      </c>
      <c r="BA47" s="201">
        <v>0.03</v>
      </c>
      <c r="BB47" s="201">
        <v>0.03</v>
      </c>
      <c r="BC47" s="191">
        <v>0.05</v>
      </c>
      <c r="BD47" s="191">
        <v>0.05</v>
      </c>
      <c r="BE47" s="324">
        <v>0.05</v>
      </c>
      <c r="BF47" s="276">
        <v>0.03</v>
      </c>
      <c r="BG47" s="201">
        <v>0.03</v>
      </c>
      <c r="BH47" s="201">
        <v>0.03</v>
      </c>
      <c r="BI47" s="201">
        <v>0.03</v>
      </c>
      <c r="BJ47" s="201">
        <v>0.03</v>
      </c>
      <c r="BK47" s="201">
        <v>0.03</v>
      </c>
      <c r="BL47" s="277">
        <v>0.03</v>
      </c>
      <c r="BM47" s="300">
        <v>0.05</v>
      </c>
      <c r="BN47" s="201"/>
      <c r="BO47" s="201"/>
      <c r="BP47" s="277"/>
      <c r="BQ47" s="300">
        <v>0.05</v>
      </c>
      <c r="BR47" s="191">
        <v>0.05</v>
      </c>
      <c r="BS47" s="191">
        <v>0.05</v>
      </c>
      <c r="BT47" s="200">
        <v>0.05</v>
      </c>
      <c r="BU47" s="200">
        <v>0.05</v>
      </c>
      <c r="BV47" s="324">
        <v>0.05</v>
      </c>
      <c r="BW47" s="300">
        <v>0.05</v>
      </c>
      <c r="BX47" s="191">
        <v>0.05</v>
      </c>
      <c r="BY47" s="191">
        <v>0.05</v>
      </c>
      <c r="BZ47" s="191">
        <v>0.05</v>
      </c>
      <c r="CA47" s="201"/>
      <c r="CB47" s="201"/>
      <c r="CC47" s="300">
        <v>0.05</v>
      </c>
      <c r="CD47" s="191">
        <v>0.05</v>
      </c>
      <c r="CE47" s="191">
        <v>0.05</v>
      </c>
      <c r="CF47" s="191">
        <v>0.05</v>
      </c>
      <c r="CG47" s="191">
        <v>0.05</v>
      </c>
      <c r="CH47" s="324">
        <v>0.05</v>
      </c>
      <c r="CI47" s="289"/>
      <c r="CJ47" s="292"/>
      <c r="CK47" s="292"/>
      <c r="CL47" s="292"/>
      <c r="CM47" s="292"/>
      <c r="CN47" s="292"/>
      <c r="CO47" s="292"/>
      <c r="CP47" s="292"/>
      <c r="CQ47" s="292"/>
      <c r="CR47" s="292"/>
      <c r="CS47" s="292"/>
      <c r="CT47" s="292"/>
      <c r="CU47" s="292"/>
      <c r="CV47" s="292"/>
      <c r="CW47" s="292"/>
      <c r="CX47" s="292"/>
      <c r="CY47" s="292"/>
      <c r="CZ47" s="292"/>
      <c r="DA47" s="292"/>
    </row>
    <row r="48">
      <c r="A48" s="10" t="s">
        <v>1175</v>
      </c>
      <c r="B48" s="10" t="s">
        <v>1176</v>
      </c>
      <c r="C48" s="300">
        <v>0.9</v>
      </c>
      <c r="D48" s="191">
        <v>0.9</v>
      </c>
      <c r="E48" s="191">
        <v>0.9</v>
      </c>
      <c r="F48" s="287">
        <v>1.0</v>
      </c>
      <c r="G48" s="287">
        <v>1.0</v>
      </c>
      <c r="H48" s="287">
        <v>1.0</v>
      </c>
      <c r="I48" s="287">
        <v>1.0</v>
      </c>
      <c r="J48" s="287">
        <v>1.0</v>
      </c>
      <c r="K48" s="287">
        <v>1.0</v>
      </c>
      <c r="L48" s="191">
        <v>0.9</v>
      </c>
      <c r="M48" s="191">
        <v>0.9</v>
      </c>
      <c r="N48" s="191">
        <v>0.9</v>
      </c>
      <c r="O48" s="191">
        <v>0.9</v>
      </c>
      <c r="P48" s="191">
        <v>0.9</v>
      </c>
      <c r="Q48" s="324">
        <v>0.9</v>
      </c>
      <c r="R48" s="201">
        <v>0.92</v>
      </c>
      <c r="S48" s="201">
        <v>0.92</v>
      </c>
      <c r="T48" s="201">
        <v>0.92</v>
      </c>
      <c r="U48" s="201">
        <v>0.92</v>
      </c>
      <c r="V48" s="201">
        <v>0.92</v>
      </c>
      <c r="W48" s="201">
        <v>0.92</v>
      </c>
      <c r="X48" s="201">
        <v>0.92</v>
      </c>
      <c r="Y48" s="201">
        <v>0.92</v>
      </c>
      <c r="Z48" s="201">
        <v>0.92</v>
      </c>
      <c r="AA48" s="191">
        <v>0.9</v>
      </c>
      <c r="AB48" s="191">
        <v>0.9</v>
      </c>
      <c r="AC48" s="191">
        <v>0.9</v>
      </c>
      <c r="AD48" s="201">
        <v>0.92</v>
      </c>
      <c r="AE48" s="201">
        <v>0.92</v>
      </c>
      <c r="AF48" s="277">
        <v>0.92</v>
      </c>
      <c r="AG48" s="276"/>
      <c r="AH48" s="201">
        <v>0.92</v>
      </c>
      <c r="AI48" s="201">
        <v>0.92</v>
      </c>
      <c r="AJ48" s="201">
        <v>0.92</v>
      </c>
      <c r="AK48" s="277"/>
      <c r="AL48" s="276">
        <v>0.92</v>
      </c>
      <c r="AM48" s="201">
        <v>0.92</v>
      </c>
      <c r="AN48" s="201">
        <v>0.92</v>
      </c>
      <c r="AO48" s="201">
        <v>0.92</v>
      </c>
      <c r="AP48" s="201">
        <v>0.92</v>
      </c>
      <c r="AQ48" s="201">
        <v>0.92</v>
      </c>
      <c r="AR48" s="201"/>
      <c r="AS48" s="324">
        <v>0.9</v>
      </c>
      <c r="AT48" s="300">
        <v>0.9</v>
      </c>
      <c r="AU48" s="191">
        <v>0.9</v>
      </c>
      <c r="AV48" s="191">
        <v>0.9</v>
      </c>
      <c r="AW48" s="201">
        <v>0.92</v>
      </c>
      <c r="AX48" s="201">
        <v>0.92</v>
      </c>
      <c r="AY48" s="201">
        <v>0.92</v>
      </c>
      <c r="AZ48" s="201">
        <v>0.92</v>
      </c>
      <c r="BA48" s="201">
        <v>0.92</v>
      </c>
      <c r="BB48" s="201">
        <v>0.92</v>
      </c>
      <c r="BC48" s="191">
        <v>0.9</v>
      </c>
      <c r="BD48" s="191">
        <v>0.9</v>
      </c>
      <c r="BE48" s="324">
        <v>0.9</v>
      </c>
      <c r="BF48" s="276">
        <v>0.92</v>
      </c>
      <c r="BG48" s="201">
        <v>0.92</v>
      </c>
      <c r="BH48" s="201">
        <v>0.92</v>
      </c>
      <c r="BI48" s="201">
        <v>0.92</v>
      </c>
      <c r="BJ48" s="201">
        <v>0.92</v>
      </c>
      <c r="BK48" s="201">
        <v>0.92</v>
      </c>
      <c r="BL48" s="277">
        <v>0.92</v>
      </c>
      <c r="BM48" s="300">
        <v>0.9</v>
      </c>
      <c r="BN48" s="201"/>
      <c r="BO48" s="201"/>
      <c r="BP48" s="277"/>
      <c r="BQ48" s="300">
        <v>0.9</v>
      </c>
      <c r="BR48" s="191">
        <v>0.9</v>
      </c>
      <c r="BS48" s="191">
        <v>0.9</v>
      </c>
      <c r="BT48" s="200">
        <v>0.9</v>
      </c>
      <c r="BU48" s="200">
        <v>0.9</v>
      </c>
      <c r="BV48" s="324">
        <v>0.9</v>
      </c>
      <c r="BW48" s="300">
        <v>0.9</v>
      </c>
      <c r="BX48" s="191">
        <v>0.9</v>
      </c>
      <c r="BY48" s="191">
        <v>0.9</v>
      </c>
      <c r="BZ48" s="191">
        <v>0.9</v>
      </c>
      <c r="CA48" s="201"/>
      <c r="CB48" s="201"/>
      <c r="CC48" s="300">
        <v>0.9</v>
      </c>
      <c r="CD48" s="191">
        <v>0.9</v>
      </c>
      <c r="CE48" s="191">
        <v>0.9</v>
      </c>
      <c r="CF48" s="191">
        <v>0.9</v>
      </c>
      <c r="CG48" s="191">
        <v>0.9</v>
      </c>
      <c r="CH48" s="324">
        <v>0.9</v>
      </c>
      <c r="CI48" s="289"/>
      <c r="CJ48" s="292"/>
      <c r="CK48" s="292"/>
      <c r="CL48" s="292"/>
      <c r="CM48" s="292"/>
      <c r="CN48" s="292"/>
      <c r="CO48" s="292"/>
      <c r="CP48" s="292"/>
      <c r="CQ48" s="292"/>
      <c r="CR48" s="292"/>
      <c r="CS48" s="292"/>
      <c r="CT48" s="292"/>
      <c r="CU48" s="292"/>
      <c r="CV48" s="292"/>
      <c r="CW48" s="292"/>
      <c r="CX48" s="292"/>
      <c r="CY48" s="292"/>
      <c r="CZ48" s="292"/>
      <c r="DA48" s="292"/>
    </row>
    <row r="49">
      <c r="A49" s="306" t="s">
        <v>1177</v>
      </c>
      <c r="B49" s="306" t="s">
        <v>1178</v>
      </c>
      <c r="C49" s="388">
        <v>0.05</v>
      </c>
      <c r="D49" s="389">
        <v>0.05</v>
      </c>
      <c r="E49" s="389">
        <v>0.05</v>
      </c>
      <c r="F49" s="390">
        <v>0.0</v>
      </c>
      <c r="G49" s="390">
        <v>0.0</v>
      </c>
      <c r="H49" s="390">
        <v>0.0</v>
      </c>
      <c r="I49" s="390">
        <v>0.0</v>
      </c>
      <c r="J49" s="390">
        <v>0.0</v>
      </c>
      <c r="K49" s="390">
        <v>0.0</v>
      </c>
      <c r="L49" s="389">
        <v>0.05</v>
      </c>
      <c r="M49" s="389">
        <v>0.05</v>
      </c>
      <c r="N49" s="389">
        <v>0.05</v>
      </c>
      <c r="O49" s="389">
        <v>0.05</v>
      </c>
      <c r="P49" s="389">
        <v>0.05</v>
      </c>
      <c r="Q49" s="391">
        <v>0.05</v>
      </c>
      <c r="R49" s="389">
        <v>0.05</v>
      </c>
      <c r="S49" s="389">
        <v>0.05</v>
      </c>
      <c r="T49" s="389">
        <v>0.05</v>
      </c>
      <c r="U49" s="389">
        <v>0.05</v>
      </c>
      <c r="V49" s="389">
        <v>0.05</v>
      </c>
      <c r="W49" s="389">
        <v>0.05</v>
      </c>
      <c r="X49" s="389">
        <v>0.05</v>
      </c>
      <c r="Y49" s="389">
        <v>0.05</v>
      </c>
      <c r="Z49" s="389">
        <v>0.05</v>
      </c>
      <c r="AA49" s="389">
        <v>0.05</v>
      </c>
      <c r="AB49" s="389">
        <v>0.05</v>
      </c>
      <c r="AC49" s="389">
        <v>0.05</v>
      </c>
      <c r="AD49" s="389">
        <v>0.05</v>
      </c>
      <c r="AE49" s="389">
        <v>0.05</v>
      </c>
      <c r="AF49" s="391">
        <v>0.05</v>
      </c>
      <c r="AG49" s="388"/>
      <c r="AH49" s="389">
        <v>0.05</v>
      </c>
      <c r="AI49" s="389">
        <v>0.05</v>
      </c>
      <c r="AJ49" s="389">
        <v>0.05</v>
      </c>
      <c r="AK49" s="391"/>
      <c r="AL49" s="388">
        <v>0.05</v>
      </c>
      <c r="AM49" s="389">
        <v>0.05</v>
      </c>
      <c r="AN49" s="389">
        <v>0.05</v>
      </c>
      <c r="AO49" s="389">
        <v>0.05</v>
      </c>
      <c r="AP49" s="389">
        <v>0.05</v>
      </c>
      <c r="AQ49" s="389">
        <v>0.05</v>
      </c>
      <c r="AR49" s="389"/>
      <c r="AS49" s="391">
        <v>0.05</v>
      </c>
      <c r="AT49" s="388">
        <v>0.05</v>
      </c>
      <c r="AU49" s="389">
        <v>0.05</v>
      </c>
      <c r="AV49" s="389">
        <v>0.05</v>
      </c>
      <c r="AW49" s="389">
        <v>0.05</v>
      </c>
      <c r="AX49" s="389">
        <v>0.05</v>
      </c>
      <c r="AY49" s="389">
        <v>0.05</v>
      </c>
      <c r="AZ49" s="389">
        <v>0.05</v>
      </c>
      <c r="BA49" s="389">
        <v>0.05</v>
      </c>
      <c r="BB49" s="389">
        <v>0.05</v>
      </c>
      <c r="BC49" s="389">
        <v>0.05</v>
      </c>
      <c r="BD49" s="389">
        <v>0.05</v>
      </c>
      <c r="BE49" s="391">
        <v>0.05</v>
      </c>
      <c r="BF49" s="388">
        <v>0.05</v>
      </c>
      <c r="BG49" s="389">
        <v>0.05</v>
      </c>
      <c r="BH49" s="389">
        <v>0.05</v>
      </c>
      <c r="BI49" s="389">
        <v>0.05</v>
      </c>
      <c r="BJ49" s="389">
        <v>0.05</v>
      </c>
      <c r="BK49" s="389">
        <v>0.05</v>
      </c>
      <c r="BL49" s="391">
        <v>0.05</v>
      </c>
      <c r="BM49" s="388">
        <v>0.05</v>
      </c>
      <c r="BN49" s="389"/>
      <c r="BO49" s="389"/>
      <c r="BP49" s="391"/>
      <c r="BQ49" s="388">
        <v>0.05</v>
      </c>
      <c r="BR49" s="389">
        <v>0.05</v>
      </c>
      <c r="BS49" s="389">
        <v>0.05</v>
      </c>
      <c r="BT49" s="389">
        <v>0.05</v>
      </c>
      <c r="BU49" s="389">
        <v>0.05</v>
      </c>
      <c r="BV49" s="391">
        <v>0.05</v>
      </c>
      <c r="BW49" s="388">
        <v>0.05</v>
      </c>
      <c r="BX49" s="389">
        <v>0.05</v>
      </c>
      <c r="BY49" s="389">
        <v>0.05</v>
      </c>
      <c r="BZ49" s="389">
        <v>0.05</v>
      </c>
      <c r="CA49" s="389"/>
      <c r="CB49" s="389"/>
      <c r="CC49" s="388">
        <v>0.05</v>
      </c>
      <c r="CD49" s="389">
        <v>0.05</v>
      </c>
      <c r="CE49" s="389">
        <v>0.05</v>
      </c>
      <c r="CF49" s="389">
        <v>0.05</v>
      </c>
      <c r="CG49" s="389">
        <v>0.05</v>
      </c>
      <c r="CH49" s="391">
        <v>0.05</v>
      </c>
      <c r="CI49" s="373"/>
      <c r="CJ49" s="376"/>
      <c r="CK49" s="376"/>
      <c r="CL49" s="376"/>
      <c r="CM49" s="376"/>
      <c r="CN49" s="376"/>
      <c r="CO49" s="376"/>
      <c r="CP49" s="376"/>
      <c r="CQ49" s="376"/>
      <c r="CR49" s="376"/>
      <c r="CS49" s="376"/>
      <c r="CT49" s="376"/>
      <c r="CU49" s="376"/>
      <c r="CV49" s="376"/>
      <c r="CW49" s="376"/>
      <c r="CX49" s="376"/>
      <c r="CY49" s="376"/>
      <c r="CZ49" s="376"/>
      <c r="DA49" s="376"/>
    </row>
    <row r="50">
      <c r="A50" s="153"/>
      <c r="B50" s="153"/>
      <c r="C50" s="392"/>
      <c r="D50" s="153"/>
      <c r="E50" s="153"/>
      <c r="F50" s="153"/>
      <c r="G50" s="153"/>
      <c r="H50" s="153"/>
      <c r="I50" s="161"/>
      <c r="J50" s="161"/>
      <c r="K50" s="161"/>
      <c r="L50" s="153"/>
      <c r="M50" s="153"/>
      <c r="N50" s="153"/>
      <c r="O50" s="153"/>
      <c r="P50" s="153"/>
      <c r="Q50" s="393"/>
      <c r="R50" s="153"/>
      <c r="S50" s="153"/>
      <c r="T50" s="153"/>
      <c r="U50" s="153"/>
      <c r="V50" s="153"/>
      <c r="W50" s="153"/>
      <c r="X50" s="153"/>
      <c r="Y50" s="153"/>
      <c r="Z50" s="153"/>
      <c r="AA50" s="153"/>
      <c r="AB50" s="153"/>
      <c r="AC50" s="153"/>
      <c r="AD50" s="153"/>
      <c r="AE50" s="153"/>
      <c r="AF50" s="393"/>
      <c r="AG50" s="392"/>
      <c r="AH50" s="153"/>
      <c r="AI50" s="153"/>
      <c r="AJ50" s="153"/>
      <c r="AK50" s="393"/>
      <c r="AL50" s="392"/>
      <c r="AM50" s="153"/>
      <c r="AN50" s="153"/>
      <c r="AO50" s="161"/>
      <c r="AP50" s="161"/>
      <c r="AQ50" s="153"/>
      <c r="AR50" s="153"/>
      <c r="AS50" s="393"/>
      <c r="AT50" s="392"/>
      <c r="AU50" s="153"/>
      <c r="AV50" s="153"/>
      <c r="AW50" s="153"/>
      <c r="AX50" s="153"/>
      <c r="AY50" s="153"/>
      <c r="AZ50" s="153"/>
      <c r="BA50" s="153"/>
      <c r="BB50" s="153"/>
      <c r="BC50" s="153"/>
      <c r="BD50" s="153"/>
      <c r="BE50" s="393"/>
      <c r="BF50" s="392"/>
      <c r="BG50" s="153"/>
      <c r="BH50" s="153"/>
      <c r="BI50" s="153"/>
      <c r="BJ50" s="153"/>
      <c r="BK50" s="153"/>
      <c r="BL50" s="393"/>
      <c r="BM50" s="392"/>
      <c r="BN50" s="153"/>
      <c r="BO50" s="153"/>
      <c r="BP50" s="393"/>
      <c r="BQ50" s="392"/>
      <c r="BR50" s="153"/>
      <c r="BS50" s="153"/>
      <c r="BT50" s="153"/>
      <c r="BU50" s="153"/>
      <c r="BV50" s="393"/>
      <c r="BW50" s="392"/>
      <c r="BX50" s="153"/>
      <c r="BY50" s="153"/>
      <c r="BZ50" s="153"/>
      <c r="CA50" s="153"/>
      <c r="CB50" s="153"/>
      <c r="CC50" s="392"/>
      <c r="CD50" s="153"/>
      <c r="CE50" s="153"/>
      <c r="CF50" s="153"/>
      <c r="CG50" s="153"/>
      <c r="CH50" s="393"/>
      <c r="CI50" s="392"/>
      <c r="CJ50" s="153"/>
      <c r="CK50" s="153"/>
      <c r="CL50" s="153"/>
      <c r="CM50" s="153"/>
      <c r="CN50" s="153"/>
      <c r="CO50" s="153"/>
      <c r="CP50" s="153"/>
      <c r="CQ50" s="153"/>
      <c r="CR50" s="153"/>
      <c r="CS50" s="153"/>
      <c r="CT50" s="153"/>
      <c r="CU50" s="153"/>
      <c r="CV50" s="153"/>
      <c r="CW50" s="153"/>
      <c r="CX50" s="153"/>
      <c r="CY50" s="153"/>
      <c r="CZ50" s="153"/>
      <c r="DA50" s="153"/>
    </row>
    <row r="51">
      <c r="C51" s="146"/>
      <c r="I51" s="163"/>
      <c r="J51" s="163"/>
      <c r="K51" s="163"/>
      <c r="Q51" s="148"/>
      <c r="AF51" s="148"/>
      <c r="AG51" s="146"/>
      <c r="AK51" s="148"/>
      <c r="AL51" s="146"/>
      <c r="AO51" s="163"/>
      <c r="AP51" s="163"/>
      <c r="AS51" s="148"/>
      <c r="AT51" s="146"/>
      <c r="BE51" s="148"/>
      <c r="BF51" s="146"/>
      <c r="BL51" s="148"/>
      <c r="BM51" s="146"/>
      <c r="BP51" s="148"/>
      <c r="BQ51" s="146"/>
      <c r="BV51" s="148"/>
      <c r="BW51" s="146"/>
      <c r="CC51" s="146"/>
      <c r="CH51" s="148"/>
      <c r="CI51" s="146"/>
    </row>
    <row r="52">
      <c r="C52" s="146"/>
      <c r="I52" s="163"/>
      <c r="J52" s="163"/>
      <c r="K52" s="163"/>
      <c r="Q52" s="148"/>
      <c r="AF52" s="148"/>
      <c r="AG52" s="146"/>
      <c r="AK52" s="148"/>
      <c r="AL52" s="146"/>
      <c r="AO52" s="163"/>
      <c r="AP52" s="163"/>
      <c r="AS52" s="148"/>
      <c r="AT52" s="146"/>
      <c r="BE52" s="148"/>
      <c r="BF52" s="146"/>
      <c r="BL52" s="148"/>
      <c r="BM52" s="146"/>
      <c r="BP52" s="148"/>
      <c r="BQ52" s="146"/>
      <c r="BV52" s="148"/>
      <c r="BW52" s="146"/>
      <c r="CC52" s="146"/>
      <c r="CH52" s="148"/>
      <c r="CI52" s="146"/>
    </row>
    <row r="53">
      <c r="C53" s="146"/>
      <c r="I53" s="163"/>
      <c r="J53" s="163"/>
      <c r="K53" s="163"/>
      <c r="Q53" s="148"/>
      <c r="AF53" s="148"/>
      <c r="AG53" s="146"/>
      <c r="AK53" s="148"/>
      <c r="AL53" s="146"/>
      <c r="AO53" s="163"/>
      <c r="AP53" s="163"/>
      <c r="AS53" s="148"/>
      <c r="AT53" s="146"/>
      <c r="BE53" s="148"/>
      <c r="BF53" s="146"/>
      <c r="BL53" s="148"/>
      <c r="BM53" s="146"/>
      <c r="BP53" s="148"/>
      <c r="BQ53" s="146"/>
      <c r="BV53" s="148"/>
      <c r="BW53" s="146"/>
      <c r="CC53" s="146"/>
      <c r="CH53" s="148"/>
      <c r="CI53" s="146"/>
    </row>
    <row r="54">
      <c r="C54" s="146"/>
      <c r="I54" s="163"/>
      <c r="J54" s="163"/>
      <c r="K54" s="163"/>
      <c r="Q54" s="148"/>
      <c r="AF54" s="148"/>
      <c r="AG54" s="146"/>
      <c r="AK54" s="148"/>
      <c r="AL54" s="146"/>
      <c r="AO54" s="163"/>
      <c r="AP54" s="163"/>
      <c r="AS54" s="148"/>
      <c r="AT54" s="146"/>
      <c r="BE54" s="148"/>
      <c r="BF54" s="146"/>
      <c r="BL54" s="148"/>
      <c r="BM54" s="146"/>
      <c r="BP54" s="148"/>
      <c r="BQ54" s="146"/>
      <c r="BV54" s="148"/>
      <c r="BW54" s="146"/>
      <c r="CC54" s="146"/>
      <c r="CH54" s="148"/>
      <c r="CI54" s="146"/>
    </row>
    <row r="55">
      <c r="C55" s="146"/>
      <c r="I55" s="163"/>
      <c r="J55" s="163"/>
      <c r="K55" s="163"/>
      <c r="Q55" s="148"/>
      <c r="AF55" s="148"/>
      <c r="AG55" s="146"/>
      <c r="AK55" s="148"/>
      <c r="AL55" s="146"/>
      <c r="AO55" s="163"/>
      <c r="AP55" s="163"/>
      <c r="AS55" s="148"/>
      <c r="AT55" s="146"/>
      <c r="BE55" s="148"/>
      <c r="BF55" s="146"/>
      <c r="BL55" s="148"/>
      <c r="BM55" s="146"/>
      <c r="BP55" s="148"/>
      <c r="BQ55" s="146"/>
      <c r="BV55" s="148"/>
      <c r="BW55" s="146"/>
      <c r="CC55" s="146"/>
      <c r="CH55" s="148"/>
      <c r="CI55" s="146"/>
    </row>
    <row r="56">
      <c r="C56" s="146"/>
      <c r="I56" s="163"/>
      <c r="J56" s="163"/>
      <c r="K56" s="163"/>
      <c r="Q56" s="148"/>
      <c r="AF56" s="148"/>
      <c r="AG56" s="146"/>
      <c r="AK56" s="148"/>
      <c r="AL56" s="146"/>
      <c r="AO56" s="163"/>
      <c r="AP56" s="163"/>
      <c r="AS56" s="148"/>
      <c r="AT56" s="146"/>
      <c r="BE56" s="148"/>
      <c r="BF56" s="146"/>
      <c r="BL56" s="148"/>
      <c r="BM56" s="146"/>
      <c r="BP56" s="148"/>
      <c r="BQ56" s="146"/>
      <c r="BV56" s="148"/>
      <c r="BW56" s="146"/>
      <c r="CC56" s="146"/>
      <c r="CH56" s="148"/>
      <c r="CI56" s="146"/>
    </row>
    <row r="57">
      <c r="C57" s="146"/>
      <c r="I57" s="163"/>
      <c r="J57" s="163"/>
      <c r="K57" s="163"/>
      <c r="Q57" s="148"/>
      <c r="AF57" s="148"/>
      <c r="AG57" s="146"/>
      <c r="AK57" s="148"/>
      <c r="AL57" s="146"/>
      <c r="AO57" s="163"/>
      <c r="AP57" s="163"/>
      <c r="AS57" s="148"/>
      <c r="AT57" s="146"/>
      <c r="BE57" s="148"/>
      <c r="BF57" s="146"/>
      <c r="BL57" s="148"/>
      <c r="BM57" s="146"/>
      <c r="BP57" s="148"/>
      <c r="BQ57" s="146"/>
      <c r="BV57" s="148"/>
      <c r="BW57" s="146"/>
      <c r="CC57" s="146"/>
      <c r="CH57" s="148"/>
      <c r="CI57" s="146"/>
    </row>
    <row r="58">
      <c r="C58" s="146"/>
      <c r="I58" s="163"/>
      <c r="J58" s="163"/>
      <c r="K58" s="163"/>
      <c r="Q58" s="148"/>
      <c r="AF58" s="148"/>
      <c r="AG58" s="146"/>
      <c r="AK58" s="148"/>
      <c r="AL58" s="146"/>
      <c r="AO58" s="163"/>
      <c r="AP58" s="163"/>
      <c r="AS58" s="148"/>
      <c r="AT58" s="146"/>
      <c r="BE58" s="148"/>
      <c r="BF58" s="146"/>
      <c r="BL58" s="148"/>
      <c r="BM58" s="146"/>
      <c r="BP58" s="148"/>
      <c r="BQ58" s="146"/>
      <c r="BV58" s="148"/>
      <c r="BW58" s="146"/>
      <c r="CC58" s="146"/>
      <c r="CH58" s="148"/>
      <c r="CI58" s="146"/>
    </row>
    <row r="59">
      <c r="C59" s="146"/>
      <c r="I59" s="163"/>
      <c r="J59" s="163"/>
      <c r="K59" s="163"/>
      <c r="Q59" s="148"/>
      <c r="AF59" s="148"/>
      <c r="AG59" s="146"/>
      <c r="AK59" s="148"/>
      <c r="AL59" s="146"/>
      <c r="AO59" s="163"/>
      <c r="AP59" s="163"/>
      <c r="AS59" s="148"/>
      <c r="AT59" s="146"/>
      <c r="BE59" s="148"/>
      <c r="BF59" s="146"/>
      <c r="BL59" s="148"/>
      <c r="BM59" s="146"/>
      <c r="BP59" s="148"/>
      <c r="BQ59" s="146"/>
      <c r="BV59" s="148"/>
      <c r="BW59" s="146"/>
      <c r="CC59" s="146"/>
      <c r="CH59" s="148"/>
      <c r="CI59" s="146"/>
    </row>
    <row r="60">
      <c r="C60" s="146"/>
      <c r="I60" s="163"/>
      <c r="J60" s="163"/>
      <c r="K60" s="163"/>
      <c r="Q60" s="148"/>
      <c r="AF60" s="148"/>
      <c r="AG60" s="146"/>
      <c r="AK60" s="148"/>
      <c r="AL60" s="146"/>
      <c r="AO60" s="163"/>
      <c r="AP60" s="163"/>
      <c r="AS60" s="148"/>
      <c r="AT60" s="146"/>
      <c r="BE60" s="148"/>
      <c r="BF60" s="146"/>
      <c r="BL60" s="148"/>
      <c r="BM60" s="146"/>
      <c r="BP60" s="148"/>
      <c r="BQ60" s="146"/>
      <c r="BV60" s="148"/>
      <c r="BW60" s="146"/>
      <c r="CC60" s="146"/>
      <c r="CH60" s="148"/>
      <c r="CI60" s="146"/>
    </row>
    <row r="61">
      <c r="C61" s="146"/>
      <c r="I61" s="163"/>
      <c r="J61" s="163"/>
      <c r="K61" s="163"/>
      <c r="Q61" s="148"/>
      <c r="AF61" s="148"/>
      <c r="AG61" s="146"/>
      <c r="AK61" s="148"/>
      <c r="AL61" s="146"/>
      <c r="AO61" s="163"/>
      <c r="AP61" s="163"/>
      <c r="AS61" s="148"/>
      <c r="AT61" s="146"/>
      <c r="BE61" s="148"/>
      <c r="BF61" s="146"/>
      <c r="BL61" s="148"/>
      <c r="BM61" s="146"/>
      <c r="BP61" s="148"/>
      <c r="BQ61" s="146"/>
      <c r="BV61" s="148"/>
      <c r="BW61" s="146"/>
      <c r="CC61" s="146"/>
      <c r="CH61" s="148"/>
      <c r="CI61" s="146"/>
    </row>
    <row r="62">
      <c r="C62" s="146"/>
      <c r="I62" s="163"/>
      <c r="J62" s="163"/>
      <c r="K62" s="163"/>
      <c r="Q62" s="148"/>
      <c r="AF62" s="148"/>
      <c r="AG62" s="146"/>
      <c r="AK62" s="148"/>
      <c r="AL62" s="146"/>
      <c r="AO62" s="163"/>
      <c r="AP62" s="163"/>
      <c r="AS62" s="148"/>
      <c r="AT62" s="146"/>
      <c r="BE62" s="148"/>
      <c r="BF62" s="146"/>
      <c r="BL62" s="148"/>
      <c r="BM62" s="146"/>
      <c r="BP62" s="148"/>
      <c r="BQ62" s="146"/>
      <c r="BV62" s="148"/>
      <c r="BW62" s="146"/>
      <c r="CC62" s="146"/>
      <c r="CH62" s="148"/>
      <c r="CI62" s="146"/>
    </row>
    <row r="63">
      <c r="C63" s="146"/>
      <c r="I63" s="163"/>
      <c r="J63" s="163"/>
      <c r="K63" s="163"/>
      <c r="Q63" s="148"/>
      <c r="AF63" s="148"/>
      <c r="AG63" s="146"/>
      <c r="AK63" s="148"/>
      <c r="AL63" s="146"/>
      <c r="AO63" s="163"/>
      <c r="AP63" s="163"/>
      <c r="AS63" s="148"/>
      <c r="AT63" s="146"/>
      <c r="BE63" s="148"/>
      <c r="BF63" s="146"/>
      <c r="BL63" s="148"/>
      <c r="BM63" s="146"/>
      <c r="BP63" s="148"/>
      <c r="BQ63" s="146"/>
      <c r="BV63" s="148"/>
      <c r="BW63" s="146"/>
      <c r="CC63" s="146"/>
      <c r="CH63" s="148"/>
      <c r="CI63" s="146"/>
    </row>
    <row r="64">
      <c r="C64" s="146"/>
      <c r="I64" s="163"/>
      <c r="J64" s="163"/>
      <c r="K64" s="163"/>
      <c r="Q64" s="148"/>
      <c r="AF64" s="148"/>
      <c r="AG64" s="146"/>
      <c r="AK64" s="148"/>
      <c r="AL64" s="146"/>
      <c r="AO64" s="163"/>
      <c r="AP64" s="163"/>
      <c r="AS64" s="148"/>
      <c r="AT64" s="146"/>
      <c r="BE64" s="148"/>
      <c r="BF64" s="146"/>
      <c r="BL64" s="148"/>
      <c r="BM64" s="146"/>
      <c r="BP64" s="148"/>
      <c r="BQ64" s="146"/>
      <c r="BV64" s="148"/>
      <c r="BW64" s="146"/>
      <c r="CC64" s="146"/>
      <c r="CH64" s="148"/>
      <c r="CI64" s="146"/>
    </row>
    <row r="65">
      <c r="C65" s="146"/>
      <c r="I65" s="163"/>
      <c r="J65" s="163"/>
      <c r="K65" s="163"/>
      <c r="Q65" s="148"/>
      <c r="AF65" s="148"/>
      <c r="AG65" s="146"/>
      <c r="AK65" s="148"/>
      <c r="AL65" s="146"/>
      <c r="AO65" s="163"/>
      <c r="AP65" s="163"/>
      <c r="AS65" s="148"/>
      <c r="AT65" s="146"/>
      <c r="BE65" s="148"/>
      <c r="BF65" s="146"/>
      <c r="BL65" s="148"/>
      <c r="BM65" s="146"/>
      <c r="BP65" s="148"/>
      <c r="BQ65" s="146"/>
      <c r="BV65" s="148"/>
      <c r="BW65" s="146"/>
      <c r="CC65" s="146"/>
      <c r="CH65" s="148"/>
      <c r="CI65" s="146"/>
    </row>
    <row r="66">
      <c r="C66" s="146"/>
      <c r="I66" s="163"/>
      <c r="J66" s="163"/>
      <c r="K66" s="163"/>
      <c r="Q66" s="148"/>
      <c r="AF66" s="148"/>
      <c r="AG66" s="146"/>
      <c r="AK66" s="148"/>
      <c r="AL66" s="146"/>
      <c r="AO66" s="163"/>
      <c r="AP66" s="163"/>
      <c r="AS66" s="148"/>
      <c r="AT66" s="146"/>
      <c r="BE66" s="148"/>
      <c r="BF66" s="146"/>
      <c r="BL66" s="148"/>
      <c r="BM66" s="146"/>
      <c r="BP66" s="148"/>
      <c r="BQ66" s="146"/>
      <c r="BV66" s="148"/>
      <c r="BW66" s="146"/>
      <c r="CC66" s="146"/>
      <c r="CH66" s="148"/>
      <c r="CI66" s="146"/>
    </row>
    <row r="67">
      <c r="C67" s="146"/>
      <c r="I67" s="163"/>
      <c r="J67" s="163"/>
      <c r="K67" s="163"/>
      <c r="Q67" s="148"/>
      <c r="AF67" s="148"/>
      <c r="AG67" s="146"/>
      <c r="AK67" s="148"/>
      <c r="AL67" s="146"/>
      <c r="AO67" s="163"/>
      <c r="AP67" s="163"/>
      <c r="AS67" s="148"/>
      <c r="AT67" s="146"/>
      <c r="BE67" s="148"/>
      <c r="BF67" s="146"/>
      <c r="BL67" s="148"/>
      <c r="BM67" s="146"/>
      <c r="BP67" s="148"/>
      <c r="BQ67" s="146"/>
      <c r="BV67" s="148"/>
      <c r="BW67" s="146"/>
      <c r="CC67" s="146"/>
      <c r="CH67" s="148"/>
      <c r="CI67" s="146"/>
    </row>
    <row r="68">
      <c r="C68" s="146"/>
      <c r="I68" s="163"/>
      <c r="J68" s="163"/>
      <c r="K68" s="163"/>
      <c r="Q68" s="148"/>
      <c r="AF68" s="148"/>
      <c r="AG68" s="146"/>
      <c r="AK68" s="148"/>
      <c r="AL68" s="146"/>
      <c r="AO68" s="163"/>
      <c r="AP68" s="163"/>
      <c r="AS68" s="148"/>
      <c r="AT68" s="146"/>
      <c r="BE68" s="148"/>
      <c r="BF68" s="146"/>
      <c r="BL68" s="148"/>
      <c r="BM68" s="146"/>
      <c r="BP68" s="148"/>
      <c r="BQ68" s="146"/>
      <c r="BV68" s="148"/>
      <c r="BW68" s="146"/>
      <c r="CC68" s="146"/>
      <c r="CH68" s="148"/>
      <c r="CI68" s="146"/>
    </row>
    <row r="69">
      <c r="C69" s="146"/>
      <c r="I69" s="163"/>
      <c r="J69" s="163"/>
      <c r="K69" s="163"/>
      <c r="Q69" s="148"/>
      <c r="AF69" s="148"/>
      <c r="AG69" s="146"/>
      <c r="AK69" s="148"/>
      <c r="AL69" s="146"/>
      <c r="AO69" s="163"/>
      <c r="AP69" s="163"/>
      <c r="AS69" s="148"/>
      <c r="AT69" s="146"/>
      <c r="BE69" s="148"/>
      <c r="BF69" s="146"/>
      <c r="BL69" s="148"/>
      <c r="BM69" s="146"/>
      <c r="BP69" s="148"/>
      <c r="BQ69" s="146"/>
      <c r="BV69" s="148"/>
      <c r="BW69" s="146"/>
      <c r="CC69" s="146"/>
      <c r="CH69" s="148"/>
      <c r="CI69" s="146"/>
    </row>
    <row r="70">
      <c r="C70" s="146"/>
      <c r="I70" s="163"/>
      <c r="J70" s="163"/>
      <c r="K70" s="163"/>
      <c r="Q70" s="148"/>
      <c r="AF70" s="148"/>
      <c r="AG70" s="146"/>
      <c r="AK70" s="148"/>
      <c r="AL70" s="146"/>
      <c r="AO70" s="163"/>
      <c r="AP70" s="163"/>
      <c r="AS70" s="148"/>
      <c r="AT70" s="146"/>
      <c r="BE70" s="148"/>
      <c r="BF70" s="146"/>
      <c r="BL70" s="148"/>
      <c r="BM70" s="146"/>
      <c r="BP70" s="148"/>
      <c r="BQ70" s="146"/>
      <c r="BV70" s="148"/>
      <c r="BW70" s="146"/>
      <c r="CC70" s="146"/>
      <c r="CH70" s="148"/>
      <c r="CI70" s="146"/>
    </row>
    <row r="71">
      <c r="C71" s="146"/>
      <c r="I71" s="163"/>
      <c r="J71" s="163"/>
      <c r="K71" s="163"/>
      <c r="Q71" s="148"/>
      <c r="AF71" s="148"/>
      <c r="AG71" s="146"/>
      <c r="AK71" s="148"/>
      <c r="AL71" s="146"/>
      <c r="AO71" s="163"/>
      <c r="AP71" s="163"/>
      <c r="AS71" s="148"/>
      <c r="AT71" s="146"/>
      <c r="BE71" s="148"/>
      <c r="BF71" s="146"/>
      <c r="BL71" s="148"/>
      <c r="BM71" s="146"/>
      <c r="BP71" s="148"/>
      <c r="BQ71" s="146"/>
      <c r="BV71" s="148"/>
      <c r="BW71" s="146"/>
      <c r="CC71" s="146"/>
      <c r="CH71" s="148"/>
      <c r="CI71" s="146"/>
    </row>
    <row r="72">
      <c r="C72" s="146"/>
      <c r="I72" s="163"/>
      <c r="J72" s="163"/>
      <c r="K72" s="163"/>
      <c r="Q72" s="148"/>
      <c r="AF72" s="148"/>
      <c r="AG72" s="146"/>
      <c r="AK72" s="148"/>
      <c r="AL72" s="146"/>
      <c r="AO72" s="163"/>
      <c r="AP72" s="163"/>
      <c r="AS72" s="148"/>
      <c r="AT72" s="146"/>
      <c r="BE72" s="148"/>
      <c r="BF72" s="146"/>
      <c r="BL72" s="148"/>
      <c r="BM72" s="146"/>
      <c r="BP72" s="148"/>
      <c r="BQ72" s="146"/>
      <c r="BV72" s="148"/>
      <c r="BW72" s="146"/>
      <c r="CC72" s="146"/>
      <c r="CH72" s="148"/>
      <c r="CI72" s="146"/>
    </row>
    <row r="73">
      <c r="C73" s="146"/>
      <c r="I73" s="163"/>
      <c r="J73" s="163"/>
      <c r="K73" s="163"/>
      <c r="Q73" s="148"/>
      <c r="AF73" s="148"/>
      <c r="AG73" s="146"/>
      <c r="AK73" s="148"/>
      <c r="AL73" s="146"/>
      <c r="AO73" s="163"/>
      <c r="AP73" s="163"/>
      <c r="AS73" s="148"/>
      <c r="AT73" s="146"/>
      <c r="BE73" s="148"/>
      <c r="BF73" s="146"/>
      <c r="BL73" s="148"/>
      <c r="BM73" s="146"/>
      <c r="BP73" s="148"/>
      <c r="BQ73" s="146"/>
      <c r="BV73" s="148"/>
      <c r="BW73" s="146"/>
      <c r="CC73" s="146"/>
      <c r="CH73" s="148"/>
      <c r="CI73" s="146"/>
    </row>
    <row r="74">
      <c r="C74" s="146"/>
      <c r="I74" s="163"/>
      <c r="J74" s="163"/>
      <c r="K74" s="163"/>
      <c r="Q74" s="148"/>
      <c r="AF74" s="148"/>
      <c r="AG74" s="146"/>
      <c r="AK74" s="148"/>
      <c r="AL74" s="146"/>
      <c r="AO74" s="163"/>
      <c r="AP74" s="163"/>
      <c r="AS74" s="148"/>
      <c r="AT74" s="146"/>
      <c r="BE74" s="148"/>
      <c r="BF74" s="146"/>
      <c r="BL74" s="148"/>
      <c r="BM74" s="146"/>
      <c r="BP74" s="148"/>
      <c r="BQ74" s="146"/>
      <c r="BV74" s="148"/>
      <c r="BW74" s="146"/>
      <c r="CC74" s="146"/>
      <c r="CH74" s="148"/>
      <c r="CI74" s="146"/>
    </row>
    <row r="75">
      <c r="C75" s="146"/>
      <c r="I75" s="163"/>
      <c r="J75" s="163"/>
      <c r="K75" s="163"/>
      <c r="Q75" s="148"/>
      <c r="AF75" s="148"/>
      <c r="AG75" s="146"/>
      <c r="AK75" s="148"/>
      <c r="AL75" s="146"/>
      <c r="AO75" s="163"/>
      <c r="AP75" s="163"/>
      <c r="AS75" s="148"/>
      <c r="AT75" s="146"/>
      <c r="BE75" s="148"/>
      <c r="BF75" s="146"/>
      <c r="BL75" s="148"/>
      <c r="BM75" s="146"/>
      <c r="BP75" s="148"/>
      <c r="BQ75" s="146"/>
      <c r="BV75" s="148"/>
      <c r="BW75" s="146"/>
      <c r="CC75" s="146"/>
      <c r="CH75" s="148"/>
      <c r="CI75" s="146"/>
    </row>
    <row r="76">
      <c r="C76" s="146"/>
      <c r="I76" s="163"/>
      <c r="J76" s="163"/>
      <c r="K76" s="163"/>
      <c r="Q76" s="148"/>
      <c r="AF76" s="148"/>
      <c r="AG76" s="146"/>
      <c r="AK76" s="148"/>
      <c r="AL76" s="146"/>
      <c r="AO76" s="163"/>
      <c r="AP76" s="163"/>
      <c r="AS76" s="148"/>
      <c r="AT76" s="146"/>
      <c r="BE76" s="148"/>
      <c r="BF76" s="146"/>
      <c r="BL76" s="148"/>
      <c r="BM76" s="146"/>
      <c r="BP76" s="148"/>
      <c r="BQ76" s="146"/>
      <c r="BV76" s="148"/>
      <c r="BW76" s="146"/>
      <c r="CC76" s="146"/>
      <c r="CH76" s="148"/>
      <c r="CI76" s="146"/>
    </row>
    <row r="77">
      <c r="C77" s="146"/>
      <c r="I77" s="163"/>
      <c r="J77" s="163"/>
      <c r="K77" s="163"/>
      <c r="Q77" s="148"/>
      <c r="AF77" s="148"/>
      <c r="AG77" s="146"/>
      <c r="AK77" s="148"/>
      <c r="AL77" s="146"/>
      <c r="AO77" s="163"/>
      <c r="AP77" s="163"/>
      <c r="AS77" s="148"/>
      <c r="AT77" s="146"/>
      <c r="BE77" s="148"/>
      <c r="BF77" s="146"/>
      <c r="BL77" s="148"/>
      <c r="BM77" s="146"/>
      <c r="BP77" s="148"/>
      <c r="BQ77" s="146"/>
      <c r="BV77" s="148"/>
      <c r="BW77" s="146"/>
      <c r="CC77" s="146"/>
      <c r="CH77" s="148"/>
      <c r="CI77" s="146"/>
    </row>
    <row r="78">
      <c r="C78" s="146"/>
      <c r="I78" s="163"/>
      <c r="J78" s="163"/>
      <c r="K78" s="163"/>
      <c r="Q78" s="148"/>
      <c r="AF78" s="148"/>
      <c r="AG78" s="146"/>
      <c r="AK78" s="148"/>
      <c r="AL78" s="146"/>
      <c r="AO78" s="163"/>
      <c r="AP78" s="163"/>
      <c r="AS78" s="148"/>
      <c r="AT78" s="146"/>
      <c r="BE78" s="148"/>
      <c r="BF78" s="146"/>
      <c r="BL78" s="148"/>
      <c r="BM78" s="146"/>
      <c r="BP78" s="148"/>
      <c r="BQ78" s="146"/>
      <c r="BV78" s="148"/>
      <c r="BW78" s="146"/>
      <c r="CC78" s="146"/>
      <c r="CH78" s="148"/>
      <c r="CI78" s="146"/>
    </row>
    <row r="79">
      <c r="C79" s="146"/>
      <c r="I79" s="163"/>
      <c r="J79" s="163"/>
      <c r="K79" s="163"/>
      <c r="Q79" s="148"/>
      <c r="AF79" s="148"/>
      <c r="AG79" s="146"/>
      <c r="AK79" s="148"/>
      <c r="AL79" s="146"/>
      <c r="AO79" s="163"/>
      <c r="AP79" s="163"/>
      <c r="AS79" s="148"/>
      <c r="AT79" s="146"/>
      <c r="BE79" s="148"/>
      <c r="BF79" s="146"/>
      <c r="BL79" s="148"/>
      <c r="BM79" s="146"/>
      <c r="BP79" s="148"/>
      <c r="BQ79" s="146"/>
      <c r="BV79" s="148"/>
      <c r="BW79" s="146"/>
      <c r="CC79" s="146"/>
      <c r="CH79" s="148"/>
      <c r="CI79" s="146"/>
    </row>
    <row r="80">
      <c r="C80" s="146"/>
      <c r="I80" s="163"/>
      <c r="J80" s="163"/>
      <c r="K80" s="163"/>
      <c r="Q80" s="148"/>
      <c r="AF80" s="148"/>
      <c r="AG80" s="146"/>
      <c r="AK80" s="148"/>
      <c r="AL80" s="146"/>
      <c r="AO80" s="163"/>
      <c r="AP80" s="163"/>
      <c r="AS80" s="148"/>
      <c r="AT80" s="146"/>
      <c r="BE80" s="148"/>
      <c r="BF80" s="146"/>
      <c r="BL80" s="148"/>
      <c r="BM80" s="146"/>
      <c r="BP80" s="148"/>
      <c r="BQ80" s="146"/>
      <c r="BV80" s="148"/>
      <c r="BW80" s="146"/>
      <c r="CC80" s="146"/>
      <c r="CH80" s="148"/>
      <c r="CI80" s="146"/>
    </row>
    <row r="81">
      <c r="C81" s="146"/>
      <c r="I81" s="163"/>
      <c r="J81" s="163"/>
      <c r="K81" s="163"/>
      <c r="Q81" s="148"/>
      <c r="AF81" s="148"/>
      <c r="AG81" s="146"/>
      <c r="AK81" s="148"/>
      <c r="AL81" s="146"/>
      <c r="AO81" s="163"/>
      <c r="AP81" s="163"/>
      <c r="AS81" s="148"/>
      <c r="AT81" s="146"/>
      <c r="BE81" s="148"/>
      <c r="BF81" s="146"/>
      <c r="BL81" s="148"/>
      <c r="BM81" s="146"/>
      <c r="BP81" s="148"/>
      <c r="BQ81" s="146"/>
      <c r="BV81" s="148"/>
      <c r="BW81" s="146"/>
      <c r="CC81" s="146"/>
      <c r="CH81" s="148"/>
      <c r="CI81" s="146"/>
    </row>
    <row r="82">
      <c r="C82" s="146"/>
      <c r="I82" s="163"/>
      <c r="J82" s="163"/>
      <c r="K82" s="163"/>
      <c r="Q82" s="148"/>
      <c r="AF82" s="148"/>
      <c r="AG82" s="146"/>
      <c r="AK82" s="148"/>
      <c r="AL82" s="146"/>
      <c r="AO82" s="163"/>
      <c r="AP82" s="163"/>
      <c r="AS82" s="148"/>
      <c r="AT82" s="146"/>
      <c r="BE82" s="148"/>
      <c r="BF82" s="146"/>
      <c r="BL82" s="148"/>
      <c r="BM82" s="146"/>
      <c r="BP82" s="148"/>
      <c r="BQ82" s="146"/>
      <c r="BV82" s="148"/>
      <c r="BW82" s="146"/>
      <c r="CC82" s="146"/>
      <c r="CH82" s="148"/>
      <c r="CI82" s="146"/>
    </row>
    <row r="83">
      <c r="C83" s="146"/>
      <c r="I83" s="163"/>
      <c r="J83" s="163"/>
      <c r="K83" s="163"/>
      <c r="Q83" s="148"/>
      <c r="AF83" s="148"/>
      <c r="AG83" s="146"/>
      <c r="AK83" s="148"/>
      <c r="AL83" s="146"/>
      <c r="AO83" s="163"/>
      <c r="AP83" s="163"/>
      <c r="AS83" s="148"/>
      <c r="AT83" s="146"/>
      <c r="BE83" s="148"/>
      <c r="BF83" s="146"/>
      <c r="BL83" s="148"/>
      <c r="BM83" s="146"/>
      <c r="BP83" s="148"/>
      <c r="BQ83" s="146"/>
      <c r="BV83" s="148"/>
      <c r="BW83" s="146"/>
      <c r="CC83" s="146"/>
      <c r="CH83" s="148"/>
      <c r="CI83" s="146"/>
    </row>
    <row r="84">
      <c r="C84" s="146"/>
      <c r="I84" s="163"/>
      <c r="J84" s="163"/>
      <c r="K84" s="163"/>
      <c r="Q84" s="148"/>
      <c r="AF84" s="148"/>
      <c r="AG84" s="146"/>
      <c r="AK84" s="148"/>
      <c r="AL84" s="146"/>
      <c r="AO84" s="163"/>
      <c r="AP84" s="163"/>
      <c r="AS84" s="148"/>
      <c r="AT84" s="146"/>
      <c r="BE84" s="148"/>
      <c r="BF84" s="146"/>
      <c r="BL84" s="148"/>
      <c r="BM84" s="146"/>
      <c r="BP84" s="148"/>
      <c r="BQ84" s="146"/>
      <c r="BV84" s="148"/>
      <c r="BW84" s="146"/>
      <c r="CC84" s="146"/>
      <c r="CH84" s="148"/>
      <c r="CI84" s="146"/>
    </row>
    <row r="85">
      <c r="C85" s="146"/>
      <c r="I85" s="163"/>
      <c r="J85" s="163"/>
      <c r="K85" s="163"/>
      <c r="Q85" s="148"/>
      <c r="AF85" s="148"/>
      <c r="AG85" s="146"/>
      <c r="AK85" s="148"/>
      <c r="AL85" s="146"/>
      <c r="AO85" s="163"/>
      <c r="AP85" s="163"/>
      <c r="AS85" s="148"/>
      <c r="AT85" s="146"/>
      <c r="BE85" s="148"/>
      <c r="BF85" s="146"/>
      <c r="BL85" s="148"/>
      <c r="BM85" s="146"/>
      <c r="BP85" s="148"/>
      <c r="BQ85" s="146"/>
      <c r="BV85" s="148"/>
      <c r="BW85" s="146"/>
      <c r="CC85" s="146"/>
      <c r="CH85" s="148"/>
      <c r="CI85" s="146"/>
    </row>
    <row r="86">
      <c r="C86" s="146"/>
      <c r="I86" s="163"/>
      <c r="J86" s="163"/>
      <c r="K86" s="163"/>
      <c r="Q86" s="148"/>
      <c r="AF86" s="148"/>
      <c r="AG86" s="146"/>
      <c r="AK86" s="148"/>
      <c r="AL86" s="146"/>
      <c r="AO86" s="163"/>
      <c r="AP86" s="163"/>
      <c r="AS86" s="148"/>
      <c r="AT86" s="146"/>
      <c r="BE86" s="148"/>
      <c r="BF86" s="146"/>
      <c r="BL86" s="148"/>
      <c r="BM86" s="146"/>
      <c r="BP86" s="148"/>
      <c r="BQ86" s="146"/>
      <c r="BV86" s="148"/>
      <c r="BW86" s="146"/>
      <c r="CC86" s="146"/>
      <c r="CH86" s="148"/>
      <c r="CI86" s="146"/>
    </row>
    <row r="87">
      <c r="C87" s="146"/>
      <c r="I87" s="163"/>
      <c r="J87" s="163"/>
      <c r="K87" s="163"/>
      <c r="Q87" s="148"/>
      <c r="AF87" s="148"/>
      <c r="AG87" s="146"/>
      <c r="AK87" s="148"/>
      <c r="AL87" s="146"/>
      <c r="AO87" s="163"/>
      <c r="AP87" s="163"/>
      <c r="AS87" s="148"/>
      <c r="AT87" s="146"/>
      <c r="BE87" s="148"/>
      <c r="BF87" s="146"/>
      <c r="BL87" s="148"/>
      <c r="BM87" s="146"/>
      <c r="BP87" s="148"/>
      <c r="BQ87" s="146"/>
      <c r="BV87" s="148"/>
      <c r="BW87" s="146"/>
      <c r="CC87" s="146"/>
      <c r="CH87" s="148"/>
      <c r="CI87" s="146"/>
    </row>
    <row r="88">
      <c r="C88" s="146"/>
      <c r="I88" s="163"/>
      <c r="J88" s="163"/>
      <c r="K88" s="163"/>
      <c r="Q88" s="148"/>
      <c r="AF88" s="148"/>
      <c r="AG88" s="146"/>
      <c r="AK88" s="148"/>
      <c r="AL88" s="146"/>
      <c r="AO88" s="163"/>
      <c r="AP88" s="163"/>
      <c r="AS88" s="148"/>
      <c r="AT88" s="146"/>
      <c r="BE88" s="148"/>
      <c r="BF88" s="146"/>
      <c r="BL88" s="148"/>
      <c r="BM88" s="146"/>
      <c r="BP88" s="148"/>
      <c r="BQ88" s="146"/>
      <c r="BV88" s="148"/>
      <c r="BW88" s="146"/>
      <c r="CC88" s="146"/>
      <c r="CH88" s="148"/>
      <c r="CI88" s="146"/>
    </row>
    <row r="89">
      <c r="C89" s="146"/>
      <c r="I89" s="163"/>
      <c r="J89" s="163"/>
      <c r="K89" s="163"/>
      <c r="Q89" s="148"/>
      <c r="AF89" s="148"/>
      <c r="AG89" s="146"/>
      <c r="AK89" s="148"/>
      <c r="AL89" s="146"/>
      <c r="AO89" s="163"/>
      <c r="AP89" s="163"/>
      <c r="AS89" s="148"/>
      <c r="AT89" s="146"/>
      <c r="BE89" s="148"/>
      <c r="BF89" s="146"/>
      <c r="BL89" s="148"/>
      <c r="BM89" s="146"/>
      <c r="BP89" s="148"/>
      <c r="BQ89" s="146"/>
      <c r="BV89" s="148"/>
      <c r="BW89" s="146"/>
      <c r="CC89" s="146"/>
      <c r="CH89" s="148"/>
      <c r="CI89" s="146"/>
    </row>
    <row r="90">
      <c r="C90" s="146"/>
      <c r="I90" s="163"/>
      <c r="J90" s="163"/>
      <c r="K90" s="163"/>
      <c r="Q90" s="148"/>
      <c r="AF90" s="148"/>
      <c r="AG90" s="146"/>
      <c r="AK90" s="148"/>
      <c r="AL90" s="146"/>
      <c r="AO90" s="163"/>
      <c r="AP90" s="163"/>
      <c r="AS90" s="148"/>
      <c r="AT90" s="146"/>
      <c r="BE90" s="148"/>
      <c r="BF90" s="146"/>
      <c r="BL90" s="148"/>
      <c r="BM90" s="146"/>
      <c r="BP90" s="148"/>
      <c r="BQ90" s="146"/>
      <c r="BV90" s="148"/>
      <c r="BW90" s="146"/>
      <c r="CC90" s="146"/>
      <c r="CH90" s="148"/>
      <c r="CI90" s="146"/>
    </row>
    <row r="91">
      <c r="C91" s="146"/>
      <c r="I91" s="163"/>
      <c r="J91" s="163"/>
      <c r="K91" s="163"/>
      <c r="Q91" s="148"/>
      <c r="AF91" s="148"/>
      <c r="AG91" s="146"/>
      <c r="AK91" s="148"/>
      <c r="AL91" s="146"/>
      <c r="AO91" s="163"/>
      <c r="AP91" s="163"/>
      <c r="AS91" s="148"/>
      <c r="AT91" s="146"/>
      <c r="BE91" s="148"/>
      <c r="BF91" s="146"/>
      <c r="BL91" s="148"/>
      <c r="BM91" s="146"/>
      <c r="BP91" s="148"/>
      <c r="BQ91" s="146"/>
      <c r="BV91" s="148"/>
      <c r="BW91" s="146"/>
      <c r="CC91" s="146"/>
      <c r="CH91" s="148"/>
      <c r="CI91" s="146"/>
    </row>
    <row r="92">
      <c r="C92" s="146"/>
      <c r="I92" s="163"/>
      <c r="J92" s="163"/>
      <c r="K92" s="163"/>
      <c r="Q92" s="148"/>
      <c r="AF92" s="148"/>
      <c r="AG92" s="146"/>
      <c r="AK92" s="148"/>
      <c r="AL92" s="146"/>
      <c r="AO92" s="163"/>
      <c r="AP92" s="163"/>
      <c r="AS92" s="148"/>
      <c r="AT92" s="146"/>
      <c r="BE92" s="148"/>
      <c r="BF92" s="146"/>
      <c r="BL92" s="148"/>
      <c r="BM92" s="146"/>
      <c r="BP92" s="148"/>
      <c r="BQ92" s="146"/>
      <c r="BV92" s="148"/>
      <c r="BW92" s="146"/>
      <c r="CC92" s="146"/>
      <c r="CH92" s="148"/>
      <c r="CI92" s="146"/>
    </row>
    <row r="93">
      <c r="C93" s="146"/>
      <c r="I93" s="163"/>
      <c r="J93" s="163"/>
      <c r="K93" s="163"/>
      <c r="Q93" s="148"/>
      <c r="AF93" s="148"/>
      <c r="AG93" s="146"/>
      <c r="AK93" s="148"/>
      <c r="AL93" s="146"/>
      <c r="AO93" s="163"/>
      <c r="AP93" s="163"/>
      <c r="AS93" s="148"/>
      <c r="AT93" s="146"/>
      <c r="BE93" s="148"/>
      <c r="BF93" s="146"/>
      <c r="BL93" s="148"/>
      <c r="BM93" s="146"/>
      <c r="BP93" s="148"/>
      <c r="BQ93" s="146"/>
      <c r="BV93" s="148"/>
      <c r="BW93" s="146"/>
      <c r="CC93" s="146"/>
      <c r="CH93" s="148"/>
      <c r="CI93" s="146"/>
    </row>
    <row r="94">
      <c r="C94" s="146"/>
      <c r="I94" s="163"/>
      <c r="J94" s="163"/>
      <c r="K94" s="163"/>
      <c r="Q94" s="148"/>
      <c r="AF94" s="148"/>
      <c r="AG94" s="146"/>
      <c r="AK94" s="148"/>
      <c r="AL94" s="146"/>
      <c r="AO94" s="163"/>
      <c r="AP94" s="163"/>
      <c r="AS94" s="148"/>
      <c r="AT94" s="146"/>
      <c r="BE94" s="148"/>
      <c r="BF94" s="146"/>
      <c r="BL94" s="148"/>
      <c r="BM94" s="146"/>
      <c r="BP94" s="148"/>
      <c r="BQ94" s="146"/>
      <c r="BV94" s="148"/>
      <c r="BW94" s="146"/>
      <c r="CC94" s="146"/>
      <c r="CH94" s="148"/>
      <c r="CI94" s="146"/>
    </row>
    <row r="95">
      <c r="C95" s="146"/>
      <c r="I95" s="163"/>
      <c r="J95" s="163"/>
      <c r="K95" s="163"/>
      <c r="Q95" s="148"/>
      <c r="AF95" s="148"/>
      <c r="AG95" s="146"/>
      <c r="AK95" s="148"/>
      <c r="AL95" s="146"/>
      <c r="AO95" s="163"/>
      <c r="AP95" s="163"/>
      <c r="AS95" s="148"/>
      <c r="AT95" s="146"/>
      <c r="BE95" s="148"/>
      <c r="BF95" s="146"/>
      <c r="BL95" s="148"/>
      <c r="BM95" s="146"/>
      <c r="BP95" s="148"/>
      <c r="BQ95" s="146"/>
      <c r="BV95" s="148"/>
      <c r="BW95" s="146"/>
      <c r="CC95" s="146"/>
      <c r="CH95" s="148"/>
      <c r="CI95" s="146"/>
    </row>
    <row r="96">
      <c r="C96" s="146"/>
      <c r="I96" s="163"/>
      <c r="J96" s="163"/>
      <c r="K96" s="163"/>
      <c r="Q96" s="148"/>
      <c r="AF96" s="148"/>
      <c r="AG96" s="146"/>
      <c r="AK96" s="148"/>
      <c r="AL96" s="146"/>
      <c r="AO96" s="163"/>
      <c r="AP96" s="163"/>
      <c r="AS96" s="148"/>
      <c r="AT96" s="146"/>
      <c r="BE96" s="148"/>
      <c r="BF96" s="146"/>
      <c r="BL96" s="148"/>
      <c r="BM96" s="146"/>
      <c r="BP96" s="148"/>
      <c r="BQ96" s="146"/>
      <c r="BV96" s="148"/>
      <c r="BW96" s="146"/>
      <c r="CC96" s="146"/>
      <c r="CH96" s="148"/>
      <c r="CI96" s="146"/>
    </row>
    <row r="97">
      <c r="C97" s="146"/>
      <c r="I97" s="163"/>
      <c r="J97" s="163"/>
      <c r="K97" s="163"/>
      <c r="Q97" s="148"/>
      <c r="AF97" s="148"/>
      <c r="AG97" s="146"/>
      <c r="AK97" s="148"/>
      <c r="AL97" s="146"/>
      <c r="AO97" s="163"/>
      <c r="AP97" s="163"/>
      <c r="AS97" s="148"/>
      <c r="AT97" s="146"/>
      <c r="BE97" s="148"/>
      <c r="BF97" s="146"/>
      <c r="BL97" s="148"/>
      <c r="BM97" s="146"/>
      <c r="BP97" s="148"/>
      <c r="BQ97" s="146"/>
      <c r="BV97" s="148"/>
      <c r="BW97" s="146"/>
      <c r="CC97" s="146"/>
      <c r="CH97" s="148"/>
      <c r="CI97" s="146"/>
    </row>
    <row r="98">
      <c r="C98" s="146"/>
      <c r="I98" s="163"/>
      <c r="J98" s="163"/>
      <c r="K98" s="163"/>
      <c r="Q98" s="148"/>
      <c r="AF98" s="148"/>
      <c r="AG98" s="146"/>
      <c r="AK98" s="148"/>
      <c r="AL98" s="146"/>
      <c r="AO98" s="163"/>
      <c r="AP98" s="163"/>
      <c r="AS98" s="148"/>
      <c r="AT98" s="146"/>
      <c r="BE98" s="148"/>
      <c r="BF98" s="146"/>
      <c r="BL98" s="148"/>
      <c r="BM98" s="146"/>
      <c r="BP98" s="148"/>
      <c r="BQ98" s="146"/>
      <c r="BV98" s="148"/>
      <c r="BW98" s="146"/>
      <c r="CC98" s="146"/>
      <c r="CH98" s="148"/>
      <c r="CI98" s="146"/>
    </row>
    <row r="99">
      <c r="C99" s="146"/>
      <c r="I99" s="163"/>
      <c r="J99" s="163"/>
      <c r="K99" s="163"/>
      <c r="Q99" s="148"/>
      <c r="AF99" s="148"/>
      <c r="AG99" s="146"/>
      <c r="AK99" s="148"/>
      <c r="AL99" s="146"/>
      <c r="AO99" s="163"/>
      <c r="AP99" s="163"/>
      <c r="AS99" s="148"/>
      <c r="AT99" s="146"/>
      <c r="BE99" s="148"/>
      <c r="BF99" s="146"/>
      <c r="BL99" s="148"/>
      <c r="BM99" s="146"/>
      <c r="BP99" s="148"/>
      <c r="BQ99" s="146"/>
      <c r="BV99" s="148"/>
      <c r="BW99" s="146"/>
      <c r="CC99" s="146"/>
      <c r="CH99" s="148"/>
      <c r="CI99" s="146"/>
    </row>
    <row r="100">
      <c r="C100" s="146"/>
      <c r="I100" s="163"/>
      <c r="J100" s="163"/>
      <c r="K100" s="163"/>
      <c r="Q100" s="148"/>
      <c r="AF100" s="148"/>
      <c r="AG100" s="146"/>
      <c r="AK100" s="148"/>
      <c r="AL100" s="146"/>
      <c r="AO100" s="163"/>
      <c r="AP100" s="163"/>
      <c r="AS100" s="148"/>
      <c r="AT100" s="146"/>
      <c r="BE100" s="148"/>
      <c r="BF100" s="146"/>
      <c r="BL100" s="148"/>
      <c r="BM100" s="146"/>
      <c r="BP100" s="148"/>
      <c r="BQ100" s="146"/>
      <c r="BV100" s="148"/>
      <c r="BW100" s="146"/>
      <c r="CC100" s="146"/>
      <c r="CH100" s="148"/>
      <c r="CI100" s="146"/>
    </row>
    <row r="101">
      <c r="C101" s="146"/>
      <c r="I101" s="163"/>
      <c r="J101" s="163"/>
      <c r="K101" s="163"/>
      <c r="Q101" s="148"/>
      <c r="AF101" s="148"/>
      <c r="AG101" s="146"/>
      <c r="AK101" s="148"/>
      <c r="AL101" s="146"/>
      <c r="AO101" s="163"/>
      <c r="AP101" s="163"/>
      <c r="AS101" s="148"/>
      <c r="AT101" s="146"/>
      <c r="BE101" s="148"/>
      <c r="BF101" s="146"/>
      <c r="BL101" s="148"/>
      <c r="BM101" s="146"/>
      <c r="BP101" s="148"/>
      <c r="BQ101" s="146"/>
      <c r="BV101" s="148"/>
      <c r="BW101" s="146"/>
      <c r="CC101" s="146"/>
      <c r="CH101" s="148"/>
      <c r="CI101" s="146"/>
    </row>
    <row r="102">
      <c r="C102" s="146"/>
      <c r="I102" s="163"/>
      <c r="J102" s="163"/>
      <c r="K102" s="163"/>
      <c r="Q102" s="148"/>
      <c r="AF102" s="148"/>
      <c r="AG102" s="146"/>
      <c r="AK102" s="148"/>
      <c r="AL102" s="146"/>
      <c r="AO102" s="163"/>
      <c r="AP102" s="163"/>
      <c r="AS102" s="148"/>
      <c r="AT102" s="146"/>
      <c r="BE102" s="148"/>
      <c r="BF102" s="146"/>
      <c r="BL102" s="148"/>
      <c r="BM102" s="146"/>
      <c r="BP102" s="148"/>
      <c r="BQ102" s="146"/>
      <c r="BV102" s="148"/>
      <c r="BW102" s="146"/>
      <c r="CC102" s="146"/>
      <c r="CH102" s="148"/>
      <c r="CI102" s="146"/>
    </row>
    <row r="103">
      <c r="C103" s="146"/>
      <c r="I103" s="163"/>
      <c r="J103" s="163"/>
      <c r="K103" s="163"/>
      <c r="Q103" s="148"/>
      <c r="AF103" s="148"/>
      <c r="AG103" s="146"/>
      <c r="AK103" s="148"/>
      <c r="AL103" s="146"/>
      <c r="AO103" s="163"/>
      <c r="AP103" s="163"/>
      <c r="AS103" s="148"/>
      <c r="AT103" s="146"/>
      <c r="BE103" s="148"/>
      <c r="BF103" s="146"/>
      <c r="BL103" s="148"/>
      <c r="BM103" s="146"/>
      <c r="BP103" s="148"/>
      <c r="BQ103" s="146"/>
      <c r="BV103" s="148"/>
      <c r="BW103" s="146"/>
      <c r="CC103" s="146"/>
      <c r="CH103" s="148"/>
      <c r="CI103" s="146"/>
    </row>
    <row r="104">
      <c r="C104" s="146"/>
      <c r="I104" s="163"/>
      <c r="J104" s="163"/>
      <c r="K104" s="163"/>
      <c r="Q104" s="148"/>
      <c r="AF104" s="148"/>
      <c r="AG104" s="146"/>
      <c r="AK104" s="148"/>
      <c r="AL104" s="146"/>
      <c r="AO104" s="163"/>
      <c r="AP104" s="163"/>
      <c r="AS104" s="148"/>
      <c r="AT104" s="146"/>
      <c r="BE104" s="148"/>
      <c r="BF104" s="146"/>
      <c r="BL104" s="148"/>
      <c r="BM104" s="146"/>
      <c r="BP104" s="148"/>
      <c r="BQ104" s="146"/>
      <c r="BV104" s="148"/>
      <c r="BW104" s="146"/>
      <c r="CC104" s="146"/>
      <c r="CH104" s="148"/>
      <c r="CI104" s="146"/>
    </row>
    <row r="105">
      <c r="C105" s="146"/>
      <c r="I105" s="163"/>
      <c r="J105" s="163"/>
      <c r="K105" s="163"/>
      <c r="Q105" s="148"/>
      <c r="AF105" s="148"/>
      <c r="AG105" s="146"/>
      <c r="AK105" s="148"/>
      <c r="AL105" s="146"/>
      <c r="AO105" s="163"/>
      <c r="AP105" s="163"/>
      <c r="AS105" s="148"/>
      <c r="AT105" s="146"/>
      <c r="BE105" s="148"/>
      <c r="BF105" s="146"/>
      <c r="BL105" s="148"/>
      <c r="BM105" s="146"/>
      <c r="BP105" s="148"/>
      <c r="BQ105" s="146"/>
      <c r="BV105" s="148"/>
      <c r="BW105" s="146"/>
      <c r="CC105" s="146"/>
      <c r="CH105" s="148"/>
      <c r="CI105" s="146"/>
    </row>
    <row r="106">
      <c r="C106" s="146"/>
      <c r="I106" s="163"/>
      <c r="J106" s="163"/>
      <c r="K106" s="163"/>
      <c r="Q106" s="148"/>
      <c r="AF106" s="148"/>
      <c r="AG106" s="146"/>
      <c r="AK106" s="148"/>
      <c r="AL106" s="146"/>
      <c r="AO106" s="163"/>
      <c r="AP106" s="163"/>
      <c r="AS106" s="148"/>
      <c r="AT106" s="146"/>
      <c r="BE106" s="148"/>
      <c r="BF106" s="146"/>
      <c r="BL106" s="148"/>
      <c r="BM106" s="146"/>
      <c r="BP106" s="148"/>
      <c r="BQ106" s="146"/>
      <c r="BV106" s="148"/>
      <c r="BW106" s="146"/>
      <c r="CC106" s="146"/>
      <c r="CH106" s="148"/>
      <c r="CI106" s="146"/>
    </row>
    <row r="107">
      <c r="C107" s="146"/>
      <c r="I107" s="163"/>
      <c r="J107" s="163"/>
      <c r="K107" s="163"/>
      <c r="Q107" s="148"/>
      <c r="AF107" s="148"/>
      <c r="AG107" s="146"/>
      <c r="AK107" s="148"/>
      <c r="AL107" s="146"/>
      <c r="AO107" s="163"/>
      <c r="AP107" s="163"/>
      <c r="AS107" s="148"/>
      <c r="AT107" s="146"/>
      <c r="BE107" s="148"/>
      <c r="BF107" s="146"/>
      <c r="BL107" s="148"/>
      <c r="BM107" s="146"/>
      <c r="BP107" s="148"/>
      <c r="BQ107" s="146"/>
      <c r="BV107" s="148"/>
      <c r="BW107" s="146"/>
      <c r="CC107" s="146"/>
      <c r="CH107" s="148"/>
      <c r="CI107" s="146"/>
    </row>
    <row r="108">
      <c r="C108" s="146"/>
      <c r="I108" s="163"/>
      <c r="J108" s="163"/>
      <c r="K108" s="163"/>
      <c r="Q108" s="148"/>
      <c r="AF108" s="148"/>
      <c r="AG108" s="146"/>
      <c r="AK108" s="148"/>
      <c r="AL108" s="146"/>
      <c r="AO108" s="163"/>
      <c r="AP108" s="163"/>
      <c r="AS108" s="148"/>
      <c r="AT108" s="146"/>
      <c r="BE108" s="148"/>
      <c r="BF108" s="146"/>
      <c r="BL108" s="148"/>
      <c r="BM108" s="146"/>
      <c r="BP108" s="148"/>
      <c r="BQ108" s="146"/>
      <c r="BV108" s="148"/>
      <c r="BW108" s="146"/>
      <c r="CC108" s="146"/>
      <c r="CH108" s="148"/>
      <c r="CI108" s="146"/>
    </row>
    <row r="109">
      <c r="C109" s="146"/>
      <c r="I109" s="163"/>
      <c r="J109" s="163"/>
      <c r="K109" s="163"/>
      <c r="Q109" s="148"/>
      <c r="AF109" s="148"/>
      <c r="AG109" s="146"/>
      <c r="AK109" s="148"/>
      <c r="AL109" s="146"/>
      <c r="AO109" s="163"/>
      <c r="AP109" s="163"/>
      <c r="AS109" s="148"/>
      <c r="AT109" s="146"/>
      <c r="BE109" s="148"/>
      <c r="BF109" s="146"/>
      <c r="BL109" s="148"/>
      <c r="BM109" s="146"/>
      <c r="BP109" s="148"/>
      <c r="BQ109" s="146"/>
      <c r="BV109" s="148"/>
      <c r="BW109" s="146"/>
      <c r="CC109" s="146"/>
      <c r="CH109" s="148"/>
      <c r="CI109" s="146"/>
    </row>
    <row r="110">
      <c r="C110" s="146"/>
      <c r="I110" s="163"/>
      <c r="J110" s="163"/>
      <c r="K110" s="163"/>
      <c r="Q110" s="148"/>
      <c r="AF110" s="148"/>
      <c r="AG110" s="146"/>
      <c r="AK110" s="148"/>
      <c r="AL110" s="146"/>
      <c r="AO110" s="163"/>
      <c r="AP110" s="163"/>
      <c r="AS110" s="148"/>
      <c r="AT110" s="146"/>
      <c r="BE110" s="148"/>
      <c r="BF110" s="146"/>
      <c r="BL110" s="148"/>
      <c r="BM110" s="146"/>
      <c r="BP110" s="148"/>
      <c r="BQ110" s="146"/>
      <c r="BV110" s="148"/>
      <c r="BW110" s="146"/>
      <c r="CC110" s="146"/>
      <c r="CH110" s="148"/>
      <c r="CI110" s="146"/>
    </row>
    <row r="111">
      <c r="C111" s="146"/>
      <c r="I111" s="163"/>
      <c r="J111" s="163"/>
      <c r="K111" s="163"/>
      <c r="Q111" s="148"/>
      <c r="AF111" s="148"/>
      <c r="AG111" s="146"/>
      <c r="AK111" s="148"/>
      <c r="AL111" s="146"/>
      <c r="AO111" s="163"/>
      <c r="AP111" s="163"/>
      <c r="AS111" s="148"/>
      <c r="AT111" s="146"/>
      <c r="BE111" s="148"/>
      <c r="BF111" s="146"/>
      <c r="BL111" s="148"/>
      <c r="BM111" s="146"/>
      <c r="BP111" s="148"/>
      <c r="BQ111" s="146"/>
      <c r="BV111" s="148"/>
      <c r="BW111" s="146"/>
      <c r="CC111" s="146"/>
      <c r="CH111" s="148"/>
      <c r="CI111" s="146"/>
    </row>
    <row r="112">
      <c r="C112" s="146"/>
      <c r="I112" s="163"/>
      <c r="J112" s="163"/>
      <c r="K112" s="163"/>
      <c r="Q112" s="148"/>
      <c r="AF112" s="148"/>
      <c r="AG112" s="146"/>
      <c r="AK112" s="148"/>
      <c r="AL112" s="146"/>
      <c r="AO112" s="163"/>
      <c r="AP112" s="163"/>
      <c r="AS112" s="148"/>
      <c r="AT112" s="146"/>
      <c r="BE112" s="148"/>
      <c r="BF112" s="146"/>
      <c r="BL112" s="148"/>
      <c r="BM112" s="146"/>
      <c r="BP112" s="148"/>
      <c r="BQ112" s="146"/>
      <c r="BV112" s="148"/>
      <c r="BW112" s="146"/>
      <c r="CC112" s="146"/>
      <c r="CH112" s="148"/>
      <c r="CI112" s="146"/>
    </row>
    <row r="113">
      <c r="C113" s="146"/>
      <c r="I113" s="163"/>
      <c r="J113" s="163"/>
      <c r="K113" s="163"/>
      <c r="Q113" s="148"/>
      <c r="AF113" s="148"/>
      <c r="AG113" s="146"/>
      <c r="AK113" s="148"/>
      <c r="AL113" s="146"/>
      <c r="AO113" s="163"/>
      <c r="AP113" s="163"/>
      <c r="AS113" s="148"/>
      <c r="AT113" s="146"/>
      <c r="BE113" s="148"/>
      <c r="BF113" s="146"/>
      <c r="BL113" s="148"/>
      <c r="BM113" s="146"/>
      <c r="BP113" s="148"/>
      <c r="BQ113" s="146"/>
      <c r="BV113" s="148"/>
      <c r="BW113" s="146"/>
      <c r="CC113" s="146"/>
      <c r="CH113" s="148"/>
      <c r="CI113" s="146"/>
    </row>
    <row r="114">
      <c r="C114" s="146"/>
      <c r="I114" s="163"/>
      <c r="J114" s="163"/>
      <c r="K114" s="163"/>
      <c r="Q114" s="148"/>
      <c r="AF114" s="148"/>
      <c r="AG114" s="146"/>
      <c r="AK114" s="148"/>
      <c r="AL114" s="146"/>
      <c r="AO114" s="163"/>
      <c r="AP114" s="163"/>
      <c r="AS114" s="148"/>
      <c r="AT114" s="146"/>
      <c r="BE114" s="148"/>
      <c r="BF114" s="146"/>
      <c r="BL114" s="148"/>
      <c r="BM114" s="146"/>
      <c r="BP114" s="148"/>
      <c r="BQ114" s="146"/>
      <c r="BV114" s="148"/>
      <c r="BW114" s="146"/>
      <c r="CC114" s="146"/>
      <c r="CH114" s="148"/>
      <c r="CI114" s="146"/>
    </row>
    <row r="115">
      <c r="C115" s="146"/>
      <c r="I115" s="163"/>
      <c r="J115" s="163"/>
      <c r="K115" s="163"/>
      <c r="Q115" s="148"/>
      <c r="AF115" s="148"/>
      <c r="AG115" s="146"/>
      <c r="AK115" s="148"/>
      <c r="AL115" s="146"/>
      <c r="AO115" s="163"/>
      <c r="AP115" s="163"/>
      <c r="AS115" s="148"/>
      <c r="AT115" s="146"/>
      <c r="BE115" s="148"/>
      <c r="BF115" s="146"/>
      <c r="BL115" s="148"/>
      <c r="BM115" s="146"/>
      <c r="BP115" s="148"/>
      <c r="BQ115" s="146"/>
      <c r="BV115" s="148"/>
      <c r="BW115" s="146"/>
      <c r="CC115" s="146"/>
      <c r="CH115" s="148"/>
      <c r="CI115" s="146"/>
    </row>
    <row r="116">
      <c r="C116" s="146"/>
      <c r="I116" s="163"/>
      <c r="J116" s="163"/>
      <c r="K116" s="163"/>
      <c r="Q116" s="148"/>
      <c r="AF116" s="148"/>
      <c r="AG116" s="146"/>
      <c r="AK116" s="148"/>
      <c r="AL116" s="146"/>
      <c r="AO116" s="163"/>
      <c r="AP116" s="163"/>
      <c r="AS116" s="148"/>
      <c r="AT116" s="146"/>
      <c r="BE116" s="148"/>
      <c r="BF116" s="146"/>
      <c r="BL116" s="148"/>
      <c r="BM116" s="146"/>
      <c r="BP116" s="148"/>
      <c r="BQ116" s="146"/>
      <c r="BV116" s="148"/>
      <c r="BW116" s="146"/>
      <c r="CC116" s="146"/>
      <c r="CH116" s="148"/>
      <c r="CI116" s="146"/>
    </row>
    <row r="117">
      <c r="C117" s="146"/>
      <c r="I117" s="163"/>
      <c r="J117" s="163"/>
      <c r="K117" s="163"/>
      <c r="Q117" s="148"/>
      <c r="AF117" s="148"/>
      <c r="AG117" s="146"/>
      <c r="AK117" s="148"/>
      <c r="AL117" s="146"/>
      <c r="AO117" s="163"/>
      <c r="AP117" s="163"/>
      <c r="AS117" s="148"/>
      <c r="AT117" s="146"/>
      <c r="BE117" s="148"/>
      <c r="BF117" s="146"/>
      <c r="BL117" s="148"/>
      <c r="BM117" s="146"/>
      <c r="BP117" s="148"/>
      <c r="BQ117" s="146"/>
      <c r="BV117" s="148"/>
      <c r="BW117" s="146"/>
      <c r="CC117" s="146"/>
      <c r="CH117" s="148"/>
      <c r="CI117" s="146"/>
    </row>
    <row r="118">
      <c r="C118" s="146"/>
      <c r="I118" s="163"/>
      <c r="J118" s="163"/>
      <c r="K118" s="163"/>
      <c r="Q118" s="148"/>
      <c r="AF118" s="148"/>
      <c r="AG118" s="146"/>
      <c r="AK118" s="148"/>
      <c r="AL118" s="146"/>
      <c r="AO118" s="163"/>
      <c r="AP118" s="163"/>
      <c r="AS118" s="148"/>
      <c r="AT118" s="146"/>
      <c r="BE118" s="148"/>
      <c r="BF118" s="146"/>
      <c r="BL118" s="148"/>
      <c r="BM118" s="146"/>
      <c r="BP118" s="148"/>
      <c r="BQ118" s="146"/>
      <c r="BV118" s="148"/>
      <c r="BW118" s="146"/>
      <c r="CC118" s="146"/>
      <c r="CH118" s="148"/>
      <c r="CI118" s="146"/>
    </row>
    <row r="119">
      <c r="C119" s="146"/>
      <c r="I119" s="163"/>
      <c r="J119" s="163"/>
      <c r="K119" s="163"/>
      <c r="Q119" s="148"/>
      <c r="AF119" s="148"/>
      <c r="AG119" s="146"/>
      <c r="AK119" s="148"/>
      <c r="AL119" s="146"/>
      <c r="AO119" s="163"/>
      <c r="AP119" s="163"/>
      <c r="AS119" s="148"/>
      <c r="AT119" s="146"/>
      <c r="BE119" s="148"/>
      <c r="BF119" s="146"/>
      <c r="BL119" s="148"/>
      <c r="BM119" s="146"/>
      <c r="BP119" s="148"/>
      <c r="BQ119" s="146"/>
      <c r="BV119" s="148"/>
      <c r="BW119" s="146"/>
      <c r="CC119" s="146"/>
      <c r="CH119" s="148"/>
      <c r="CI119" s="146"/>
    </row>
    <row r="120">
      <c r="C120" s="146"/>
      <c r="I120" s="163"/>
      <c r="J120" s="163"/>
      <c r="K120" s="163"/>
      <c r="Q120" s="148"/>
      <c r="AF120" s="148"/>
      <c r="AG120" s="146"/>
      <c r="AK120" s="148"/>
      <c r="AL120" s="146"/>
      <c r="AO120" s="163"/>
      <c r="AP120" s="163"/>
      <c r="AS120" s="148"/>
      <c r="AT120" s="146"/>
      <c r="BE120" s="148"/>
      <c r="BF120" s="146"/>
      <c r="BL120" s="148"/>
      <c r="BM120" s="146"/>
      <c r="BP120" s="148"/>
      <c r="BQ120" s="146"/>
      <c r="BV120" s="148"/>
      <c r="BW120" s="146"/>
      <c r="CC120" s="146"/>
      <c r="CH120" s="148"/>
      <c r="CI120" s="146"/>
    </row>
    <row r="121">
      <c r="C121" s="146"/>
      <c r="I121" s="163"/>
      <c r="J121" s="163"/>
      <c r="K121" s="163"/>
      <c r="Q121" s="148"/>
      <c r="AF121" s="148"/>
      <c r="AG121" s="146"/>
      <c r="AK121" s="148"/>
      <c r="AL121" s="146"/>
      <c r="AO121" s="163"/>
      <c r="AP121" s="163"/>
      <c r="AS121" s="148"/>
      <c r="AT121" s="146"/>
      <c r="BE121" s="148"/>
      <c r="BF121" s="146"/>
      <c r="BL121" s="148"/>
      <c r="BM121" s="146"/>
      <c r="BP121" s="148"/>
      <c r="BQ121" s="146"/>
      <c r="BV121" s="148"/>
      <c r="BW121" s="146"/>
      <c r="CC121" s="146"/>
      <c r="CH121" s="148"/>
      <c r="CI121" s="146"/>
    </row>
    <row r="122">
      <c r="C122" s="146"/>
      <c r="I122" s="163"/>
      <c r="J122" s="163"/>
      <c r="K122" s="163"/>
      <c r="Q122" s="148"/>
      <c r="AF122" s="148"/>
      <c r="AG122" s="146"/>
      <c r="AK122" s="148"/>
      <c r="AL122" s="146"/>
      <c r="AO122" s="163"/>
      <c r="AP122" s="163"/>
      <c r="AS122" s="148"/>
      <c r="AT122" s="146"/>
      <c r="BE122" s="148"/>
      <c r="BF122" s="146"/>
      <c r="BL122" s="148"/>
      <c r="BM122" s="146"/>
      <c r="BP122" s="148"/>
      <c r="BQ122" s="146"/>
      <c r="BV122" s="148"/>
      <c r="BW122" s="146"/>
      <c r="CC122" s="146"/>
      <c r="CH122" s="148"/>
      <c r="CI122" s="146"/>
    </row>
    <row r="123">
      <c r="C123" s="146"/>
      <c r="I123" s="163"/>
      <c r="J123" s="163"/>
      <c r="K123" s="163"/>
      <c r="Q123" s="148"/>
      <c r="AF123" s="148"/>
      <c r="AG123" s="146"/>
      <c r="AK123" s="148"/>
      <c r="AL123" s="146"/>
      <c r="AO123" s="163"/>
      <c r="AP123" s="163"/>
      <c r="AS123" s="148"/>
      <c r="AT123" s="146"/>
      <c r="BE123" s="148"/>
      <c r="BF123" s="146"/>
      <c r="BL123" s="148"/>
      <c r="BM123" s="146"/>
      <c r="BP123" s="148"/>
      <c r="BQ123" s="146"/>
      <c r="BV123" s="148"/>
      <c r="BW123" s="146"/>
      <c r="CC123" s="146"/>
      <c r="CH123" s="148"/>
      <c r="CI123" s="146"/>
    </row>
    <row r="124">
      <c r="C124" s="146"/>
      <c r="I124" s="163"/>
      <c r="J124" s="163"/>
      <c r="K124" s="163"/>
      <c r="Q124" s="148"/>
      <c r="AF124" s="148"/>
      <c r="AG124" s="146"/>
      <c r="AK124" s="148"/>
      <c r="AL124" s="146"/>
      <c r="AO124" s="163"/>
      <c r="AP124" s="163"/>
      <c r="AS124" s="148"/>
      <c r="AT124" s="146"/>
      <c r="BE124" s="148"/>
      <c r="BF124" s="146"/>
      <c r="BL124" s="148"/>
      <c r="BM124" s="146"/>
      <c r="BP124" s="148"/>
      <c r="BQ124" s="146"/>
      <c r="BV124" s="148"/>
      <c r="BW124" s="146"/>
      <c r="CC124" s="146"/>
      <c r="CH124" s="148"/>
      <c r="CI124" s="146"/>
    </row>
    <row r="125">
      <c r="C125" s="146"/>
      <c r="I125" s="163"/>
      <c r="J125" s="163"/>
      <c r="K125" s="163"/>
      <c r="Q125" s="148"/>
      <c r="AF125" s="148"/>
      <c r="AG125" s="146"/>
      <c r="AK125" s="148"/>
      <c r="AL125" s="146"/>
      <c r="AO125" s="163"/>
      <c r="AP125" s="163"/>
      <c r="AS125" s="148"/>
      <c r="AT125" s="146"/>
      <c r="BE125" s="148"/>
      <c r="BF125" s="146"/>
      <c r="BL125" s="148"/>
      <c r="BM125" s="146"/>
      <c r="BP125" s="148"/>
      <c r="BQ125" s="146"/>
      <c r="BV125" s="148"/>
      <c r="BW125" s="146"/>
      <c r="CC125" s="146"/>
      <c r="CH125" s="148"/>
      <c r="CI125" s="146"/>
    </row>
    <row r="126">
      <c r="C126" s="146"/>
      <c r="I126" s="163"/>
      <c r="J126" s="163"/>
      <c r="K126" s="163"/>
      <c r="Q126" s="148"/>
      <c r="AF126" s="148"/>
      <c r="AG126" s="146"/>
      <c r="AK126" s="148"/>
      <c r="AL126" s="146"/>
      <c r="AO126" s="163"/>
      <c r="AP126" s="163"/>
      <c r="AS126" s="148"/>
      <c r="AT126" s="146"/>
      <c r="BE126" s="148"/>
      <c r="BF126" s="146"/>
      <c r="BL126" s="148"/>
      <c r="BM126" s="146"/>
      <c r="BP126" s="148"/>
      <c r="BQ126" s="146"/>
      <c r="BV126" s="148"/>
      <c r="BW126" s="146"/>
      <c r="CC126" s="146"/>
      <c r="CH126" s="148"/>
      <c r="CI126" s="146"/>
    </row>
    <row r="127">
      <c r="C127" s="146"/>
      <c r="I127" s="163"/>
      <c r="J127" s="163"/>
      <c r="K127" s="163"/>
      <c r="Q127" s="148"/>
      <c r="AF127" s="148"/>
      <c r="AG127" s="146"/>
      <c r="AK127" s="148"/>
      <c r="AL127" s="146"/>
      <c r="AO127" s="163"/>
      <c r="AP127" s="163"/>
      <c r="AS127" s="148"/>
      <c r="AT127" s="146"/>
      <c r="BE127" s="148"/>
      <c r="BF127" s="146"/>
      <c r="BL127" s="148"/>
      <c r="BM127" s="146"/>
      <c r="BP127" s="148"/>
      <c r="BQ127" s="146"/>
      <c r="BV127" s="148"/>
      <c r="BW127" s="146"/>
      <c r="CC127" s="146"/>
      <c r="CH127" s="148"/>
      <c r="CI127" s="146"/>
    </row>
    <row r="128">
      <c r="C128" s="146"/>
      <c r="I128" s="163"/>
      <c r="J128" s="163"/>
      <c r="K128" s="163"/>
      <c r="Q128" s="148"/>
      <c r="AF128" s="148"/>
      <c r="AG128" s="146"/>
      <c r="AK128" s="148"/>
      <c r="AL128" s="146"/>
      <c r="AO128" s="163"/>
      <c r="AP128" s="163"/>
      <c r="AS128" s="148"/>
      <c r="AT128" s="146"/>
      <c r="BE128" s="148"/>
      <c r="BF128" s="146"/>
      <c r="BL128" s="148"/>
      <c r="BM128" s="146"/>
      <c r="BP128" s="148"/>
      <c r="BQ128" s="146"/>
      <c r="BV128" s="148"/>
      <c r="BW128" s="146"/>
      <c r="CC128" s="146"/>
      <c r="CH128" s="148"/>
      <c r="CI128" s="146"/>
    </row>
    <row r="129">
      <c r="C129" s="146"/>
      <c r="I129" s="163"/>
      <c r="J129" s="163"/>
      <c r="K129" s="163"/>
      <c r="Q129" s="148"/>
      <c r="AF129" s="148"/>
      <c r="AG129" s="146"/>
      <c r="AK129" s="148"/>
      <c r="AL129" s="146"/>
      <c r="AO129" s="163"/>
      <c r="AP129" s="163"/>
      <c r="AS129" s="148"/>
      <c r="AT129" s="146"/>
      <c r="BE129" s="148"/>
      <c r="BF129" s="146"/>
      <c r="BL129" s="148"/>
      <c r="BM129" s="146"/>
      <c r="BP129" s="148"/>
      <c r="BQ129" s="146"/>
      <c r="BV129" s="148"/>
      <c r="BW129" s="146"/>
      <c r="CC129" s="146"/>
      <c r="CH129" s="148"/>
      <c r="CI129" s="146"/>
    </row>
    <row r="130">
      <c r="C130" s="146"/>
      <c r="I130" s="163"/>
      <c r="J130" s="163"/>
      <c r="K130" s="163"/>
      <c r="Q130" s="148"/>
      <c r="AF130" s="148"/>
      <c r="AG130" s="146"/>
      <c r="AK130" s="148"/>
      <c r="AL130" s="146"/>
      <c r="AO130" s="163"/>
      <c r="AP130" s="163"/>
      <c r="AS130" s="148"/>
      <c r="AT130" s="146"/>
      <c r="BE130" s="148"/>
      <c r="BF130" s="146"/>
      <c r="BL130" s="148"/>
      <c r="BM130" s="146"/>
      <c r="BP130" s="148"/>
      <c r="BQ130" s="146"/>
      <c r="BV130" s="148"/>
      <c r="BW130" s="146"/>
      <c r="CC130" s="146"/>
      <c r="CH130" s="148"/>
      <c r="CI130" s="146"/>
    </row>
    <row r="131">
      <c r="C131" s="146"/>
      <c r="I131" s="163"/>
      <c r="J131" s="163"/>
      <c r="K131" s="163"/>
      <c r="Q131" s="148"/>
      <c r="AF131" s="148"/>
      <c r="AG131" s="146"/>
      <c r="AK131" s="148"/>
      <c r="AL131" s="146"/>
      <c r="AO131" s="163"/>
      <c r="AP131" s="163"/>
      <c r="AS131" s="148"/>
      <c r="AT131" s="146"/>
      <c r="BE131" s="148"/>
      <c r="BF131" s="146"/>
      <c r="BL131" s="148"/>
      <c r="BM131" s="146"/>
      <c r="BP131" s="148"/>
      <c r="BQ131" s="146"/>
      <c r="BV131" s="148"/>
      <c r="BW131" s="146"/>
      <c r="CC131" s="146"/>
      <c r="CH131" s="148"/>
      <c r="CI131" s="146"/>
    </row>
    <row r="132">
      <c r="C132" s="146"/>
      <c r="I132" s="163"/>
      <c r="J132" s="163"/>
      <c r="K132" s="163"/>
      <c r="Q132" s="148"/>
      <c r="AF132" s="148"/>
      <c r="AG132" s="146"/>
      <c r="AK132" s="148"/>
      <c r="AL132" s="146"/>
      <c r="AO132" s="163"/>
      <c r="AP132" s="163"/>
      <c r="AS132" s="148"/>
      <c r="AT132" s="146"/>
      <c r="BE132" s="148"/>
      <c r="BF132" s="146"/>
      <c r="BL132" s="148"/>
      <c r="BM132" s="146"/>
      <c r="BP132" s="148"/>
      <c r="BQ132" s="146"/>
      <c r="BV132" s="148"/>
      <c r="BW132" s="146"/>
      <c r="CC132" s="146"/>
      <c r="CH132" s="148"/>
      <c r="CI132" s="146"/>
    </row>
    <row r="133">
      <c r="C133" s="146"/>
      <c r="I133" s="163"/>
      <c r="J133" s="163"/>
      <c r="K133" s="163"/>
      <c r="Q133" s="148"/>
      <c r="AF133" s="148"/>
      <c r="AG133" s="146"/>
      <c r="AK133" s="148"/>
      <c r="AL133" s="146"/>
      <c r="AO133" s="163"/>
      <c r="AP133" s="163"/>
      <c r="AS133" s="148"/>
      <c r="AT133" s="146"/>
      <c r="BE133" s="148"/>
      <c r="BF133" s="146"/>
      <c r="BL133" s="148"/>
      <c r="BM133" s="146"/>
      <c r="BP133" s="148"/>
      <c r="BQ133" s="146"/>
      <c r="BV133" s="148"/>
      <c r="BW133" s="146"/>
      <c r="CC133" s="146"/>
      <c r="CH133" s="148"/>
      <c r="CI133" s="146"/>
    </row>
    <row r="134">
      <c r="C134" s="146"/>
      <c r="I134" s="163"/>
      <c r="J134" s="163"/>
      <c r="K134" s="163"/>
      <c r="Q134" s="148"/>
      <c r="AF134" s="148"/>
      <c r="AG134" s="146"/>
      <c r="AK134" s="148"/>
      <c r="AL134" s="146"/>
      <c r="AO134" s="163"/>
      <c r="AP134" s="163"/>
      <c r="AS134" s="148"/>
      <c r="AT134" s="146"/>
      <c r="BE134" s="148"/>
      <c r="BF134" s="146"/>
      <c r="BL134" s="148"/>
      <c r="BM134" s="146"/>
      <c r="BP134" s="148"/>
      <c r="BQ134" s="146"/>
      <c r="BV134" s="148"/>
      <c r="BW134" s="146"/>
      <c r="CC134" s="146"/>
      <c r="CH134" s="148"/>
      <c r="CI134" s="146"/>
    </row>
    <row r="135">
      <c r="C135" s="146"/>
      <c r="I135" s="163"/>
      <c r="J135" s="163"/>
      <c r="K135" s="163"/>
      <c r="Q135" s="148"/>
      <c r="AF135" s="148"/>
      <c r="AG135" s="146"/>
      <c r="AK135" s="148"/>
      <c r="AL135" s="146"/>
      <c r="AO135" s="163"/>
      <c r="AP135" s="163"/>
      <c r="AS135" s="148"/>
      <c r="AT135" s="146"/>
      <c r="BE135" s="148"/>
      <c r="BF135" s="146"/>
      <c r="BL135" s="148"/>
      <c r="BM135" s="146"/>
      <c r="BP135" s="148"/>
      <c r="BQ135" s="146"/>
      <c r="BV135" s="148"/>
      <c r="BW135" s="146"/>
      <c r="CC135" s="146"/>
      <c r="CH135" s="148"/>
      <c r="CI135" s="146"/>
    </row>
    <row r="136">
      <c r="C136" s="146"/>
      <c r="I136" s="163"/>
      <c r="J136" s="163"/>
      <c r="K136" s="163"/>
      <c r="Q136" s="148"/>
      <c r="AF136" s="148"/>
      <c r="AG136" s="146"/>
      <c r="AK136" s="148"/>
      <c r="AL136" s="146"/>
      <c r="AO136" s="163"/>
      <c r="AP136" s="163"/>
      <c r="AS136" s="148"/>
      <c r="AT136" s="146"/>
      <c r="BE136" s="148"/>
      <c r="BF136" s="146"/>
      <c r="BL136" s="148"/>
      <c r="BM136" s="146"/>
      <c r="BP136" s="148"/>
      <c r="BQ136" s="146"/>
      <c r="BV136" s="148"/>
      <c r="BW136" s="146"/>
      <c r="CC136" s="146"/>
      <c r="CH136" s="148"/>
      <c r="CI136" s="146"/>
    </row>
    <row r="137">
      <c r="C137" s="146"/>
      <c r="I137" s="163"/>
      <c r="J137" s="163"/>
      <c r="K137" s="163"/>
      <c r="Q137" s="148"/>
      <c r="AF137" s="148"/>
      <c r="AG137" s="146"/>
      <c r="AK137" s="148"/>
      <c r="AL137" s="146"/>
      <c r="AO137" s="163"/>
      <c r="AP137" s="163"/>
      <c r="AS137" s="148"/>
      <c r="AT137" s="146"/>
      <c r="BE137" s="148"/>
      <c r="BF137" s="146"/>
      <c r="BL137" s="148"/>
      <c r="BM137" s="146"/>
      <c r="BP137" s="148"/>
      <c r="BQ137" s="146"/>
      <c r="BV137" s="148"/>
      <c r="BW137" s="146"/>
      <c r="CC137" s="146"/>
      <c r="CH137" s="148"/>
      <c r="CI137" s="146"/>
    </row>
    <row r="138">
      <c r="C138" s="146"/>
      <c r="I138" s="163"/>
      <c r="J138" s="163"/>
      <c r="K138" s="163"/>
      <c r="Q138" s="148"/>
      <c r="AF138" s="148"/>
      <c r="AG138" s="146"/>
      <c r="AK138" s="148"/>
      <c r="AL138" s="146"/>
      <c r="AO138" s="163"/>
      <c r="AP138" s="163"/>
      <c r="AS138" s="148"/>
      <c r="AT138" s="146"/>
      <c r="BE138" s="148"/>
      <c r="BF138" s="146"/>
      <c r="BL138" s="148"/>
      <c r="BM138" s="146"/>
      <c r="BP138" s="148"/>
      <c r="BQ138" s="146"/>
      <c r="BV138" s="148"/>
      <c r="BW138" s="146"/>
      <c r="CC138" s="146"/>
      <c r="CH138" s="148"/>
      <c r="CI138" s="146"/>
    </row>
    <row r="139">
      <c r="C139" s="146"/>
      <c r="I139" s="163"/>
      <c r="J139" s="163"/>
      <c r="K139" s="163"/>
      <c r="Q139" s="148"/>
      <c r="AF139" s="148"/>
      <c r="AG139" s="146"/>
      <c r="AK139" s="148"/>
      <c r="AL139" s="146"/>
      <c r="AO139" s="163"/>
      <c r="AP139" s="163"/>
      <c r="AS139" s="148"/>
      <c r="AT139" s="146"/>
      <c r="BE139" s="148"/>
      <c r="BF139" s="146"/>
      <c r="BL139" s="148"/>
      <c r="BM139" s="146"/>
      <c r="BP139" s="148"/>
      <c r="BQ139" s="146"/>
      <c r="BV139" s="148"/>
      <c r="BW139" s="146"/>
      <c r="CC139" s="146"/>
      <c r="CH139" s="148"/>
      <c r="CI139" s="146"/>
    </row>
    <row r="140">
      <c r="C140" s="146"/>
      <c r="I140" s="163"/>
      <c r="J140" s="163"/>
      <c r="K140" s="163"/>
      <c r="Q140" s="148"/>
      <c r="AF140" s="148"/>
      <c r="AG140" s="146"/>
      <c r="AK140" s="148"/>
      <c r="AL140" s="146"/>
      <c r="AO140" s="163"/>
      <c r="AP140" s="163"/>
      <c r="AS140" s="148"/>
      <c r="AT140" s="146"/>
      <c r="BE140" s="148"/>
      <c r="BF140" s="146"/>
      <c r="BL140" s="148"/>
      <c r="BM140" s="146"/>
      <c r="BP140" s="148"/>
      <c r="BQ140" s="146"/>
      <c r="BV140" s="148"/>
      <c r="BW140" s="146"/>
      <c r="CC140" s="146"/>
      <c r="CH140" s="148"/>
      <c r="CI140" s="146"/>
    </row>
    <row r="141">
      <c r="C141" s="146"/>
      <c r="I141" s="163"/>
      <c r="J141" s="163"/>
      <c r="K141" s="163"/>
      <c r="Q141" s="148"/>
      <c r="AF141" s="148"/>
      <c r="AG141" s="146"/>
      <c r="AK141" s="148"/>
      <c r="AL141" s="146"/>
      <c r="AO141" s="163"/>
      <c r="AP141" s="163"/>
      <c r="AS141" s="148"/>
      <c r="AT141" s="146"/>
      <c r="BE141" s="148"/>
      <c r="BF141" s="146"/>
      <c r="BL141" s="148"/>
      <c r="BM141" s="146"/>
      <c r="BP141" s="148"/>
      <c r="BQ141" s="146"/>
      <c r="BV141" s="148"/>
      <c r="BW141" s="146"/>
      <c r="CC141" s="146"/>
      <c r="CH141" s="148"/>
      <c r="CI141" s="146"/>
    </row>
    <row r="142">
      <c r="C142" s="146"/>
      <c r="I142" s="163"/>
      <c r="J142" s="163"/>
      <c r="K142" s="163"/>
      <c r="Q142" s="148"/>
      <c r="AF142" s="148"/>
      <c r="AG142" s="146"/>
      <c r="AK142" s="148"/>
      <c r="AL142" s="146"/>
      <c r="AO142" s="163"/>
      <c r="AP142" s="163"/>
      <c r="AS142" s="148"/>
      <c r="AT142" s="146"/>
      <c r="BE142" s="148"/>
      <c r="BF142" s="146"/>
      <c r="BL142" s="148"/>
      <c r="BM142" s="146"/>
      <c r="BP142" s="148"/>
      <c r="BQ142" s="146"/>
      <c r="BV142" s="148"/>
      <c r="BW142" s="146"/>
      <c r="CC142" s="146"/>
      <c r="CH142" s="148"/>
      <c r="CI142" s="146"/>
    </row>
    <row r="143">
      <c r="C143" s="146"/>
      <c r="I143" s="163"/>
      <c r="J143" s="163"/>
      <c r="K143" s="163"/>
      <c r="Q143" s="148"/>
      <c r="AF143" s="148"/>
      <c r="AG143" s="146"/>
      <c r="AK143" s="148"/>
      <c r="AL143" s="146"/>
      <c r="AO143" s="163"/>
      <c r="AP143" s="163"/>
      <c r="AS143" s="148"/>
      <c r="AT143" s="146"/>
      <c r="BE143" s="148"/>
      <c r="BF143" s="146"/>
      <c r="BL143" s="148"/>
      <c r="BM143" s="146"/>
      <c r="BP143" s="148"/>
      <c r="BQ143" s="146"/>
      <c r="BV143" s="148"/>
      <c r="BW143" s="146"/>
      <c r="CC143" s="146"/>
      <c r="CH143" s="148"/>
      <c r="CI143" s="146"/>
    </row>
    <row r="144">
      <c r="C144" s="146"/>
      <c r="I144" s="163"/>
      <c r="J144" s="163"/>
      <c r="K144" s="163"/>
      <c r="Q144" s="148"/>
      <c r="AF144" s="148"/>
      <c r="AG144" s="146"/>
      <c r="AK144" s="148"/>
      <c r="AL144" s="146"/>
      <c r="AO144" s="163"/>
      <c r="AP144" s="163"/>
      <c r="AS144" s="148"/>
      <c r="AT144" s="146"/>
      <c r="BE144" s="148"/>
      <c r="BF144" s="146"/>
      <c r="BL144" s="148"/>
      <c r="BM144" s="146"/>
      <c r="BP144" s="148"/>
      <c r="BQ144" s="146"/>
      <c r="BV144" s="148"/>
      <c r="BW144" s="146"/>
      <c r="CC144" s="146"/>
      <c r="CH144" s="148"/>
      <c r="CI144" s="146"/>
    </row>
    <row r="145">
      <c r="C145" s="146"/>
      <c r="I145" s="163"/>
      <c r="J145" s="163"/>
      <c r="K145" s="163"/>
      <c r="Q145" s="148"/>
      <c r="AF145" s="148"/>
      <c r="AG145" s="146"/>
      <c r="AK145" s="148"/>
      <c r="AL145" s="146"/>
      <c r="AO145" s="163"/>
      <c r="AP145" s="163"/>
      <c r="AS145" s="148"/>
      <c r="AT145" s="146"/>
      <c r="BE145" s="148"/>
      <c r="BF145" s="146"/>
      <c r="BL145" s="148"/>
      <c r="BM145" s="146"/>
      <c r="BP145" s="148"/>
      <c r="BQ145" s="146"/>
      <c r="BV145" s="148"/>
      <c r="BW145" s="146"/>
      <c r="CC145" s="146"/>
      <c r="CH145" s="148"/>
      <c r="CI145" s="146"/>
    </row>
    <row r="146">
      <c r="C146" s="146"/>
      <c r="I146" s="163"/>
      <c r="J146" s="163"/>
      <c r="K146" s="163"/>
      <c r="Q146" s="148"/>
      <c r="AF146" s="148"/>
      <c r="AG146" s="146"/>
      <c r="AK146" s="148"/>
      <c r="AL146" s="146"/>
      <c r="AO146" s="163"/>
      <c r="AP146" s="163"/>
      <c r="AS146" s="148"/>
      <c r="AT146" s="146"/>
      <c r="BE146" s="148"/>
      <c r="BF146" s="146"/>
      <c r="BL146" s="148"/>
      <c r="BM146" s="146"/>
      <c r="BP146" s="148"/>
      <c r="BQ146" s="146"/>
      <c r="BV146" s="148"/>
      <c r="BW146" s="146"/>
      <c r="CC146" s="146"/>
      <c r="CH146" s="148"/>
      <c r="CI146" s="146"/>
    </row>
    <row r="147">
      <c r="C147" s="146"/>
      <c r="I147" s="163"/>
      <c r="J147" s="163"/>
      <c r="K147" s="163"/>
      <c r="Q147" s="148"/>
      <c r="AF147" s="148"/>
      <c r="AG147" s="146"/>
      <c r="AK147" s="148"/>
      <c r="AL147" s="146"/>
      <c r="AO147" s="163"/>
      <c r="AP147" s="163"/>
      <c r="AS147" s="148"/>
      <c r="AT147" s="146"/>
      <c r="BE147" s="148"/>
      <c r="BF147" s="146"/>
      <c r="BL147" s="148"/>
      <c r="BM147" s="146"/>
      <c r="BP147" s="148"/>
      <c r="BQ147" s="146"/>
      <c r="BV147" s="148"/>
      <c r="BW147" s="146"/>
      <c r="CC147" s="146"/>
      <c r="CH147" s="148"/>
      <c r="CI147" s="146"/>
    </row>
    <row r="148">
      <c r="C148" s="146"/>
      <c r="I148" s="163"/>
      <c r="J148" s="163"/>
      <c r="K148" s="163"/>
      <c r="Q148" s="148"/>
      <c r="AF148" s="148"/>
      <c r="AG148" s="146"/>
      <c r="AK148" s="148"/>
      <c r="AL148" s="146"/>
      <c r="AO148" s="163"/>
      <c r="AP148" s="163"/>
      <c r="AS148" s="148"/>
      <c r="AT148" s="146"/>
      <c r="BE148" s="148"/>
      <c r="BF148" s="146"/>
      <c r="BL148" s="148"/>
      <c r="BM148" s="146"/>
      <c r="BP148" s="148"/>
      <c r="BQ148" s="146"/>
      <c r="BV148" s="148"/>
      <c r="BW148" s="146"/>
      <c r="CC148" s="146"/>
      <c r="CH148" s="148"/>
      <c r="CI148" s="146"/>
    </row>
    <row r="149">
      <c r="C149" s="146"/>
      <c r="I149" s="163"/>
      <c r="J149" s="163"/>
      <c r="K149" s="163"/>
      <c r="Q149" s="148"/>
      <c r="AF149" s="148"/>
      <c r="AG149" s="146"/>
      <c r="AK149" s="148"/>
      <c r="AL149" s="146"/>
      <c r="AO149" s="163"/>
      <c r="AP149" s="163"/>
      <c r="AS149" s="148"/>
      <c r="AT149" s="146"/>
      <c r="BE149" s="148"/>
      <c r="BF149" s="146"/>
      <c r="BL149" s="148"/>
      <c r="BM149" s="146"/>
      <c r="BP149" s="148"/>
      <c r="BQ149" s="146"/>
      <c r="BV149" s="148"/>
      <c r="BW149" s="146"/>
      <c r="CC149" s="146"/>
      <c r="CH149" s="148"/>
      <c r="CI149" s="146"/>
    </row>
    <row r="150">
      <c r="C150" s="146"/>
      <c r="I150" s="163"/>
      <c r="J150" s="163"/>
      <c r="K150" s="163"/>
      <c r="Q150" s="148"/>
      <c r="AF150" s="148"/>
      <c r="AG150" s="146"/>
      <c r="AK150" s="148"/>
      <c r="AL150" s="146"/>
      <c r="AO150" s="163"/>
      <c r="AP150" s="163"/>
      <c r="AS150" s="148"/>
      <c r="AT150" s="146"/>
      <c r="BE150" s="148"/>
      <c r="BF150" s="146"/>
      <c r="BL150" s="148"/>
      <c r="BM150" s="146"/>
      <c r="BP150" s="148"/>
      <c r="BQ150" s="146"/>
      <c r="BV150" s="148"/>
      <c r="BW150" s="146"/>
      <c r="CC150" s="146"/>
      <c r="CH150" s="148"/>
      <c r="CI150" s="146"/>
    </row>
    <row r="151">
      <c r="C151" s="146"/>
      <c r="I151" s="163"/>
      <c r="J151" s="163"/>
      <c r="K151" s="163"/>
      <c r="Q151" s="148"/>
      <c r="AF151" s="148"/>
      <c r="AG151" s="146"/>
      <c r="AK151" s="148"/>
      <c r="AL151" s="146"/>
      <c r="AO151" s="163"/>
      <c r="AP151" s="163"/>
      <c r="AS151" s="148"/>
      <c r="AT151" s="146"/>
      <c r="BE151" s="148"/>
      <c r="BF151" s="146"/>
      <c r="BL151" s="148"/>
      <c r="BM151" s="146"/>
      <c r="BP151" s="148"/>
      <c r="BQ151" s="146"/>
      <c r="BV151" s="148"/>
      <c r="BW151" s="146"/>
      <c r="CC151" s="146"/>
      <c r="CH151" s="148"/>
      <c r="CI151" s="146"/>
    </row>
    <row r="152">
      <c r="C152" s="146"/>
      <c r="I152" s="163"/>
      <c r="J152" s="163"/>
      <c r="K152" s="163"/>
      <c r="Q152" s="148"/>
      <c r="AF152" s="148"/>
      <c r="AG152" s="146"/>
      <c r="AK152" s="148"/>
      <c r="AL152" s="146"/>
      <c r="AO152" s="163"/>
      <c r="AP152" s="163"/>
      <c r="AS152" s="148"/>
      <c r="AT152" s="146"/>
      <c r="BE152" s="148"/>
      <c r="BF152" s="146"/>
      <c r="BL152" s="148"/>
      <c r="BM152" s="146"/>
      <c r="BP152" s="148"/>
      <c r="BQ152" s="146"/>
      <c r="BV152" s="148"/>
      <c r="BW152" s="146"/>
      <c r="CC152" s="146"/>
      <c r="CH152" s="148"/>
      <c r="CI152" s="146"/>
    </row>
    <row r="153">
      <c r="C153" s="146"/>
      <c r="I153" s="163"/>
      <c r="J153" s="163"/>
      <c r="K153" s="163"/>
      <c r="Q153" s="148"/>
      <c r="AF153" s="148"/>
      <c r="AG153" s="146"/>
      <c r="AK153" s="148"/>
      <c r="AL153" s="146"/>
      <c r="AO153" s="163"/>
      <c r="AP153" s="163"/>
      <c r="AS153" s="148"/>
      <c r="AT153" s="146"/>
      <c r="BE153" s="148"/>
      <c r="BF153" s="146"/>
      <c r="BL153" s="148"/>
      <c r="BM153" s="146"/>
      <c r="BP153" s="148"/>
      <c r="BQ153" s="146"/>
      <c r="BV153" s="148"/>
      <c r="BW153" s="146"/>
      <c r="CC153" s="146"/>
      <c r="CH153" s="148"/>
      <c r="CI153" s="146"/>
    </row>
    <row r="154">
      <c r="C154" s="146"/>
      <c r="I154" s="163"/>
      <c r="J154" s="163"/>
      <c r="K154" s="163"/>
      <c r="Q154" s="148"/>
      <c r="AF154" s="148"/>
      <c r="AG154" s="146"/>
      <c r="AK154" s="148"/>
      <c r="AL154" s="146"/>
      <c r="AO154" s="163"/>
      <c r="AP154" s="163"/>
      <c r="AS154" s="148"/>
      <c r="AT154" s="146"/>
      <c r="BE154" s="148"/>
      <c r="BF154" s="146"/>
      <c r="BL154" s="148"/>
      <c r="BM154" s="146"/>
      <c r="BP154" s="148"/>
      <c r="BQ154" s="146"/>
      <c r="BV154" s="148"/>
      <c r="BW154" s="146"/>
      <c r="CC154" s="146"/>
      <c r="CH154" s="148"/>
      <c r="CI154" s="146"/>
    </row>
    <row r="155">
      <c r="C155" s="146"/>
      <c r="I155" s="163"/>
      <c r="J155" s="163"/>
      <c r="K155" s="163"/>
      <c r="Q155" s="148"/>
      <c r="AF155" s="148"/>
      <c r="AG155" s="146"/>
      <c r="AK155" s="148"/>
      <c r="AL155" s="146"/>
      <c r="AO155" s="163"/>
      <c r="AP155" s="163"/>
      <c r="AS155" s="148"/>
      <c r="AT155" s="146"/>
      <c r="BE155" s="148"/>
      <c r="BF155" s="146"/>
      <c r="BL155" s="148"/>
      <c r="BM155" s="146"/>
      <c r="BP155" s="148"/>
      <c r="BQ155" s="146"/>
      <c r="BV155" s="148"/>
      <c r="BW155" s="146"/>
      <c r="CC155" s="146"/>
      <c r="CH155" s="148"/>
      <c r="CI155" s="146"/>
    </row>
    <row r="156">
      <c r="C156" s="146"/>
      <c r="I156" s="163"/>
      <c r="J156" s="163"/>
      <c r="K156" s="163"/>
      <c r="Q156" s="148"/>
      <c r="AF156" s="148"/>
      <c r="AG156" s="146"/>
      <c r="AK156" s="148"/>
      <c r="AL156" s="146"/>
      <c r="AO156" s="163"/>
      <c r="AP156" s="163"/>
      <c r="AS156" s="148"/>
      <c r="AT156" s="146"/>
      <c r="BE156" s="148"/>
      <c r="BF156" s="146"/>
      <c r="BL156" s="148"/>
      <c r="BM156" s="146"/>
      <c r="BP156" s="148"/>
      <c r="BQ156" s="146"/>
      <c r="BV156" s="148"/>
      <c r="BW156" s="146"/>
      <c r="CC156" s="146"/>
      <c r="CH156" s="148"/>
      <c r="CI156" s="146"/>
    </row>
    <row r="157">
      <c r="C157" s="146"/>
      <c r="I157" s="163"/>
      <c r="J157" s="163"/>
      <c r="K157" s="163"/>
      <c r="Q157" s="148"/>
      <c r="AF157" s="148"/>
      <c r="AG157" s="146"/>
      <c r="AK157" s="148"/>
      <c r="AL157" s="146"/>
      <c r="AO157" s="163"/>
      <c r="AP157" s="163"/>
      <c r="AS157" s="148"/>
      <c r="AT157" s="146"/>
      <c r="BE157" s="148"/>
      <c r="BF157" s="146"/>
      <c r="BL157" s="148"/>
      <c r="BM157" s="146"/>
      <c r="BP157" s="148"/>
      <c r="BQ157" s="146"/>
      <c r="BV157" s="148"/>
      <c r="BW157" s="146"/>
      <c r="CC157" s="146"/>
      <c r="CH157" s="148"/>
      <c r="CI157" s="146"/>
    </row>
    <row r="158">
      <c r="C158" s="146"/>
      <c r="I158" s="163"/>
      <c r="J158" s="163"/>
      <c r="K158" s="163"/>
      <c r="Q158" s="148"/>
      <c r="AF158" s="148"/>
      <c r="AG158" s="146"/>
      <c r="AK158" s="148"/>
      <c r="AL158" s="146"/>
      <c r="AO158" s="163"/>
      <c r="AP158" s="163"/>
      <c r="AS158" s="148"/>
      <c r="AT158" s="146"/>
      <c r="BE158" s="148"/>
      <c r="BF158" s="146"/>
      <c r="BL158" s="148"/>
      <c r="BM158" s="146"/>
      <c r="BP158" s="148"/>
      <c r="BQ158" s="146"/>
      <c r="BV158" s="148"/>
      <c r="BW158" s="146"/>
      <c r="CC158" s="146"/>
      <c r="CH158" s="148"/>
      <c r="CI158" s="146"/>
    </row>
    <row r="159">
      <c r="C159" s="146"/>
      <c r="I159" s="163"/>
      <c r="J159" s="163"/>
      <c r="K159" s="163"/>
      <c r="Q159" s="148"/>
      <c r="AF159" s="148"/>
      <c r="AG159" s="146"/>
      <c r="AK159" s="148"/>
      <c r="AL159" s="146"/>
      <c r="AO159" s="163"/>
      <c r="AP159" s="163"/>
      <c r="AS159" s="148"/>
      <c r="AT159" s="146"/>
      <c r="BE159" s="148"/>
      <c r="BF159" s="146"/>
      <c r="BL159" s="148"/>
      <c r="BM159" s="146"/>
      <c r="BP159" s="148"/>
      <c r="BQ159" s="146"/>
      <c r="BV159" s="148"/>
      <c r="BW159" s="146"/>
      <c r="CC159" s="146"/>
      <c r="CH159" s="148"/>
      <c r="CI159" s="146"/>
    </row>
    <row r="160">
      <c r="C160" s="146"/>
      <c r="I160" s="163"/>
      <c r="J160" s="163"/>
      <c r="K160" s="163"/>
      <c r="Q160" s="148"/>
      <c r="AF160" s="148"/>
      <c r="AG160" s="146"/>
      <c r="AK160" s="148"/>
      <c r="AL160" s="146"/>
      <c r="AO160" s="163"/>
      <c r="AP160" s="163"/>
      <c r="AS160" s="148"/>
      <c r="AT160" s="146"/>
      <c r="BE160" s="148"/>
      <c r="BF160" s="146"/>
      <c r="BL160" s="148"/>
      <c r="BM160" s="146"/>
      <c r="BP160" s="148"/>
      <c r="BQ160" s="146"/>
      <c r="BV160" s="148"/>
      <c r="BW160" s="146"/>
      <c r="CC160" s="146"/>
      <c r="CH160" s="148"/>
      <c r="CI160" s="146"/>
    </row>
    <row r="161">
      <c r="C161" s="146"/>
      <c r="I161" s="163"/>
      <c r="J161" s="163"/>
      <c r="K161" s="163"/>
      <c r="Q161" s="148"/>
      <c r="AF161" s="148"/>
      <c r="AG161" s="146"/>
      <c r="AK161" s="148"/>
      <c r="AL161" s="146"/>
      <c r="AO161" s="163"/>
      <c r="AP161" s="163"/>
      <c r="AS161" s="148"/>
      <c r="AT161" s="146"/>
      <c r="BE161" s="148"/>
      <c r="BF161" s="146"/>
      <c r="BL161" s="148"/>
      <c r="BM161" s="146"/>
      <c r="BP161" s="148"/>
      <c r="BQ161" s="146"/>
      <c r="BV161" s="148"/>
      <c r="BW161" s="146"/>
      <c r="CC161" s="146"/>
      <c r="CH161" s="148"/>
      <c r="CI161" s="146"/>
    </row>
    <row r="162">
      <c r="C162" s="146"/>
      <c r="I162" s="163"/>
      <c r="J162" s="163"/>
      <c r="K162" s="163"/>
      <c r="Q162" s="148"/>
      <c r="AF162" s="148"/>
      <c r="AG162" s="146"/>
      <c r="AK162" s="148"/>
      <c r="AL162" s="146"/>
      <c r="AO162" s="163"/>
      <c r="AP162" s="163"/>
      <c r="AS162" s="148"/>
      <c r="AT162" s="146"/>
      <c r="BE162" s="148"/>
      <c r="BF162" s="146"/>
      <c r="BL162" s="148"/>
      <c r="BM162" s="146"/>
      <c r="BP162" s="148"/>
      <c r="BQ162" s="146"/>
      <c r="BV162" s="148"/>
      <c r="BW162" s="146"/>
      <c r="CC162" s="146"/>
      <c r="CH162" s="148"/>
      <c r="CI162" s="146"/>
    </row>
    <row r="163">
      <c r="C163" s="146"/>
      <c r="I163" s="163"/>
      <c r="J163" s="163"/>
      <c r="K163" s="163"/>
      <c r="Q163" s="148"/>
      <c r="AF163" s="148"/>
      <c r="AG163" s="146"/>
      <c r="AK163" s="148"/>
      <c r="AL163" s="146"/>
      <c r="AO163" s="163"/>
      <c r="AP163" s="163"/>
      <c r="AS163" s="148"/>
      <c r="AT163" s="146"/>
      <c r="BE163" s="148"/>
      <c r="BF163" s="146"/>
      <c r="BL163" s="148"/>
      <c r="BM163" s="146"/>
      <c r="BP163" s="148"/>
      <c r="BQ163" s="146"/>
      <c r="BV163" s="148"/>
      <c r="BW163" s="146"/>
      <c r="CC163" s="146"/>
      <c r="CH163" s="148"/>
      <c r="CI163" s="146"/>
    </row>
    <row r="164">
      <c r="C164" s="146"/>
      <c r="I164" s="163"/>
      <c r="J164" s="163"/>
      <c r="K164" s="163"/>
      <c r="Q164" s="148"/>
      <c r="AF164" s="148"/>
      <c r="AG164" s="146"/>
      <c r="AK164" s="148"/>
      <c r="AL164" s="146"/>
      <c r="AO164" s="163"/>
      <c r="AP164" s="163"/>
      <c r="AS164" s="148"/>
      <c r="AT164" s="146"/>
      <c r="BE164" s="148"/>
      <c r="BF164" s="146"/>
      <c r="BL164" s="148"/>
      <c r="BM164" s="146"/>
      <c r="BP164" s="148"/>
      <c r="BQ164" s="146"/>
      <c r="BV164" s="148"/>
      <c r="BW164" s="146"/>
      <c r="CC164" s="146"/>
      <c r="CH164" s="148"/>
      <c r="CI164" s="146"/>
    </row>
    <row r="165">
      <c r="C165" s="146"/>
      <c r="I165" s="163"/>
      <c r="J165" s="163"/>
      <c r="K165" s="163"/>
      <c r="Q165" s="148"/>
      <c r="AF165" s="148"/>
      <c r="AG165" s="146"/>
      <c r="AK165" s="148"/>
      <c r="AL165" s="146"/>
      <c r="AO165" s="163"/>
      <c r="AP165" s="163"/>
      <c r="AS165" s="148"/>
      <c r="AT165" s="146"/>
      <c r="BE165" s="148"/>
      <c r="BF165" s="146"/>
      <c r="BL165" s="148"/>
      <c r="BM165" s="146"/>
      <c r="BP165" s="148"/>
      <c r="BQ165" s="146"/>
      <c r="BV165" s="148"/>
      <c r="BW165" s="146"/>
      <c r="CC165" s="146"/>
      <c r="CH165" s="148"/>
      <c r="CI165" s="146"/>
    </row>
    <row r="166">
      <c r="C166" s="146"/>
      <c r="I166" s="163"/>
      <c r="J166" s="163"/>
      <c r="K166" s="163"/>
      <c r="Q166" s="148"/>
      <c r="AF166" s="148"/>
      <c r="AG166" s="146"/>
      <c r="AK166" s="148"/>
      <c r="AL166" s="146"/>
      <c r="AO166" s="163"/>
      <c r="AP166" s="163"/>
      <c r="AS166" s="148"/>
      <c r="AT166" s="146"/>
      <c r="BE166" s="148"/>
      <c r="BF166" s="146"/>
      <c r="BL166" s="148"/>
      <c r="BM166" s="146"/>
      <c r="BP166" s="148"/>
      <c r="BQ166" s="146"/>
      <c r="BV166" s="148"/>
      <c r="BW166" s="146"/>
      <c r="CC166" s="146"/>
      <c r="CH166" s="148"/>
      <c r="CI166" s="146"/>
    </row>
    <row r="167">
      <c r="C167" s="146"/>
      <c r="I167" s="163"/>
      <c r="J167" s="163"/>
      <c r="K167" s="163"/>
      <c r="Q167" s="148"/>
      <c r="AF167" s="148"/>
      <c r="AG167" s="146"/>
      <c r="AK167" s="148"/>
      <c r="AL167" s="146"/>
      <c r="AO167" s="163"/>
      <c r="AP167" s="163"/>
      <c r="AS167" s="148"/>
      <c r="AT167" s="146"/>
      <c r="BE167" s="148"/>
      <c r="BF167" s="146"/>
      <c r="BL167" s="148"/>
      <c r="BM167" s="146"/>
      <c r="BP167" s="148"/>
      <c r="BQ167" s="146"/>
      <c r="BV167" s="148"/>
      <c r="BW167" s="146"/>
      <c r="CC167" s="146"/>
      <c r="CH167" s="148"/>
      <c r="CI167" s="146"/>
    </row>
    <row r="168">
      <c r="C168" s="146"/>
      <c r="I168" s="163"/>
      <c r="J168" s="163"/>
      <c r="K168" s="163"/>
      <c r="Q168" s="148"/>
      <c r="AF168" s="148"/>
      <c r="AG168" s="146"/>
      <c r="AK168" s="148"/>
      <c r="AL168" s="146"/>
      <c r="AO168" s="163"/>
      <c r="AP168" s="163"/>
      <c r="AS168" s="148"/>
      <c r="AT168" s="146"/>
      <c r="BE168" s="148"/>
      <c r="BF168" s="146"/>
      <c r="BL168" s="148"/>
      <c r="BM168" s="146"/>
      <c r="BP168" s="148"/>
      <c r="BQ168" s="146"/>
      <c r="BV168" s="148"/>
      <c r="BW168" s="146"/>
      <c r="CC168" s="146"/>
      <c r="CH168" s="148"/>
      <c r="CI168" s="146"/>
    </row>
    <row r="169">
      <c r="C169" s="146"/>
      <c r="I169" s="163"/>
      <c r="J169" s="163"/>
      <c r="K169" s="163"/>
      <c r="Q169" s="148"/>
      <c r="AF169" s="148"/>
      <c r="AG169" s="146"/>
      <c r="AK169" s="148"/>
      <c r="AL169" s="146"/>
      <c r="AO169" s="163"/>
      <c r="AP169" s="163"/>
      <c r="AS169" s="148"/>
      <c r="AT169" s="146"/>
      <c r="BE169" s="148"/>
      <c r="BF169" s="146"/>
      <c r="BL169" s="148"/>
      <c r="BM169" s="146"/>
      <c r="BP169" s="148"/>
      <c r="BQ169" s="146"/>
      <c r="BV169" s="148"/>
      <c r="BW169" s="146"/>
      <c r="CC169" s="146"/>
      <c r="CH169" s="148"/>
      <c r="CI169" s="146"/>
    </row>
    <row r="170">
      <c r="C170" s="146"/>
      <c r="I170" s="163"/>
      <c r="J170" s="163"/>
      <c r="K170" s="163"/>
      <c r="Q170" s="148"/>
      <c r="AF170" s="148"/>
      <c r="AG170" s="146"/>
      <c r="AK170" s="148"/>
      <c r="AL170" s="146"/>
      <c r="AO170" s="163"/>
      <c r="AP170" s="163"/>
      <c r="AS170" s="148"/>
      <c r="AT170" s="146"/>
      <c r="BE170" s="148"/>
      <c r="BF170" s="146"/>
      <c r="BL170" s="148"/>
      <c r="BM170" s="146"/>
      <c r="BP170" s="148"/>
      <c r="BQ170" s="146"/>
      <c r="BV170" s="148"/>
      <c r="BW170" s="146"/>
      <c r="CC170" s="146"/>
      <c r="CH170" s="148"/>
      <c r="CI170" s="146"/>
    </row>
    <row r="171">
      <c r="C171" s="146"/>
      <c r="I171" s="163"/>
      <c r="J171" s="163"/>
      <c r="K171" s="163"/>
      <c r="Q171" s="148"/>
      <c r="AF171" s="148"/>
      <c r="AG171" s="146"/>
      <c r="AK171" s="148"/>
      <c r="AL171" s="146"/>
      <c r="AO171" s="163"/>
      <c r="AP171" s="163"/>
      <c r="AS171" s="148"/>
      <c r="AT171" s="146"/>
      <c r="BE171" s="148"/>
      <c r="BF171" s="146"/>
      <c r="BL171" s="148"/>
      <c r="BM171" s="146"/>
      <c r="BP171" s="148"/>
      <c r="BQ171" s="146"/>
      <c r="BV171" s="148"/>
      <c r="BW171" s="146"/>
      <c r="CC171" s="146"/>
      <c r="CH171" s="148"/>
      <c r="CI171" s="146"/>
    </row>
    <row r="172">
      <c r="C172" s="146"/>
      <c r="I172" s="163"/>
      <c r="J172" s="163"/>
      <c r="K172" s="163"/>
      <c r="Q172" s="148"/>
      <c r="AF172" s="148"/>
      <c r="AG172" s="146"/>
      <c r="AK172" s="148"/>
      <c r="AL172" s="146"/>
      <c r="AO172" s="163"/>
      <c r="AP172" s="163"/>
      <c r="AS172" s="148"/>
      <c r="AT172" s="146"/>
      <c r="BE172" s="148"/>
      <c r="BF172" s="146"/>
      <c r="BL172" s="148"/>
      <c r="BM172" s="146"/>
      <c r="BP172" s="148"/>
      <c r="BQ172" s="146"/>
      <c r="BV172" s="148"/>
      <c r="BW172" s="146"/>
      <c r="CC172" s="146"/>
      <c r="CH172" s="148"/>
      <c r="CI172" s="146"/>
    </row>
    <row r="173">
      <c r="C173" s="146"/>
      <c r="I173" s="163"/>
      <c r="J173" s="163"/>
      <c r="K173" s="163"/>
      <c r="Q173" s="148"/>
      <c r="AF173" s="148"/>
      <c r="AG173" s="146"/>
      <c r="AK173" s="148"/>
      <c r="AL173" s="146"/>
      <c r="AO173" s="163"/>
      <c r="AP173" s="163"/>
      <c r="AS173" s="148"/>
      <c r="AT173" s="146"/>
      <c r="BE173" s="148"/>
      <c r="BF173" s="146"/>
      <c r="BL173" s="148"/>
      <c r="BM173" s="146"/>
      <c r="BP173" s="148"/>
      <c r="BQ173" s="146"/>
      <c r="BV173" s="148"/>
      <c r="BW173" s="146"/>
      <c r="CC173" s="146"/>
      <c r="CH173" s="148"/>
      <c r="CI173" s="146"/>
    </row>
    <row r="174">
      <c r="C174" s="146"/>
      <c r="I174" s="163"/>
      <c r="J174" s="163"/>
      <c r="K174" s="163"/>
      <c r="Q174" s="148"/>
      <c r="AF174" s="148"/>
      <c r="AG174" s="146"/>
      <c r="AK174" s="148"/>
      <c r="AL174" s="146"/>
      <c r="AO174" s="163"/>
      <c r="AP174" s="163"/>
      <c r="AS174" s="148"/>
      <c r="AT174" s="146"/>
      <c r="BE174" s="148"/>
      <c r="BF174" s="146"/>
      <c r="BL174" s="148"/>
      <c r="BM174" s="146"/>
      <c r="BP174" s="148"/>
      <c r="BQ174" s="146"/>
      <c r="BV174" s="148"/>
      <c r="BW174" s="146"/>
      <c r="CC174" s="146"/>
      <c r="CH174" s="148"/>
      <c r="CI174" s="146"/>
    </row>
    <row r="175">
      <c r="C175" s="146"/>
      <c r="I175" s="163"/>
      <c r="J175" s="163"/>
      <c r="K175" s="163"/>
      <c r="Q175" s="148"/>
      <c r="AF175" s="148"/>
      <c r="AG175" s="146"/>
      <c r="AK175" s="148"/>
      <c r="AL175" s="146"/>
      <c r="AO175" s="163"/>
      <c r="AP175" s="163"/>
      <c r="AS175" s="148"/>
      <c r="AT175" s="146"/>
      <c r="BE175" s="148"/>
      <c r="BF175" s="146"/>
      <c r="BL175" s="148"/>
      <c r="BM175" s="146"/>
      <c r="BP175" s="148"/>
      <c r="BQ175" s="146"/>
      <c r="BV175" s="148"/>
      <c r="BW175" s="146"/>
      <c r="CC175" s="146"/>
      <c r="CH175" s="148"/>
      <c r="CI175" s="146"/>
    </row>
    <row r="176">
      <c r="C176" s="146"/>
      <c r="I176" s="163"/>
      <c r="J176" s="163"/>
      <c r="K176" s="163"/>
      <c r="Q176" s="148"/>
      <c r="AF176" s="148"/>
      <c r="AG176" s="146"/>
      <c r="AK176" s="148"/>
      <c r="AL176" s="146"/>
      <c r="AO176" s="163"/>
      <c r="AP176" s="163"/>
      <c r="AS176" s="148"/>
      <c r="AT176" s="146"/>
      <c r="BE176" s="148"/>
      <c r="BF176" s="146"/>
      <c r="BL176" s="148"/>
      <c r="BM176" s="146"/>
      <c r="BP176" s="148"/>
      <c r="BQ176" s="146"/>
      <c r="BV176" s="148"/>
      <c r="BW176" s="146"/>
      <c r="CC176" s="146"/>
      <c r="CH176" s="148"/>
      <c r="CI176" s="146"/>
    </row>
    <row r="177">
      <c r="C177" s="146"/>
      <c r="I177" s="163"/>
      <c r="J177" s="163"/>
      <c r="K177" s="163"/>
      <c r="Q177" s="148"/>
      <c r="AF177" s="148"/>
      <c r="AG177" s="146"/>
      <c r="AK177" s="148"/>
      <c r="AL177" s="146"/>
      <c r="AO177" s="163"/>
      <c r="AP177" s="163"/>
      <c r="AS177" s="148"/>
      <c r="AT177" s="146"/>
      <c r="BE177" s="148"/>
      <c r="BF177" s="146"/>
      <c r="BL177" s="148"/>
      <c r="BM177" s="146"/>
      <c r="BP177" s="148"/>
      <c r="BQ177" s="146"/>
      <c r="BV177" s="148"/>
      <c r="BW177" s="146"/>
      <c r="CC177" s="146"/>
      <c r="CH177" s="148"/>
      <c r="CI177" s="146"/>
    </row>
    <row r="178">
      <c r="C178" s="146"/>
      <c r="I178" s="163"/>
      <c r="J178" s="163"/>
      <c r="K178" s="163"/>
      <c r="Q178" s="148"/>
      <c r="AF178" s="148"/>
      <c r="AG178" s="146"/>
      <c r="AK178" s="148"/>
      <c r="AL178" s="146"/>
      <c r="AO178" s="163"/>
      <c r="AP178" s="163"/>
      <c r="AS178" s="148"/>
      <c r="AT178" s="146"/>
      <c r="BE178" s="148"/>
      <c r="BF178" s="146"/>
      <c r="BL178" s="148"/>
      <c r="BM178" s="146"/>
      <c r="BP178" s="148"/>
      <c r="BQ178" s="146"/>
      <c r="BV178" s="148"/>
      <c r="BW178" s="146"/>
      <c r="CC178" s="146"/>
      <c r="CH178" s="148"/>
      <c r="CI178" s="146"/>
    </row>
    <row r="179">
      <c r="C179" s="146"/>
      <c r="I179" s="163"/>
      <c r="J179" s="163"/>
      <c r="K179" s="163"/>
      <c r="Q179" s="148"/>
      <c r="AF179" s="148"/>
      <c r="AG179" s="146"/>
      <c r="AK179" s="148"/>
      <c r="AL179" s="146"/>
      <c r="AO179" s="163"/>
      <c r="AP179" s="163"/>
      <c r="AS179" s="148"/>
      <c r="AT179" s="146"/>
      <c r="BE179" s="148"/>
      <c r="BF179" s="146"/>
      <c r="BL179" s="148"/>
      <c r="BM179" s="146"/>
      <c r="BP179" s="148"/>
      <c r="BQ179" s="146"/>
      <c r="BV179" s="148"/>
      <c r="BW179" s="146"/>
      <c r="CC179" s="146"/>
      <c r="CH179" s="148"/>
      <c r="CI179" s="146"/>
    </row>
    <row r="180">
      <c r="C180" s="146"/>
      <c r="I180" s="163"/>
      <c r="J180" s="163"/>
      <c r="K180" s="163"/>
      <c r="Q180" s="148"/>
      <c r="AF180" s="148"/>
      <c r="AG180" s="146"/>
      <c r="AK180" s="148"/>
      <c r="AL180" s="146"/>
      <c r="AO180" s="163"/>
      <c r="AP180" s="163"/>
      <c r="AS180" s="148"/>
      <c r="AT180" s="146"/>
      <c r="BE180" s="148"/>
      <c r="BF180" s="146"/>
      <c r="BL180" s="148"/>
      <c r="BM180" s="146"/>
      <c r="BP180" s="148"/>
      <c r="BQ180" s="146"/>
      <c r="BV180" s="148"/>
      <c r="BW180" s="146"/>
      <c r="CC180" s="146"/>
      <c r="CH180" s="148"/>
      <c r="CI180" s="146"/>
    </row>
    <row r="181">
      <c r="C181" s="146"/>
      <c r="I181" s="163"/>
      <c r="J181" s="163"/>
      <c r="K181" s="163"/>
      <c r="Q181" s="148"/>
      <c r="AF181" s="148"/>
      <c r="AG181" s="146"/>
      <c r="AK181" s="148"/>
      <c r="AL181" s="146"/>
      <c r="AO181" s="163"/>
      <c r="AP181" s="163"/>
      <c r="AS181" s="148"/>
      <c r="AT181" s="146"/>
      <c r="BE181" s="148"/>
      <c r="BF181" s="146"/>
      <c r="BL181" s="148"/>
      <c r="BM181" s="146"/>
      <c r="BP181" s="148"/>
      <c r="BQ181" s="146"/>
      <c r="BV181" s="148"/>
      <c r="BW181" s="146"/>
      <c r="CC181" s="146"/>
      <c r="CH181" s="148"/>
      <c r="CI181" s="146"/>
    </row>
    <row r="182">
      <c r="C182" s="146"/>
      <c r="I182" s="163"/>
      <c r="J182" s="163"/>
      <c r="K182" s="163"/>
      <c r="Q182" s="148"/>
      <c r="AF182" s="148"/>
      <c r="AG182" s="146"/>
      <c r="AK182" s="148"/>
      <c r="AL182" s="146"/>
      <c r="AO182" s="163"/>
      <c r="AP182" s="163"/>
      <c r="AS182" s="148"/>
      <c r="AT182" s="146"/>
      <c r="BE182" s="148"/>
      <c r="BF182" s="146"/>
      <c r="BL182" s="148"/>
      <c r="BM182" s="146"/>
      <c r="BP182" s="148"/>
      <c r="BQ182" s="146"/>
      <c r="BV182" s="148"/>
      <c r="BW182" s="146"/>
      <c r="CC182" s="146"/>
      <c r="CH182" s="148"/>
      <c r="CI182" s="146"/>
    </row>
    <row r="183">
      <c r="C183" s="146"/>
      <c r="I183" s="163"/>
      <c r="J183" s="163"/>
      <c r="K183" s="163"/>
      <c r="Q183" s="148"/>
      <c r="AF183" s="148"/>
      <c r="AG183" s="146"/>
      <c r="AK183" s="148"/>
      <c r="AL183" s="146"/>
      <c r="AO183" s="163"/>
      <c r="AP183" s="163"/>
      <c r="AS183" s="148"/>
      <c r="AT183" s="146"/>
      <c r="BE183" s="148"/>
      <c r="BF183" s="146"/>
      <c r="BL183" s="148"/>
      <c r="BM183" s="146"/>
      <c r="BP183" s="148"/>
      <c r="BQ183" s="146"/>
      <c r="BV183" s="148"/>
      <c r="BW183" s="146"/>
      <c r="CC183" s="146"/>
      <c r="CH183" s="148"/>
      <c r="CI183" s="146"/>
    </row>
    <row r="184">
      <c r="C184" s="146"/>
      <c r="I184" s="163"/>
      <c r="J184" s="163"/>
      <c r="K184" s="163"/>
      <c r="Q184" s="148"/>
      <c r="AF184" s="148"/>
      <c r="AG184" s="146"/>
      <c r="AK184" s="148"/>
      <c r="AL184" s="146"/>
      <c r="AO184" s="163"/>
      <c r="AP184" s="163"/>
      <c r="AS184" s="148"/>
      <c r="AT184" s="146"/>
      <c r="BE184" s="148"/>
      <c r="BF184" s="146"/>
      <c r="BL184" s="148"/>
      <c r="BM184" s="146"/>
      <c r="BP184" s="148"/>
      <c r="BQ184" s="146"/>
      <c r="BV184" s="148"/>
      <c r="BW184" s="146"/>
      <c r="CC184" s="146"/>
      <c r="CH184" s="148"/>
      <c r="CI184" s="146"/>
    </row>
    <row r="185">
      <c r="C185" s="146"/>
      <c r="I185" s="163"/>
      <c r="J185" s="163"/>
      <c r="K185" s="163"/>
      <c r="Q185" s="148"/>
      <c r="AF185" s="148"/>
      <c r="AG185" s="146"/>
      <c r="AK185" s="148"/>
      <c r="AL185" s="146"/>
      <c r="AO185" s="163"/>
      <c r="AP185" s="163"/>
      <c r="AS185" s="148"/>
      <c r="AT185" s="146"/>
      <c r="BE185" s="148"/>
      <c r="BF185" s="146"/>
      <c r="BL185" s="148"/>
      <c r="BM185" s="146"/>
      <c r="BP185" s="148"/>
      <c r="BQ185" s="146"/>
      <c r="BV185" s="148"/>
      <c r="BW185" s="146"/>
      <c r="CC185" s="146"/>
      <c r="CH185" s="148"/>
      <c r="CI185" s="146"/>
    </row>
    <row r="186">
      <c r="C186" s="146"/>
      <c r="I186" s="163"/>
      <c r="J186" s="163"/>
      <c r="K186" s="163"/>
      <c r="Q186" s="148"/>
      <c r="AF186" s="148"/>
      <c r="AG186" s="146"/>
      <c r="AK186" s="148"/>
      <c r="AL186" s="146"/>
      <c r="AO186" s="163"/>
      <c r="AP186" s="163"/>
      <c r="AS186" s="148"/>
      <c r="AT186" s="146"/>
      <c r="BE186" s="148"/>
      <c r="BF186" s="146"/>
      <c r="BL186" s="148"/>
      <c r="BM186" s="146"/>
      <c r="BP186" s="148"/>
      <c r="BQ186" s="146"/>
      <c r="BV186" s="148"/>
      <c r="BW186" s="146"/>
      <c r="CC186" s="146"/>
      <c r="CH186" s="148"/>
      <c r="CI186" s="146"/>
    </row>
    <row r="187">
      <c r="C187" s="146"/>
      <c r="I187" s="163"/>
      <c r="J187" s="163"/>
      <c r="K187" s="163"/>
      <c r="Q187" s="148"/>
      <c r="AF187" s="148"/>
      <c r="AG187" s="146"/>
      <c r="AK187" s="148"/>
      <c r="AL187" s="146"/>
      <c r="AO187" s="163"/>
      <c r="AP187" s="163"/>
      <c r="AS187" s="148"/>
      <c r="AT187" s="146"/>
      <c r="BE187" s="148"/>
      <c r="BF187" s="146"/>
      <c r="BL187" s="148"/>
      <c r="BM187" s="146"/>
      <c r="BP187" s="148"/>
      <c r="BQ187" s="146"/>
      <c r="BV187" s="148"/>
      <c r="BW187" s="146"/>
      <c r="CC187" s="146"/>
      <c r="CH187" s="148"/>
      <c r="CI187" s="146"/>
    </row>
    <row r="188">
      <c r="C188" s="146"/>
      <c r="I188" s="163"/>
      <c r="J188" s="163"/>
      <c r="K188" s="163"/>
      <c r="Q188" s="148"/>
      <c r="AF188" s="148"/>
      <c r="AG188" s="146"/>
      <c r="AK188" s="148"/>
      <c r="AL188" s="146"/>
      <c r="AO188" s="163"/>
      <c r="AP188" s="163"/>
      <c r="AS188" s="148"/>
      <c r="AT188" s="146"/>
      <c r="BE188" s="148"/>
      <c r="BF188" s="146"/>
      <c r="BL188" s="148"/>
      <c r="BM188" s="146"/>
      <c r="BP188" s="148"/>
      <c r="BQ188" s="146"/>
      <c r="BV188" s="148"/>
      <c r="BW188" s="146"/>
      <c r="CC188" s="146"/>
      <c r="CH188" s="148"/>
      <c r="CI188" s="146"/>
    </row>
    <row r="189">
      <c r="C189" s="146"/>
      <c r="I189" s="163"/>
      <c r="J189" s="163"/>
      <c r="K189" s="163"/>
      <c r="Q189" s="148"/>
      <c r="AF189" s="148"/>
      <c r="AG189" s="146"/>
      <c r="AK189" s="148"/>
      <c r="AL189" s="146"/>
      <c r="AO189" s="163"/>
      <c r="AP189" s="163"/>
      <c r="AS189" s="148"/>
      <c r="AT189" s="146"/>
      <c r="BE189" s="148"/>
      <c r="BF189" s="146"/>
      <c r="BL189" s="148"/>
      <c r="BM189" s="146"/>
      <c r="BP189" s="148"/>
      <c r="BQ189" s="146"/>
      <c r="BV189" s="148"/>
      <c r="BW189" s="146"/>
      <c r="CC189" s="146"/>
      <c r="CH189" s="148"/>
      <c r="CI189" s="146"/>
    </row>
    <row r="190">
      <c r="C190" s="146"/>
      <c r="I190" s="163"/>
      <c r="J190" s="163"/>
      <c r="K190" s="163"/>
      <c r="Q190" s="148"/>
      <c r="AF190" s="148"/>
      <c r="AG190" s="146"/>
      <c r="AK190" s="148"/>
      <c r="AL190" s="146"/>
      <c r="AO190" s="163"/>
      <c r="AP190" s="163"/>
      <c r="AS190" s="148"/>
      <c r="AT190" s="146"/>
      <c r="BE190" s="148"/>
      <c r="BF190" s="146"/>
      <c r="BL190" s="148"/>
      <c r="BM190" s="146"/>
      <c r="BP190" s="148"/>
      <c r="BQ190" s="146"/>
      <c r="BV190" s="148"/>
      <c r="BW190" s="146"/>
      <c r="CC190" s="146"/>
      <c r="CH190" s="148"/>
      <c r="CI190" s="146"/>
    </row>
    <row r="191">
      <c r="C191" s="146"/>
      <c r="I191" s="163"/>
      <c r="J191" s="163"/>
      <c r="K191" s="163"/>
      <c r="Q191" s="148"/>
      <c r="AF191" s="148"/>
      <c r="AG191" s="146"/>
      <c r="AK191" s="148"/>
      <c r="AL191" s="146"/>
      <c r="AO191" s="163"/>
      <c r="AP191" s="163"/>
      <c r="AS191" s="148"/>
      <c r="AT191" s="146"/>
      <c r="BE191" s="148"/>
      <c r="BF191" s="146"/>
      <c r="BL191" s="148"/>
      <c r="BM191" s="146"/>
      <c r="BP191" s="148"/>
      <c r="BQ191" s="146"/>
      <c r="BV191" s="148"/>
      <c r="BW191" s="146"/>
      <c r="CC191" s="146"/>
      <c r="CH191" s="148"/>
      <c r="CI191" s="146"/>
    </row>
    <row r="192">
      <c r="C192" s="146"/>
      <c r="I192" s="163"/>
      <c r="J192" s="163"/>
      <c r="K192" s="163"/>
      <c r="Q192" s="148"/>
      <c r="AF192" s="148"/>
      <c r="AG192" s="146"/>
      <c r="AK192" s="148"/>
      <c r="AL192" s="146"/>
      <c r="AO192" s="163"/>
      <c r="AP192" s="163"/>
      <c r="AS192" s="148"/>
      <c r="AT192" s="146"/>
      <c r="BE192" s="148"/>
      <c r="BF192" s="146"/>
      <c r="BL192" s="148"/>
      <c r="BM192" s="146"/>
      <c r="BP192" s="148"/>
      <c r="BQ192" s="146"/>
      <c r="BV192" s="148"/>
      <c r="BW192" s="146"/>
      <c r="CC192" s="146"/>
      <c r="CH192" s="148"/>
      <c r="CI192" s="146"/>
    </row>
    <row r="193">
      <c r="C193" s="146"/>
      <c r="I193" s="163"/>
      <c r="J193" s="163"/>
      <c r="K193" s="163"/>
      <c r="Q193" s="148"/>
      <c r="AF193" s="148"/>
      <c r="AG193" s="146"/>
      <c r="AK193" s="148"/>
      <c r="AL193" s="146"/>
      <c r="AO193" s="163"/>
      <c r="AP193" s="163"/>
      <c r="AS193" s="148"/>
      <c r="AT193" s="146"/>
      <c r="BE193" s="148"/>
      <c r="BF193" s="146"/>
      <c r="BL193" s="148"/>
      <c r="BM193" s="146"/>
      <c r="BP193" s="148"/>
      <c r="BQ193" s="146"/>
      <c r="BV193" s="148"/>
      <c r="BW193" s="146"/>
      <c r="CC193" s="146"/>
      <c r="CH193" s="148"/>
      <c r="CI193" s="146"/>
    </row>
    <row r="194">
      <c r="C194" s="146"/>
      <c r="I194" s="163"/>
      <c r="J194" s="163"/>
      <c r="K194" s="163"/>
      <c r="Q194" s="148"/>
      <c r="AF194" s="148"/>
      <c r="AG194" s="146"/>
      <c r="AK194" s="148"/>
      <c r="AL194" s="146"/>
      <c r="AO194" s="163"/>
      <c r="AP194" s="163"/>
      <c r="AS194" s="148"/>
      <c r="AT194" s="146"/>
      <c r="BE194" s="148"/>
      <c r="BF194" s="146"/>
      <c r="BL194" s="148"/>
      <c r="BM194" s="146"/>
      <c r="BP194" s="148"/>
      <c r="BQ194" s="146"/>
      <c r="BV194" s="148"/>
      <c r="BW194" s="146"/>
      <c r="CC194" s="146"/>
      <c r="CH194" s="148"/>
      <c r="CI194" s="146"/>
    </row>
    <row r="195">
      <c r="C195" s="146"/>
      <c r="I195" s="163"/>
      <c r="J195" s="163"/>
      <c r="K195" s="163"/>
      <c r="Q195" s="148"/>
      <c r="AF195" s="148"/>
      <c r="AG195" s="146"/>
      <c r="AK195" s="148"/>
      <c r="AL195" s="146"/>
      <c r="AO195" s="163"/>
      <c r="AP195" s="163"/>
      <c r="AS195" s="148"/>
      <c r="AT195" s="146"/>
      <c r="BE195" s="148"/>
      <c r="BF195" s="146"/>
      <c r="BL195" s="148"/>
      <c r="BM195" s="146"/>
      <c r="BP195" s="148"/>
      <c r="BQ195" s="146"/>
      <c r="BV195" s="148"/>
      <c r="BW195" s="146"/>
      <c r="CC195" s="146"/>
      <c r="CH195" s="148"/>
      <c r="CI195" s="146"/>
    </row>
    <row r="196">
      <c r="C196" s="146"/>
      <c r="I196" s="163"/>
      <c r="J196" s="163"/>
      <c r="K196" s="163"/>
      <c r="Q196" s="148"/>
      <c r="AF196" s="148"/>
      <c r="AG196" s="146"/>
      <c r="AK196" s="148"/>
      <c r="AL196" s="146"/>
      <c r="AO196" s="163"/>
      <c r="AP196" s="163"/>
      <c r="AS196" s="148"/>
      <c r="AT196" s="146"/>
      <c r="BE196" s="148"/>
      <c r="BF196" s="146"/>
      <c r="BL196" s="148"/>
      <c r="BM196" s="146"/>
      <c r="BP196" s="148"/>
      <c r="BQ196" s="146"/>
      <c r="BV196" s="148"/>
      <c r="BW196" s="146"/>
      <c r="CC196" s="146"/>
      <c r="CH196" s="148"/>
      <c r="CI196" s="146"/>
    </row>
    <row r="197">
      <c r="C197" s="146"/>
      <c r="I197" s="163"/>
      <c r="J197" s="163"/>
      <c r="K197" s="163"/>
      <c r="Q197" s="148"/>
      <c r="AF197" s="148"/>
      <c r="AG197" s="146"/>
      <c r="AK197" s="148"/>
      <c r="AL197" s="146"/>
      <c r="AO197" s="163"/>
      <c r="AP197" s="163"/>
      <c r="AS197" s="148"/>
      <c r="AT197" s="146"/>
      <c r="BE197" s="148"/>
      <c r="BF197" s="146"/>
      <c r="BL197" s="148"/>
      <c r="BM197" s="146"/>
      <c r="BP197" s="148"/>
      <c r="BQ197" s="146"/>
      <c r="BV197" s="148"/>
      <c r="BW197" s="146"/>
      <c r="CC197" s="146"/>
      <c r="CH197" s="148"/>
      <c r="CI197" s="146"/>
    </row>
    <row r="198">
      <c r="C198" s="146"/>
      <c r="I198" s="163"/>
      <c r="J198" s="163"/>
      <c r="K198" s="163"/>
      <c r="Q198" s="148"/>
      <c r="AF198" s="148"/>
      <c r="AG198" s="146"/>
      <c r="AK198" s="148"/>
      <c r="AL198" s="146"/>
      <c r="AO198" s="163"/>
      <c r="AP198" s="163"/>
      <c r="AS198" s="148"/>
      <c r="AT198" s="146"/>
      <c r="BE198" s="148"/>
      <c r="BF198" s="146"/>
      <c r="BL198" s="148"/>
      <c r="BM198" s="146"/>
      <c r="BP198" s="148"/>
      <c r="BQ198" s="146"/>
      <c r="BV198" s="148"/>
      <c r="BW198" s="146"/>
      <c r="CC198" s="146"/>
      <c r="CH198" s="148"/>
      <c r="CI198" s="146"/>
    </row>
    <row r="199">
      <c r="C199" s="146"/>
      <c r="I199" s="163"/>
      <c r="J199" s="163"/>
      <c r="K199" s="163"/>
      <c r="Q199" s="148"/>
      <c r="AF199" s="148"/>
      <c r="AG199" s="146"/>
      <c r="AK199" s="148"/>
      <c r="AL199" s="146"/>
      <c r="AO199" s="163"/>
      <c r="AP199" s="163"/>
      <c r="AS199" s="148"/>
      <c r="AT199" s="146"/>
      <c r="BE199" s="148"/>
      <c r="BF199" s="146"/>
      <c r="BL199" s="148"/>
      <c r="BM199" s="146"/>
      <c r="BP199" s="148"/>
      <c r="BQ199" s="146"/>
      <c r="BV199" s="148"/>
      <c r="BW199" s="146"/>
      <c r="CC199" s="146"/>
      <c r="CH199" s="148"/>
      <c r="CI199" s="146"/>
    </row>
    <row r="200">
      <c r="C200" s="146"/>
      <c r="I200" s="163"/>
      <c r="J200" s="163"/>
      <c r="K200" s="163"/>
      <c r="Q200" s="148"/>
      <c r="AF200" s="148"/>
      <c r="AG200" s="146"/>
      <c r="AK200" s="148"/>
      <c r="AL200" s="146"/>
      <c r="AO200" s="163"/>
      <c r="AP200" s="163"/>
      <c r="AS200" s="148"/>
      <c r="AT200" s="146"/>
      <c r="BE200" s="148"/>
      <c r="BF200" s="146"/>
      <c r="BL200" s="148"/>
      <c r="BM200" s="146"/>
      <c r="BP200" s="148"/>
      <c r="BQ200" s="146"/>
      <c r="BV200" s="148"/>
      <c r="BW200" s="146"/>
      <c r="CC200" s="146"/>
      <c r="CH200" s="148"/>
      <c r="CI200" s="146"/>
    </row>
    <row r="201">
      <c r="C201" s="146"/>
      <c r="I201" s="163"/>
      <c r="J201" s="163"/>
      <c r="K201" s="163"/>
      <c r="Q201" s="148"/>
      <c r="AF201" s="148"/>
      <c r="AG201" s="146"/>
      <c r="AK201" s="148"/>
      <c r="AL201" s="146"/>
      <c r="AO201" s="163"/>
      <c r="AP201" s="163"/>
      <c r="AS201" s="148"/>
      <c r="AT201" s="146"/>
      <c r="BE201" s="148"/>
      <c r="BF201" s="146"/>
      <c r="BL201" s="148"/>
      <c r="BM201" s="146"/>
      <c r="BP201" s="148"/>
      <c r="BQ201" s="146"/>
      <c r="BV201" s="148"/>
      <c r="BW201" s="146"/>
      <c r="CC201" s="146"/>
      <c r="CH201" s="148"/>
      <c r="CI201" s="146"/>
    </row>
    <row r="202">
      <c r="C202" s="146"/>
      <c r="I202" s="163"/>
      <c r="J202" s="163"/>
      <c r="K202" s="163"/>
      <c r="Q202" s="148"/>
      <c r="AF202" s="148"/>
      <c r="AG202" s="146"/>
      <c r="AK202" s="148"/>
      <c r="AL202" s="146"/>
      <c r="AO202" s="163"/>
      <c r="AP202" s="163"/>
      <c r="AS202" s="148"/>
      <c r="AT202" s="146"/>
      <c r="BE202" s="148"/>
      <c r="BF202" s="146"/>
      <c r="BL202" s="148"/>
      <c r="BM202" s="146"/>
      <c r="BP202" s="148"/>
      <c r="BQ202" s="146"/>
      <c r="BV202" s="148"/>
      <c r="BW202" s="146"/>
      <c r="CC202" s="146"/>
      <c r="CH202" s="148"/>
      <c r="CI202" s="146"/>
    </row>
    <row r="203">
      <c r="C203" s="146"/>
      <c r="I203" s="163"/>
      <c r="J203" s="163"/>
      <c r="K203" s="163"/>
      <c r="Q203" s="148"/>
      <c r="AF203" s="148"/>
      <c r="AG203" s="146"/>
      <c r="AK203" s="148"/>
      <c r="AL203" s="146"/>
      <c r="AO203" s="163"/>
      <c r="AP203" s="163"/>
      <c r="AS203" s="148"/>
      <c r="AT203" s="146"/>
      <c r="BE203" s="148"/>
      <c r="BF203" s="146"/>
      <c r="BL203" s="148"/>
      <c r="BM203" s="146"/>
      <c r="BP203" s="148"/>
      <c r="BQ203" s="146"/>
      <c r="BV203" s="148"/>
      <c r="BW203" s="146"/>
      <c r="CC203" s="146"/>
      <c r="CH203" s="148"/>
      <c r="CI203" s="146"/>
    </row>
    <row r="204">
      <c r="C204" s="146"/>
      <c r="I204" s="163"/>
      <c r="J204" s="163"/>
      <c r="K204" s="163"/>
      <c r="Q204" s="148"/>
      <c r="AF204" s="148"/>
      <c r="AG204" s="146"/>
      <c r="AK204" s="148"/>
      <c r="AL204" s="146"/>
      <c r="AO204" s="163"/>
      <c r="AP204" s="163"/>
      <c r="AS204" s="148"/>
      <c r="AT204" s="146"/>
      <c r="BE204" s="148"/>
      <c r="BF204" s="146"/>
      <c r="BL204" s="148"/>
      <c r="BM204" s="146"/>
      <c r="BP204" s="148"/>
      <c r="BQ204" s="146"/>
      <c r="BV204" s="148"/>
      <c r="BW204" s="146"/>
      <c r="CC204" s="146"/>
      <c r="CH204" s="148"/>
      <c r="CI204" s="146"/>
    </row>
    <row r="205">
      <c r="C205" s="146"/>
      <c r="I205" s="163"/>
      <c r="J205" s="163"/>
      <c r="K205" s="163"/>
      <c r="Q205" s="148"/>
      <c r="AF205" s="148"/>
      <c r="AG205" s="146"/>
      <c r="AK205" s="148"/>
      <c r="AL205" s="146"/>
      <c r="AO205" s="163"/>
      <c r="AP205" s="163"/>
      <c r="AS205" s="148"/>
      <c r="AT205" s="146"/>
      <c r="BE205" s="148"/>
      <c r="BF205" s="146"/>
      <c r="BL205" s="148"/>
      <c r="BM205" s="146"/>
      <c r="BP205" s="148"/>
      <c r="BQ205" s="146"/>
      <c r="BV205" s="148"/>
      <c r="BW205" s="146"/>
      <c r="CC205" s="146"/>
      <c r="CH205" s="148"/>
      <c r="CI205" s="146"/>
    </row>
    <row r="206">
      <c r="C206" s="146"/>
      <c r="I206" s="163"/>
      <c r="J206" s="163"/>
      <c r="K206" s="163"/>
      <c r="Q206" s="148"/>
      <c r="AF206" s="148"/>
      <c r="AG206" s="146"/>
      <c r="AK206" s="148"/>
      <c r="AL206" s="146"/>
      <c r="AO206" s="163"/>
      <c r="AP206" s="163"/>
      <c r="AS206" s="148"/>
      <c r="AT206" s="146"/>
      <c r="BE206" s="148"/>
      <c r="BF206" s="146"/>
      <c r="BL206" s="148"/>
      <c r="BM206" s="146"/>
      <c r="BP206" s="148"/>
      <c r="BQ206" s="146"/>
      <c r="BV206" s="148"/>
      <c r="BW206" s="146"/>
      <c r="CC206" s="146"/>
      <c r="CH206" s="148"/>
      <c r="CI206" s="146"/>
    </row>
    <row r="207">
      <c r="C207" s="146"/>
      <c r="I207" s="163"/>
      <c r="J207" s="163"/>
      <c r="K207" s="163"/>
      <c r="Q207" s="148"/>
      <c r="AF207" s="148"/>
      <c r="AG207" s="146"/>
      <c r="AK207" s="148"/>
      <c r="AL207" s="146"/>
      <c r="AO207" s="163"/>
      <c r="AP207" s="163"/>
      <c r="AS207" s="148"/>
      <c r="AT207" s="146"/>
      <c r="BE207" s="148"/>
      <c r="BF207" s="146"/>
      <c r="BL207" s="148"/>
      <c r="BM207" s="146"/>
      <c r="BP207" s="148"/>
      <c r="BQ207" s="146"/>
      <c r="BV207" s="148"/>
      <c r="BW207" s="146"/>
      <c r="CC207" s="146"/>
      <c r="CH207" s="148"/>
      <c r="CI207" s="146"/>
    </row>
    <row r="208">
      <c r="C208" s="146"/>
      <c r="I208" s="163"/>
      <c r="J208" s="163"/>
      <c r="K208" s="163"/>
      <c r="Q208" s="148"/>
      <c r="AF208" s="148"/>
      <c r="AG208" s="146"/>
      <c r="AK208" s="148"/>
      <c r="AL208" s="146"/>
      <c r="AO208" s="163"/>
      <c r="AP208" s="163"/>
      <c r="AS208" s="148"/>
      <c r="AT208" s="146"/>
      <c r="BE208" s="148"/>
      <c r="BF208" s="146"/>
      <c r="BL208" s="148"/>
      <c r="BM208" s="146"/>
      <c r="BP208" s="148"/>
      <c r="BQ208" s="146"/>
      <c r="BV208" s="148"/>
      <c r="BW208" s="146"/>
      <c r="CC208" s="146"/>
      <c r="CH208" s="148"/>
      <c r="CI208" s="146"/>
    </row>
    <row r="209">
      <c r="C209" s="146"/>
      <c r="I209" s="163"/>
      <c r="J209" s="163"/>
      <c r="K209" s="163"/>
      <c r="Q209" s="148"/>
      <c r="AF209" s="148"/>
      <c r="AG209" s="146"/>
      <c r="AK209" s="148"/>
      <c r="AL209" s="146"/>
      <c r="AO209" s="163"/>
      <c r="AP209" s="163"/>
      <c r="AS209" s="148"/>
      <c r="AT209" s="146"/>
      <c r="BE209" s="148"/>
      <c r="BF209" s="146"/>
      <c r="BL209" s="148"/>
      <c r="BM209" s="146"/>
      <c r="BP209" s="148"/>
      <c r="BQ209" s="146"/>
      <c r="BV209" s="148"/>
      <c r="BW209" s="146"/>
      <c r="CC209" s="146"/>
      <c r="CH209" s="148"/>
      <c r="CI209" s="146"/>
    </row>
    <row r="210">
      <c r="C210" s="146"/>
      <c r="I210" s="163"/>
      <c r="J210" s="163"/>
      <c r="K210" s="163"/>
      <c r="Q210" s="148"/>
      <c r="AF210" s="148"/>
      <c r="AG210" s="146"/>
      <c r="AK210" s="148"/>
      <c r="AL210" s="146"/>
      <c r="AO210" s="163"/>
      <c r="AP210" s="163"/>
      <c r="AS210" s="148"/>
      <c r="AT210" s="146"/>
      <c r="BE210" s="148"/>
      <c r="BF210" s="146"/>
      <c r="BL210" s="148"/>
      <c r="BM210" s="146"/>
      <c r="BP210" s="148"/>
      <c r="BQ210" s="146"/>
      <c r="BV210" s="148"/>
      <c r="BW210" s="146"/>
      <c r="CC210" s="146"/>
      <c r="CH210" s="148"/>
      <c r="CI210" s="146"/>
    </row>
    <row r="211">
      <c r="C211" s="146"/>
      <c r="I211" s="163"/>
      <c r="J211" s="163"/>
      <c r="K211" s="163"/>
      <c r="Q211" s="148"/>
      <c r="AF211" s="148"/>
      <c r="AG211" s="146"/>
      <c r="AK211" s="148"/>
      <c r="AL211" s="146"/>
      <c r="AO211" s="163"/>
      <c r="AP211" s="163"/>
      <c r="AS211" s="148"/>
      <c r="AT211" s="146"/>
      <c r="BE211" s="148"/>
      <c r="BF211" s="146"/>
      <c r="BL211" s="148"/>
      <c r="BM211" s="146"/>
      <c r="BP211" s="148"/>
      <c r="BQ211" s="146"/>
      <c r="BV211" s="148"/>
      <c r="BW211" s="146"/>
      <c r="CC211" s="146"/>
      <c r="CH211" s="148"/>
      <c r="CI211" s="146"/>
    </row>
    <row r="212">
      <c r="C212" s="146"/>
      <c r="I212" s="163"/>
      <c r="J212" s="163"/>
      <c r="K212" s="163"/>
      <c r="Q212" s="148"/>
      <c r="AF212" s="148"/>
      <c r="AG212" s="146"/>
      <c r="AK212" s="148"/>
      <c r="AL212" s="146"/>
      <c r="AO212" s="163"/>
      <c r="AP212" s="163"/>
      <c r="AS212" s="148"/>
      <c r="AT212" s="146"/>
      <c r="BE212" s="148"/>
      <c r="BF212" s="146"/>
      <c r="BL212" s="148"/>
      <c r="BM212" s="146"/>
      <c r="BP212" s="148"/>
      <c r="BQ212" s="146"/>
      <c r="BV212" s="148"/>
      <c r="BW212" s="146"/>
      <c r="CC212" s="146"/>
      <c r="CH212" s="148"/>
      <c r="CI212" s="146"/>
    </row>
    <row r="213">
      <c r="C213" s="146"/>
      <c r="I213" s="163"/>
      <c r="J213" s="163"/>
      <c r="K213" s="163"/>
      <c r="Q213" s="148"/>
      <c r="AF213" s="148"/>
      <c r="AG213" s="146"/>
      <c r="AK213" s="148"/>
      <c r="AL213" s="146"/>
      <c r="AO213" s="163"/>
      <c r="AP213" s="163"/>
      <c r="AS213" s="148"/>
      <c r="AT213" s="146"/>
      <c r="BE213" s="148"/>
      <c r="BF213" s="146"/>
      <c r="BL213" s="148"/>
      <c r="BM213" s="146"/>
      <c r="BP213" s="148"/>
      <c r="BQ213" s="146"/>
      <c r="BV213" s="148"/>
      <c r="BW213" s="146"/>
      <c r="CC213" s="146"/>
      <c r="CH213" s="148"/>
      <c r="CI213" s="146"/>
    </row>
    <row r="214">
      <c r="C214" s="146"/>
      <c r="I214" s="163"/>
      <c r="J214" s="163"/>
      <c r="K214" s="163"/>
      <c r="Q214" s="148"/>
      <c r="AF214" s="148"/>
      <c r="AG214" s="146"/>
      <c r="AK214" s="148"/>
      <c r="AL214" s="146"/>
      <c r="AO214" s="163"/>
      <c r="AP214" s="163"/>
      <c r="AS214" s="148"/>
      <c r="AT214" s="146"/>
      <c r="BE214" s="148"/>
      <c r="BF214" s="146"/>
      <c r="BL214" s="148"/>
      <c r="BM214" s="146"/>
      <c r="BP214" s="148"/>
      <c r="BQ214" s="146"/>
      <c r="BV214" s="148"/>
      <c r="BW214" s="146"/>
      <c r="CC214" s="146"/>
      <c r="CH214" s="148"/>
      <c r="CI214" s="146"/>
    </row>
    <row r="215">
      <c r="C215" s="146"/>
      <c r="I215" s="163"/>
      <c r="J215" s="163"/>
      <c r="K215" s="163"/>
      <c r="Q215" s="148"/>
      <c r="AF215" s="148"/>
      <c r="AG215" s="146"/>
      <c r="AK215" s="148"/>
      <c r="AL215" s="146"/>
      <c r="AO215" s="163"/>
      <c r="AP215" s="163"/>
      <c r="AS215" s="148"/>
      <c r="AT215" s="146"/>
      <c r="BE215" s="148"/>
      <c r="BF215" s="146"/>
      <c r="BL215" s="148"/>
      <c r="BM215" s="146"/>
      <c r="BP215" s="148"/>
      <c r="BQ215" s="146"/>
      <c r="BV215" s="148"/>
      <c r="BW215" s="146"/>
      <c r="CC215" s="146"/>
      <c r="CH215" s="148"/>
      <c r="CI215" s="146"/>
    </row>
    <row r="216">
      <c r="C216" s="146"/>
      <c r="I216" s="163"/>
      <c r="J216" s="163"/>
      <c r="K216" s="163"/>
      <c r="Q216" s="148"/>
      <c r="AF216" s="148"/>
      <c r="AG216" s="146"/>
      <c r="AK216" s="148"/>
      <c r="AL216" s="146"/>
      <c r="AO216" s="163"/>
      <c r="AP216" s="163"/>
      <c r="AS216" s="148"/>
      <c r="AT216" s="146"/>
      <c r="BE216" s="148"/>
      <c r="BF216" s="146"/>
      <c r="BL216" s="148"/>
      <c r="BM216" s="146"/>
      <c r="BP216" s="148"/>
      <c r="BQ216" s="146"/>
      <c r="BV216" s="148"/>
      <c r="BW216" s="146"/>
      <c r="CC216" s="146"/>
      <c r="CH216" s="148"/>
      <c r="CI216" s="146"/>
    </row>
    <row r="217">
      <c r="C217" s="146"/>
      <c r="I217" s="163"/>
      <c r="J217" s="163"/>
      <c r="K217" s="163"/>
      <c r="Q217" s="148"/>
      <c r="AF217" s="148"/>
      <c r="AG217" s="146"/>
      <c r="AK217" s="148"/>
      <c r="AL217" s="146"/>
      <c r="AO217" s="163"/>
      <c r="AP217" s="163"/>
      <c r="AS217" s="148"/>
      <c r="AT217" s="146"/>
      <c r="BE217" s="148"/>
      <c r="BF217" s="146"/>
      <c r="BL217" s="148"/>
      <c r="BM217" s="146"/>
      <c r="BP217" s="148"/>
      <c r="BQ217" s="146"/>
      <c r="BV217" s="148"/>
      <c r="BW217" s="146"/>
      <c r="CC217" s="146"/>
      <c r="CH217" s="148"/>
      <c r="CI217" s="146"/>
    </row>
    <row r="218">
      <c r="C218" s="146"/>
      <c r="I218" s="163"/>
      <c r="J218" s="163"/>
      <c r="K218" s="163"/>
      <c r="Q218" s="148"/>
      <c r="AF218" s="148"/>
      <c r="AG218" s="146"/>
      <c r="AK218" s="148"/>
      <c r="AL218" s="146"/>
      <c r="AO218" s="163"/>
      <c r="AP218" s="163"/>
      <c r="AS218" s="148"/>
      <c r="AT218" s="146"/>
      <c r="BE218" s="148"/>
      <c r="BF218" s="146"/>
      <c r="BL218" s="148"/>
      <c r="BM218" s="146"/>
      <c r="BP218" s="148"/>
      <c r="BQ218" s="146"/>
      <c r="BV218" s="148"/>
      <c r="BW218" s="146"/>
      <c r="CC218" s="146"/>
      <c r="CH218" s="148"/>
      <c r="CI218" s="146"/>
    </row>
    <row r="219">
      <c r="C219" s="146"/>
      <c r="I219" s="163"/>
      <c r="J219" s="163"/>
      <c r="K219" s="163"/>
      <c r="Q219" s="148"/>
      <c r="AF219" s="148"/>
      <c r="AG219" s="146"/>
      <c r="AK219" s="148"/>
      <c r="AL219" s="146"/>
      <c r="AO219" s="163"/>
      <c r="AP219" s="163"/>
      <c r="AS219" s="148"/>
      <c r="AT219" s="146"/>
      <c r="BE219" s="148"/>
      <c r="BF219" s="146"/>
      <c r="BL219" s="148"/>
      <c r="BM219" s="146"/>
      <c r="BP219" s="148"/>
      <c r="BQ219" s="146"/>
      <c r="BV219" s="148"/>
      <c r="BW219" s="146"/>
      <c r="CC219" s="146"/>
      <c r="CH219" s="148"/>
      <c r="CI219" s="146"/>
    </row>
    <row r="220">
      <c r="C220" s="146"/>
      <c r="I220" s="163"/>
      <c r="J220" s="163"/>
      <c r="K220" s="163"/>
      <c r="Q220" s="148"/>
      <c r="AF220" s="148"/>
      <c r="AG220" s="146"/>
      <c r="AK220" s="148"/>
      <c r="AL220" s="146"/>
      <c r="AO220" s="163"/>
      <c r="AP220" s="163"/>
      <c r="AS220" s="148"/>
      <c r="AT220" s="146"/>
      <c r="BE220" s="148"/>
      <c r="BF220" s="146"/>
      <c r="BL220" s="148"/>
      <c r="BM220" s="146"/>
      <c r="BP220" s="148"/>
      <c r="BQ220" s="146"/>
      <c r="BV220" s="148"/>
      <c r="BW220" s="146"/>
      <c r="CC220" s="146"/>
      <c r="CH220" s="148"/>
      <c r="CI220" s="146"/>
    </row>
    <row r="221">
      <c r="C221" s="146"/>
      <c r="I221" s="163"/>
      <c r="J221" s="163"/>
      <c r="K221" s="163"/>
      <c r="Q221" s="148"/>
      <c r="AF221" s="148"/>
      <c r="AG221" s="146"/>
      <c r="AK221" s="148"/>
      <c r="AL221" s="146"/>
      <c r="AO221" s="163"/>
      <c r="AP221" s="163"/>
      <c r="AS221" s="148"/>
      <c r="AT221" s="146"/>
      <c r="BE221" s="148"/>
      <c r="BF221" s="146"/>
      <c r="BL221" s="148"/>
      <c r="BM221" s="146"/>
      <c r="BP221" s="148"/>
      <c r="BQ221" s="146"/>
      <c r="BV221" s="148"/>
      <c r="BW221" s="146"/>
      <c r="CC221" s="146"/>
      <c r="CH221" s="148"/>
      <c r="CI221" s="146"/>
    </row>
    <row r="222">
      <c r="C222" s="146"/>
      <c r="I222" s="163"/>
      <c r="J222" s="163"/>
      <c r="K222" s="163"/>
      <c r="Q222" s="148"/>
      <c r="AF222" s="148"/>
      <c r="AG222" s="146"/>
      <c r="AK222" s="148"/>
      <c r="AL222" s="146"/>
      <c r="AO222" s="163"/>
      <c r="AP222" s="163"/>
      <c r="AS222" s="148"/>
      <c r="AT222" s="146"/>
      <c r="BE222" s="148"/>
      <c r="BF222" s="146"/>
      <c r="BL222" s="148"/>
      <c r="BM222" s="146"/>
      <c r="BP222" s="148"/>
      <c r="BQ222" s="146"/>
      <c r="BV222" s="148"/>
      <c r="BW222" s="146"/>
      <c r="CC222" s="146"/>
      <c r="CH222" s="148"/>
      <c r="CI222" s="146"/>
    </row>
    <row r="223">
      <c r="C223" s="146"/>
      <c r="I223" s="163"/>
      <c r="J223" s="163"/>
      <c r="K223" s="163"/>
      <c r="Q223" s="148"/>
      <c r="AF223" s="148"/>
      <c r="AG223" s="146"/>
      <c r="AK223" s="148"/>
      <c r="AL223" s="146"/>
      <c r="AO223" s="163"/>
      <c r="AP223" s="163"/>
      <c r="AS223" s="148"/>
      <c r="AT223" s="146"/>
      <c r="BE223" s="148"/>
      <c r="BF223" s="146"/>
      <c r="BL223" s="148"/>
      <c r="BM223" s="146"/>
      <c r="BP223" s="148"/>
      <c r="BQ223" s="146"/>
      <c r="BV223" s="148"/>
      <c r="BW223" s="146"/>
      <c r="CC223" s="146"/>
      <c r="CH223" s="148"/>
      <c r="CI223" s="146"/>
    </row>
    <row r="224">
      <c r="C224" s="146"/>
      <c r="I224" s="163"/>
      <c r="J224" s="163"/>
      <c r="K224" s="163"/>
      <c r="Q224" s="148"/>
      <c r="AF224" s="148"/>
      <c r="AG224" s="146"/>
      <c r="AK224" s="148"/>
      <c r="AL224" s="146"/>
      <c r="AO224" s="163"/>
      <c r="AP224" s="163"/>
      <c r="AS224" s="148"/>
      <c r="AT224" s="146"/>
      <c r="BE224" s="148"/>
      <c r="BF224" s="146"/>
      <c r="BL224" s="148"/>
      <c r="BM224" s="146"/>
      <c r="BP224" s="148"/>
      <c r="BQ224" s="146"/>
      <c r="BV224" s="148"/>
      <c r="BW224" s="146"/>
      <c r="CC224" s="146"/>
      <c r="CH224" s="148"/>
      <c r="CI224" s="146"/>
    </row>
    <row r="225">
      <c r="C225" s="146"/>
      <c r="I225" s="163"/>
      <c r="J225" s="163"/>
      <c r="K225" s="163"/>
      <c r="Q225" s="148"/>
      <c r="AF225" s="148"/>
      <c r="AG225" s="146"/>
      <c r="AK225" s="148"/>
      <c r="AL225" s="146"/>
      <c r="AO225" s="163"/>
      <c r="AP225" s="163"/>
      <c r="AS225" s="148"/>
      <c r="AT225" s="146"/>
      <c r="BE225" s="148"/>
      <c r="BF225" s="146"/>
      <c r="BL225" s="148"/>
      <c r="BM225" s="146"/>
      <c r="BP225" s="148"/>
      <c r="BQ225" s="146"/>
      <c r="BV225" s="148"/>
      <c r="BW225" s="146"/>
      <c r="CC225" s="146"/>
      <c r="CH225" s="148"/>
      <c r="CI225" s="146"/>
    </row>
    <row r="226">
      <c r="C226" s="146"/>
      <c r="I226" s="163"/>
      <c r="J226" s="163"/>
      <c r="K226" s="163"/>
      <c r="Q226" s="148"/>
      <c r="AF226" s="148"/>
      <c r="AG226" s="146"/>
      <c r="AK226" s="148"/>
      <c r="AL226" s="146"/>
      <c r="AO226" s="163"/>
      <c r="AP226" s="163"/>
      <c r="AS226" s="148"/>
      <c r="AT226" s="146"/>
      <c r="BE226" s="148"/>
      <c r="BF226" s="146"/>
      <c r="BL226" s="148"/>
      <c r="BM226" s="146"/>
      <c r="BP226" s="148"/>
      <c r="BQ226" s="146"/>
      <c r="BV226" s="148"/>
      <c r="BW226" s="146"/>
      <c r="CC226" s="146"/>
      <c r="CH226" s="148"/>
      <c r="CI226" s="146"/>
    </row>
    <row r="227">
      <c r="C227" s="146"/>
      <c r="I227" s="163"/>
      <c r="J227" s="163"/>
      <c r="K227" s="163"/>
      <c r="Q227" s="148"/>
      <c r="AF227" s="148"/>
      <c r="AG227" s="146"/>
      <c r="AK227" s="148"/>
      <c r="AL227" s="146"/>
      <c r="AO227" s="163"/>
      <c r="AP227" s="163"/>
      <c r="AS227" s="148"/>
      <c r="AT227" s="146"/>
      <c r="BE227" s="148"/>
      <c r="BF227" s="146"/>
      <c r="BL227" s="148"/>
      <c r="BM227" s="146"/>
      <c r="BP227" s="148"/>
      <c r="BQ227" s="146"/>
      <c r="BV227" s="148"/>
      <c r="BW227" s="146"/>
      <c r="CC227" s="146"/>
      <c r="CH227" s="148"/>
      <c r="CI227" s="146"/>
    </row>
    <row r="228">
      <c r="C228" s="146"/>
      <c r="I228" s="163"/>
      <c r="J228" s="163"/>
      <c r="K228" s="163"/>
      <c r="Q228" s="148"/>
      <c r="AF228" s="148"/>
      <c r="AG228" s="146"/>
      <c r="AK228" s="148"/>
      <c r="AL228" s="146"/>
      <c r="AO228" s="163"/>
      <c r="AP228" s="163"/>
      <c r="AS228" s="148"/>
      <c r="AT228" s="146"/>
      <c r="BE228" s="148"/>
      <c r="BF228" s="146"/>
      <c r="BL228" s="148"/>
      <c r="BM228" s="146"/>
      <c r="BP228" s="148"/>
      <c r="BQ228" s="146"/>
      <c r="BV228" s="148"/>
      <c r="BW228" s="146"/>
      <c r="CC228" s="146"/>
      <c r="CH228" s="148"/>
      <c r="CI228" s="146"/>
    </row>
    <row r="229">
      <c r="C229" s="146"/>
      <c r="I229" s="163"/>
      <c r="J229" s="163"/>
      <c r="K229" s="163"/>
      <c r="Q229" s="148"/>
      <c r="AF229" s="148"/>
      <c r="AG229" s="146"/>
      <c r="AK229" s="148"/>
      <c r="AL229" s="146"/>
      <c r="AO229" s="163"/>
      <c r="AP229" s="163"/>
      <c r="AS229" s="148"/>
      <c r="AT229" s="146"/>
      <c r="BE229" s="148"/>
      <c r="BF229" s="146"/>
      <c r="BL229" s="148"/>
      <c r="BM229" s="146"/>
      <c r="BP229" s="148"/>
      <c r="BQ229" s="146"/>
      <c r="BV229" s="148"/>
      <c r="BW229" s="146"/>
      <c r="CC229" s="146"/>
      <c r="CH229" s="148"/>
      <c r="CI229" s="146"/>
    </row>
    <row r="230">
      <c r="C230" s="146"/>
      <c r="I230" s="163"/>
      <c r="J230" s="163"/>
      <c r="K230" s="163"/>
      <c r="Q230" s="148"/>
      <c r="AF230" s="148"/>
      <c r="AG230" s="146"/>
      <c r="AK230" s="148"/>
      <c r="AL230" s="146"/>
      <c r="AO230" s="163"/>
      <c r="AP230" s="163"/>
      <c r="AS230" s="148"/>
      <c r="AT230" s="146"/>
      <c r="BE230" s="148"/>
      <c r="BF230" s="146"/>
      <c r="BL230" s="148"/>
      <c r="BM230" s="146"/>
      <c r="BP230" s="148"/>
      <c r="BQ230" s="146"/>
      <c r="BV230" s="148"/>
      <c r="BW230" s="146"/>
      <c r="CC230" s="146"/>
      <c r="CH230" s="148"/>
      <c r="CI230" s="146"/>
    </row>
    <row r="231">
      <c r="C231" s="146"/>
      <c r="I231" s="163"/>
      <c r="J231" s="163"/>
      <c r="K231" s="163"/>
      <c r="Q231" s="148"/>
      <c r="AF231" s="148"/>
      <c r="AG231" s="146"/>
      <c r="AK231" s="148"/>
      <c r="AL231" s="146"/>
      <c r="AO231" s="163"/>
      <c r="AP231" s="163"/>
      <c r="AS231" s="148"/>
      <c r="AT231" s="146"/>
      <c r="BE231" s="148"/>
      <c r="BF231" s="146"/>
      <c r="BL231" s="148"/>
      <c r="BM231" s="146"/>
      <c r="BP231" s="148"/>
      <c r="BQ231" s="146"/>
      <c r="BV231" s="148"/>
      <c r="BW231" s="146"/>
      <c r="CC231" s="146"/>
      <c r="CH231" s="148"/>
      <c r="CI231" s="146"/>
    </row>
    <row r="232">
      <c r="C232" s="146"/>
      <c r="I232" s="163"/>
      <c r="J232" s="163"/>
      <c r="K232" s="163"/>
      <c r="Q232" s="148"/>
      <c r="AF232" s="148"/>
      <c r="AG232" s="146"/>
      <c r="AK232" s="148"/>
      <c r="AL232" s="146"/>
      <c r="AO232" s="163"/>
      <c r="AP232" s="163"/>
      <c r="AS232" s="148"/>
      <c r="AT232" s="146"/>
      <c r="BE232" s="148"/>
      <c r="BF232" s="146"/>
      <c r="BL232" s="148"/>
      <c r="BM232" s="146"/>
      <c r="BP232" s="148"/>
      <c r="BQ232" s="146"/>
      <c r="BV232" s="148"/>
      <c r="BW232" s="146"/>
      <c r="CC232" s="146"/>
      <c r="CH232" s="148"/>
      <c r="CI232" s="146"/>
    </row>
    <row r="233">
      <c r="C233" s="146"/>
      <c r="I233" s="163"/>
      <c r="J233" s="163"/>
      <c r="K233" s="163"/>
      <c r="Q233" s="148"/>
      <c r="AF233" s="148"/>
      <c r="AG233" s="146"/>
      <c r="AK233" s="148"/>
      <c r="AL233" s="146"/>
      <c r="AO233" s="163"/>
      <c r="AP233" s="163"/>
      <c r="AS233" s="148"/>
      <c r="AT233" s="146"/>
      <c r="BE233" s="148"/>
      <c r="BF233" s="146"/>
      <c r="BL233" s="148"/>
      <c r="BM233" s="146"/>
      <c r="BP233" s="148"/>
      <c r="BQ233" s="146"/>
      <c r="BV233" s="148"/>
      <c r="BW233" s="146"/>
      <c r="CC233" s="146"/>
      <c r="CH233" s="148"/>
      <c r="CI233" s="146"/>
    </row>
    <row r="234">
      <c r="C234" s="146"/>
      <c r="I234" s="163"/>
      <c r="J234" s="163"/>
      <c r="K234" s="163"/>
      <c r="Q234" s="148"/>
      <c r="AF234" s="148"/>
      <c r="AG234" s="146"/>
      <c r="AK234" s="148"/>
      <c r="AL234" s="146"/>
      <c r="AO234" s="163"/>
      <c r="AP234" s="163"/>
      <c r="AS234" s="148"/>
      <c r="AT234" s="146"/>
      <c r="BE234" s="148"/>
      <c r="BF234" s="146"/>
      <c r="BL234" s="148"/>
      <c r="BM234" s="146"/>
      <c r="BP234" s="148"/>
      <c r="BQ234" s="146"/>
      <c r="BV234" s="148"/>
      <c r="BW234" s="146"/>
      <c r="CC234" s="146"/>
      <c r="CH234" s="148"/>
      <c r="CI234" s="146"/>
    </row>
    <row r="235">
      <c r="C235" s="146"/>
      <c r="I235" s="163"/>
      <c r="J235" s="163"/>
      <c r="K235" s="163"/>
      <c r="Q235" s="148"/>
      <c r="AF235" s="148"/>
      <c r="AG235" s="146"/>
      <c r="AK235" s="148"/>
      <c r="AL235" s="146"/>
      <c r="AO235" s="163"/>
      <c r="AP235" s="163"/>
      <c r="AS235" s="148"/>
      <c r="AT235" s="146"/>
      <c r="BE235" s="148"/>
      <c r="BF235" s="146"/>
      <c r="BL235" s="148"/>
      <c r="BM235" s="146"/>
      <c r="BP235" s="148"/>
      <c r="BQ235" s="146"/>
      <c r="BV235" s="148"/>
      <c r="BW235" s="146"/>
      <c r="CC235" s="146"/>
      <c r="CH235" s="148"/>
      <c r="CI235" s="146"/>
    </row>
    <row r="236">
      <c r="C236" s="146"/>
      <c r="I236" s="163"/>
      <c r="J236" s="163"/>
      <c r="K236" s="163"/>
      <c r="Q236" s="148"/>
      <c r="AF236" s="148"/>
      <c r="AG236" s="146"/>
      <c r="AK236" s="148"/>
      <c r="AL236" s="146"/>
      <c r="AO236" s="163"/>
      <c r="AP236" s="163"/>
      <c r="AS236" s="148"/>
      <c r="AT236" s="146"/>
      <c r="BE236" s="148"/>
      <c r="BF236" s="146"/>
      <c r="BL236" s="148"/>
      <c r="BM236" s="146"/>
      <c r="BP236" s="148"/>
      <c r="BQ236" s="146"/>
      <c r="BV236" s="148"/>
      <c r="BW236" s="146"/>
      <c r="CC236" s="146"/>
      <c r="CH236" s="148"/>
      <c r="CI236" s="146"/>
    </row>
    <row r="237">
      <c r="C237" s="146"/>
      <c r="I237" s="163"/>
      <c r="J237" s="163"/>
      <c r="K237" s="163"/>
      <c r="Q237" s="148"/>
      <c r="AF237" s="148"/>
      <c r="AG237" s="146"/>
      <c r="AK237" s="148"/>
      <c r="AL237" s="146"/>
      <c r="AO237" s="163"/>
      <c r="AP237" s="163"/>
      <c r="AS237" s="148"/>
      <c r="AT237" s="146"/>
      <c r="BE237" s="148"/>
      <c r="BF237" s="146"/>
      <c r="BL237" s="148"/>
      <c r="BM237" s="146"/>
      <c r="BP237" s="148"/>
      <c r="BQ237" s="146"/>
      <c r="BV237" s="148"/>
      <c r="BW237" s="146"/>
      <c r="CC237" s="146"/>
      <c r="CH237" s="148"/>
      <c r="CI237" s="146"/>
    </row>
    <row r="238">
      <c r="C238" s="146"/>
      <c r="I238" s="163"/>
      <c r="J238" s="163"/>
      <c r="K238" s="163"/>
      <c r="Q238" s="148"/>
      <c r="AF238" s="148"/>
      <c r="AG238" s="146"/>
      <c r="AK238" s="148"/>
      <c r="AL238" s="146"/>
      <c r="AO238" s="163"/>
      <c r="AP238" s="163"/>
      <c r="AS238" s="148"/>
      <c r="AT238" s="146"/>
      <c r="BE238" s="148"/>
      <c r="BF238" s="146"/>
      <c r="BL238" s="148"/>
      <c r="BM238" s="146"/>
      <c r="BP238" s="148"/>
      <c r="BQ238" s="146"/>
      <c r="BV238" s="148"/>
      <c r="BW238" s="146"/>
      <c r="CC238" s="146"/>
      <c r="CH238" s="148"/>
      <c r="CI238" s="146"/>
    </row>
    <row r="239">
      <c r="C239" s="146"/>
      <c r="I239" s="163"/>
      <c r="J239" s="163"/>
      <c r="K239" s="163"/>
      <c r="Q239" s="148"/>
      <c r="AF239" s="148"/>
      <c r="AG239" s="146"/>
      <c r="AK239" s="148"/>
      <c r="AL239" s="146"/>
      <c r="AO239" s="163"/>
      <c r="AP239" s="163"/>
      <c r="AS239" s="148"/>
      <c r="AT239" s="146"/>
      <c r="BE239" s="148"/>
      <c r="BF239" s="146"/>
      <c r="BL239" s="148"/>
      <c r="BM239" s="146"/>
      <c r="BP239" s="148"/>
      <c r="BQ239" s="146"/>
      <c r="BV239" s="148"/>
      <c r="BW239" s="146"/>
      <c r="CC239" s="146"/>
      <c r="CH239" s="148"/>
      <c r="CI239" s="146"/>
    </row>
    <row r="240">
      <c r="C240" s="146"/>
      <c r="I240" s="163"/>
      <c r="J240" s="163"/>
      <c r="K240" s="163"/>
      <c r="Q240" s="148"/>
      <c r="AF240" s="148"/>
      <c r="AG240" s="146"/>
      <c r="AK240" s="148"/>
      <c r="AL240" s="146"/>
      <c r="AO240" s="163"/>
      <c r="AP240" s="163"/>
      <c r="AS240" s="148"/>
      <c r="AT240" s="146"/>
      <c r="BE240" s="148"/>
      <c r="BF240" s="146"/>
      <c r="BL240" s="148"/>
      <c r="BM240" s="146"/>
      <c r="BP240" s="148"/>
      <c r="BQ240" s="146"/>
      <c r="BV240" s="148"/>
      <c r="BW240" s="146"/>
      <c r="CC240" s="146"/>
      <c r="CH240" s="148"/>
      <c r="CI240" s="146"/>
    </row>
    <row r="241">
      <c r="C241" s="146"/>
      <c r="I241" s="163"/>
      <c r="J241" s="163"/>
      <c r="K241" s="163"/>
      <c r="Q241" s="148"/>
      <c r="AF241" s="148"/>
      <c r="AG241" s="146"/>
      <c r="AK241" s="148"/>
      <c r="AL241" s="146"/>
      <c r="AO241" s="163"/>
      <c r="AP241" s="163"/>
      <c r="AS241" s="148"/>
      <c r="AT241" s="146"/>
      <c r="BE241" s="148"/>
      <c r="BF241" s="146"/>
      <c r="BL241" s="148"/>
      <c r="BM241" s="146"/>
      <c r="BP241" s="148"/>
      <c r="BQ241" s="146"/>
      <c r="BV241" s="148"/>
      <c r="BW241" s="146"/>
      <c r="CC241" s="146"/>
      <c r="CH241" s="148"/>
      <c r="CI241" s="146"/>
    </row>
    <row r="242">
      <c r="C242" s="146"/>
      <c r="I242" s="163"/>
      <c r="J242" s="163"/>
      <c r="K242" s="163"/>
      <c r="Q242" s="148"/>
      <c r="AF242" s="148"/>
      <c r="AG242" s="146"/>
      <c r="AK242" s="148"/>
      <c r="AL242" s="146"/>
      <c r="AO242" s="163"/>
      <c r="AP242" s="163"/>
      <c r="AS242" s="148"/>
      <c r="AT242" s="146"/>
      <c r="BE242" s="148"/>
      <c r="BF242" s="146"/>
      <c r="BL242" s="148"/>
      <c r="BM242" s="146"/>
      <c r="BP242" s="148"/>
      <c r="BQ242" s="146"/>
      <c r="BV242" s="148"/>
      <c r="BW242" s="146"/>
      <c r="CC242" s="146"/>
      <c r="CH242" s="148"/>
      <c r="CI242" s="146"/>
    </row>
    <row r="243">
      <c r="C243" s="146"/>
      <c r="I243" s="163"/>
      <c r="J243" s="163"/>
      <c r="K243" s="163"/>
      <c r="Q243" s="148"/>
      <c r="AF243" s="148"/>
      <c r="AG243" s="146"/>
      <c r="AK243" s="148"/>
      <c r="AL243" s="146"/>
      <c r="AO243" s="163"/>
      <c r="AP243" s="163"/>
      <c r="AS243" s="148"/>
      <c r="AT243" s="146"/>
      <c r="BE243" s="148"/>
      <c r="BF243" s="146"/>
      <c r="BL243" s="148"/>
      <c r="BM243" s="146"/>
      <c r="BP243" s="148"/>
      <c r="BQ243" s="146"/>
      <c r="BV243" s="148"/>
      <c r="BW243" s="146"/>
      <c r="CC243" s="146"/>
      <c r="CH243" s="148"/>
      <c r="CI243" s="146"/>
    </row>
    <row r="244">
      <c r="C244" s="146"/>
      <c r="I244" s="163"/>
      <c r="J244" s="163"/>
      <c r="K244" s="163"/>
      <c r="Q244" s="148"/>
      <c r="AF244" s="148"/>
      <c r="AG244" s="146"/>
      <c r="AK244" s="148"/>
      <c r="AL244" s="146"/>
      <c r="AO244" s="163"/>
      <c r="AP244" s="163"/>
      <c r="AS244" s="148"/>
      <c r="AT244" s="146"/>
      <c r="BE244" s="148"/>
      <c r="BF244" s="146"/>
      <c r="BL244" s="148"/>
      <c r="BM244" s="146"/>
      <c r="BP244" s="148"/>
      <c r="BQ244" s="146"/>
      <c r="BV244" s="148"/>
      <c r="BW244" s="146"/>
      <c r="CC244" s="146"/>
      <c r="CH244" s="148"/>
      <c r="CI244" s="146"/>
    </row>
    <row r="245">
      <c r="C245" s="146"/>
      <c r="I245" s="163"/>
      <c r="J245" s="163"/>
      <c r="K245" s="163"/>
      <c r="Q245" s="148"/>
      <c r="AF245" s="148"/>
      <c r="AG245" s="146"/>
      <c r="AK245" s="148"/>
      <c r="AL245" s="146"/>
      <c r="AO245" s="163"/>
      <c r="AP245" s="163"/>
      <c r="AS245" s="148"/>
      <c r="AT245" s="146"/>
      <c r="BE245" s="148"/>
      <c r="BF245" s="146"/>
      <c r="BL245" s="148"/>
      <c r="BM245" s="146"/>
      <c r="BP245" s="148"/>
      <c r="BQ245" s="146"/>
      <c r="BV245" s="148"/>
      <c r="BW245" s="146"/>
      <c r="CC245" s="146"/>
      <c r="CH245" s="148"/>
      <c r="CI245" s="146"/>
    </row>
    <row r="246">
      <c r="C246" s="146"/>
      <c r="I246" s="163"/>
      <c r="J246" s="163"/>
      <c r="K246" s="163"/>
      <c r="Q246" s="148"/>
      <c r="AF246" s="148"/>
      <c r="AG246" s="146"/>
      <c r="AK246" s="148"/>
      <c r="AL246" s="146"/>
      <c r="AO246" s="163"/>
      <c r="AP246" s="163"/>
      <c r="AS246" s="148"/>
      <c r="AT246" s="146"/>
      <c r="BE246" s="148"/>
      <c r="BF246" s="146"/>
      <c r="BL246" s="148"/>
      <c r="BM246" s="146"/>
      <c r="BP246" s="148"/>
      <c r="BQ246" s="146"/>
      <c r="BV246" s="148"/>
      <c r="BW246" s="146"/>
      <c r="CC246" s="146"/>
      <c r="CH246" s="148"/>
      <c r="CI246" s="146"/>
    </row>
    <row r="247">
      <c r="C247" s="146"/>
      <c r="I247" s="163"/>
      <c r="J247" s="163"/>
      <c r="K247" s="163"/>
      <c r="Q247" s="148"/>
      <c r="AF247" s="148"/>
      <c r="AG247" s="146"/>
      <c r="AK247" s="148"/>
      <c r="AL247" s="146"/>
      <c r="AO247" s="163"/>
      <c r="AP247" s="163"/>
      <c r="AS247" s="148"/>
      <c r="AT247" s="146"/>
      <c r="BE247" s="148"/>
      <c r="BF247" s="146"/>
      <c r="BL247" s="148"/>
      <c r="BM247" s="146"/>
      <c r="BP247" s="148"/>
      <c r="BQ247" s="146"/>
      <c r="BV247" s="148"/>
      <c r="BW247" s="146"/>
      <c r="CC247" s="146"/>
      <c r="CH247" s="148"/>
      <c r="CI247" s="146"/>
    </row>
    <row r="248">
      <c r="C248" s="146"/>
      <c r="I248" s="163"/>
      <c r="J248" s="163"/>
      <c r="K248" s="163"/>
      <c r="Q248" s="148"/>
      <c r="AF248" s="148"/>
      <c r="AG248" s="146"/>
      <c r="AK248" s="148"/>
      <c r="AL248" s="146"/>
      <c r="AO248" s="163"/>
      <c r="AP248" s="163"/>
      <c r="AS248" s="148"/>
      <c r="AT248" s="146"/>
      <c r="BE248" s="148"/>
      <c r="BF248" s="146"/>
      <c r="BL248" s="148"/>
      <c r="BM248" s="146"/>
      <c r="BP248" s="148"/>
      <c r="BQ248" s="146"/>
      <c r="BV248" s="148"/>
      <c r="BW248" s="146"/>
      <c r="CC248" s="146"/>
      <c r="CH248" s="148"/>
      <c r="CI248" s="146"/>
    </row>
    <row r="249">
      <c r="C249" s="146"/>
      <c r="I249" s="163"/>
      <c r="J249" s="163"/>
      <c r="K249" s="163"/>
      <c r="Q249" s="148"/>
      <c r="AF249" s="148"/>
      <c r="AG249" s="146"/>
      <c r="AK249" s="148"/>
      <c r="AL249" s="146"/>
      <c r="AO249" s="163"/>
      <c r="AP249" s="163"/>
      <c r="AS249" s="148"/>
      <c r="AT249" s="146"/>
      <c r="BE249" s="148"/>
      <c r="BF249" s="146"/>
      <c r="BL249" s="148"/>
      <c r="BM249" s="146"/>
      <c r="BP249" s="148"/>
      <c r="BQ249" s="146"/>
      <c r="BV249" s="148"/>
      <c r="BW249" s="146"/>
      <c r="CC249" s="146"/>
      <c r="CH249" s="148"/>
      <c r="CI249" s="146"/>
    </row>
    <row r="250">
      <c r="C250" s="146"/>
      <c r="I250" s="163"/>
      <c r="J250" s="163"/>
      <c r="K250" s="163"/>
      <c r="Q250" s="148"/>
      <c r="AF250" s="148"/>
      <c r="AG250" s="146"/>
      <c r="AK250" s="148"/>
      <c r="AL250" s="146"/>
      <c r="AO250" s="163"/>
      <c r="AP250" s="163"/>
      <c r="AS250" s="148"/>
      <c r="AT250" s="146"/>
      <c r="BE250" s="148"/>
      <c r="BF250" s="146"/>
      <c r="BL250" s="148"/>
      <c r="BM250" s="146"/>
      <c r="BP250" s="148"/>
      <c r="BQ250" s="146"/>
      <c r="BV250" s="148"/>
      <c r="BW250" s="146"/>
      <c r="CC250" s="146"/>
      <c r="CH250" s="148"/>
      <c r="CI250" s="146"/>
    </row>
    <row r="251">
      <c r="C251" s="146"/>
      <c r="I251" s="163"/>
      <c r="J251" s="163"/>
      <c r="K251" s="163"/>
      <c r="Q251" s="148"/>
      <c r="AF251" s="148"/>
      <c r="AG251" s="146"/>
      <c r="AK251" s="148"/>
      <c r="AL251" s="146"/>
      <c r="AO251" s="163"/>
      <c r="AP251" s="163"/>
      <c r="AS251" s="148"/>
      <c r="AT251" s="146"/>
      <c r="BE251" s="148"/>
      <c r="BF251" s="146"/>
      <c r="BL251" s="148"/>
      <c r="BM251" s="146"/>
      <c r="BP251" s="148"/>
      <c r="BQ251" s="146"/>
      <c r="BV251" s="148"/>
      <c r="BW251" s="146"/>
      <c r="CC251" s="146"/>
      <c r="CH251" s="148"/>
      <c r="CI251" s="146"/>
    </row>
    <row r="252">
      <c r="C252" s="146"/>
      <c r="I252" s="163"/>
      <c r="J252" s="163"/>
      <c r="K252" s="163"/>
      <c r="Q252" s="148"/>
      <c r="AF252" s="148"/>
      <c r="AG252" s="146"/>
      <c r="AK252" s="148"/>
      <c r="AL252" s="146"/>
      <c r="AO252" s="163"/>
      <c r="AP252" s="163"/>
      <c r="AS252" s="148"/>
      <c r="AT252" s="146"/>
      <c r="BE252" s="148"/>
      <c r="BF252" s="146"/>
      <c r="BL252" s="148"/>
      <c r="BM252" s="146"/>
      <c r="BP252" s="148"/>
      <c r="BQ252" s="146"/>
      <c r="BV252" s="148"/>
      <c r="BW252" s="146"/>
      <c r="CC252" s="146"/>
      <c r="CH252" s="148"/>
      <c r="CI252" s="146"/>
    </row>
    <row r="253">
      <c r="C253" s="146"/>
      <c r="I253" s="163"/>
      <c r="J253" s="163"/>
      <c r="K253" s="163"/>
      <c r="Q253" s="148"/>
      <c r="AF253" s="148"/>
      <c r="AG253" s="146"/>
      <c r="AK253" s="148"/>
      <c r="AL253" s="146"/>
      <c r="AO253" s="163"/>
      <c r="AP253" s="163"/>
      <c r="AS253" s="148"/>
      <c r="AT253" s="146"/>
      <c r="BE253" s="148"/>
      <c r="BF253" s="146"/>
      <c r="BL253" s="148"/>
      <c r="BM253" s="146"/>
      <c r="BP253" s="148"/>
      <c r="BQ253" s="146"/>
      <c r="BV253" s="148"/>
      <c r="BW253" s="146"/>
      <c r="CC253" s="146"/>
      <c r="CH253" s="148"/>
      <c r="CI253" s="146"/>
    </row>
    <row r="254">
      <c r="C254" s="146"/>
      <c r="I254" s="163"/>
      <c r="J254" s="163"/>
      <c r="K254" s="163"/>
      <c r="Q254" s="148"/>
      <c r="AF254" s="148"/>
      <c r="AG254" s="146"/>
      <c r="AK254" s="148"/>
      <c r="AL254" s="146"/>
      <c r="AO254" s="163"/>
      <c r="AP254" s="163"/>
      <c r="AS254" s="148"/>
      <c r="AT254" s="146"/>
      <c r="BE254" s="148"/>
      <c r="BF254" s="146"/>
      <c r="BL254" s="148"/>
      <c r="BM254" s="146"/>
      <c r="BP254" s="148"/>
      <c r="BQ254" s="146"/>
      <c r="BV254" s="148"/>
      <c r="BW254" s="146"/>
      <c r="CC254" s="146"/>
      <c r="CH254" s="148"/>
      <c r="CI254" s="146"/>
    </row>
    <row r="255">
      <c r="C255" s="146"/>
      <c r="I255" s="163"/>
      <c r="J255" s="163"/>
      <c r="K255" s="163"/>
      <c r="Q255" s="148"/>
      <c r="AF255" s="148"/>
      <c r="AG255" s="146"/>
      <c r="AK255" s="148"/>
      <c r="AL255" s="146"/>
      <c r="AO255" s="163"/>
      <c r="AP255" s="163"/>
      <c r="AS255" s="148"/>
      <c r="AT255" s="146"/>
      <c r="BE255" s="148"/>
      <c r="BF255" s="146"/>
      <c r="BL255" s="148"/>
      <c r="BM255" s="146"/>
      <c r="BP255" s="148"/>
      <c r="BQ255" s="146"/>
      <c r="BV255" s="148"/>
      <c r="BW255" s="146"/>
      <c r="CC255" s="146"/>
      <c r="CH255" s="148"/>
      <c r="CI255" s="146"/>
    </row>
    <row r="256">
      <c r="C256" s="146"/>
      <c r="I256" s="163"/>
      <c r="J256" s="163"/>
      <c r="K256" s="163"/>
      <c r="Q256" s="148"/>
      <c r="AF256" s="148"/>
      <c r="AG256" s="146"/>
      <c r="AK256" s="148"/>
      <c r="AL256" s="146"/>
      <c r="AO256" s="163"/>
      <c r="AP256" s="163"/>
      <c r="AS256" s="148"/>
      <c r="AT256" s="146"/>
      <c r="BE256" s="148"/>
      <c r="BF256" s="146"/>
      <c r="BL256" s="148"/>
      <c r="BM256" s="146"/>
      <c r="BP256" s="148"/>
      <c r="BQ256" s="146"/>
      <c r="BV256" s="148"/>
      <c r="BW256" s="146"/>
      <c r="CC256" s="146"/>
      <c r="CH256" s="148"/>
      <c r="CI256" s="146"/>
    </row>
    <row r="257">
      <c r="C257" s="146"/>
      <c r="I257" s="163"/>
      <c r="J257" s="163"/>
      <c r="K257" s="163"/>
      <c r="Q257" s="148"/>
      <c r="AF257" s="148"/>
      <c r="AG257" s="146"/>
      <c r="AK257" s="148"/>
      <c r="AL257" s="146"/>
      <c r="AO257" s="163"/>
      <c r="AP257" s="163"/>
      <c r="AS257" s="148"/>
      <c r="AT257" s="146"/>
      <c r="BE257" s="148"/>
      <c r="BF257" s="146"/>
      <c r="BL257" s="148"/>
      <c r="BM257" s="146"/>
      <c r="BP257" s="148"/>
      <c r="BQ257" s="146"/>
      <c r="BV257" s="148"/>
      <c r="BW257" s="146"/>
      <c r="CC257" s="146"/>
      <c r="CH257" s="148"/>
      <c r="CI257" s="146"/>
    </row>
    <row r="258">
      <c r="C258" s="146"/>
      <c r="I258" s="163"/>
      <c r="J258" s="163"/>
      <c r="K258" s="163"/>
      <c r="Q258" s="148"/>
      <c r="AF258" s="148"/>
      <c r="AG258" s="146"/>
      <c r="AK258" s="148"/>
      <c r="AL258" s="146"/>
      <c r="AO258" s="163"/>
      <c r="AP258" s="163"/>
      <c r="AS258" s="148"/>
      <c r="AT258" s="146"/>
      <c r="BE258" s="148"/>
      <c r="BF258" s="146"/>
      <c r="BL258" s="148"/>
      <c r="BM258" s="146"/>
      <c r="BP258" s="148"/>
      <c r="BQ258" s="146"/>
      <c r="BV258" s="148"/>
      <c r="BW258" s="146"/>
      <c r="CC258" s="146"/>
      <c r="CH258" s="148"/>
      <c r="CI258" s="146"/>
    </row>
    <row r="259">
      <c r="C259" s="146"/>
      <c r="I259" s="163"/>
      <c r="J259" s="163"/>
      <c r="K259" s="163"/>
      <c r="Q259" s="148"/>
      <c r="AF259" s="148"/>
      <c r="AG259" s="146"/>
      <c r="AK259" s="148"/>
      <c r="AL259" s="146"/>
      <c r="AO259" s="163"/>
      <c r="AP259" s="163"/>
      <c r="AS259" s="148"/>
      <c r="AT259" s="146"/>
      <c r="BE259" s="148"/>
      <c r="BF259" s="146"/>
      <c r="BL259" s="148"/>
      <c r="BM259" s="146"/>
      <c r="BP259" s="148"/>
      <c r="BQ259" s="146"/>
      <c r="BV259" s="148"/>
      <c r="BW259" s="146"/>
      <c r="CC259" s="146"/>
      <c r="CH259" s="148"/>
      <c r="CI259" s="146"/>
    </row>
    <row r="260">
      <c r="C260" s="146"/>
      <c r="I260" s="163"/>
      <c r="J260" s="163"/>
      <c r="K260" s="163"/>
      <c r="Q260" s="148"/>
      <c r="AF260" s="148"/>
      <c r="AG260" s="146"/>
      <c r="AK260" s="148"/>
      <c r="AL260" s="146"/>
      <c r="AO260" s="163"/>
      <c r="AP260" s="163"/>
      <c r="AS260" s="148"/>
      <c r="AT260" s="146"/>
      <c r="BE260" s="148"/>
      <c r="BF260" s="146"/>
      <c r="BL260" s="148"/>
      <c r="BM260" s="146"/>
      <c r="BP260" s="148"/>
      <c r="BQ260" s="146"/>
      <c r="BV260" s="148"/>
      <c r="BW260" s="146"/>
      <c r="CC260" s="146"/>
      <c r="CH260" s="148"/>
      <c r="CI260" s="146"/>
    </row>
    <row r="261">
      <c r="C261" s="146"/>
      <c r="I261" s="163"/>
      <c r="J261" s="163"/>
      <c r="K261" s="163"/>
      <c r="Q261" s="148"/>
      <c r="AF261" s="148"/>
      <c r="AG261" s="146"/>
      <c r="AK261" s="148"/>
      <c r="AL261" s="146"/>
      <c r="AO261" s="163"/>
      <c r="AP261" s="163"/>
      <c r="AS261" s="148"/>
      <c r="AT261" s="146"/>
      <c r="BE261" s="148"/>
      <c r="BF261" s="146"/>
      <c r="BL261" s="148"/>
      <c r="BM261" s="146"/>
      <c r="BP261" s="148"/>
      <c r="BQ261" s="146"/>
      <c r="BV261" s="148"/>
      <c r="BW261" s="146"/>
      <c r="CC261" s="146"/>
      <c r="CH261" s="148"/>
      <c r="CI261" s="146"/>
    </row>
    <row r="262">
      <c r="C262" s="146"/>
      <c r="I262" s="163"/>
      <c r="J262" s="163"/>
      <c r="K262" s="163"/>
      <c r="Q262" s="148"/>
      <c r="AF262" s="148"/>
      <c r="AG262" s="146"/>
      <c r="AK262" s="148"/>
      <c r="AL262" s="146"/>
      <c r="AO262" s="163"/>
      <c r="AP262" s="163"/>
      <c r="AS262" s="148"/>
      <c r="AT262" s="146"/>
      <c r="BE262" s="148"/>
      <c r="BF262" s="146"/>
      <c r="BL262" s="148"/>
      <c r="BM262" s="146"/>
      <c r="BP262" s="148"/>
      <c r="BQ262" s="146"/>
      <c r="BV262" s="148"/>
      <c r="BW262" s="146"/>
      <c r="CC262" s="146"/>
      <c r="CH262" s="148"/>
      <c r="CI262" s="146"/>
    </row>
    <row r="263">
      <c r="C263" s="146"/>
      <c r="I263" s="163"/>
      <c r="J263" s="163"/>
      <c r="K263" s="163"/>
      <c r="Q263" s="148"/>
      <c r="AF263" s="148"/>
      <c r="AG263" s="146"/>
      <c r="AK263" s="148"/>
      <c r="AL263" s="146"/>
      <c r="AO263" s="163"/>
      <c r="AP263" s="163"/>
      <c r="AS263" s="148"/>
      <c r="AT263" s="146"/>
      <c r="BE263" s="148"/>
      <c r="BF263" s="146"/>
      <c r="BL263" s="148"/>
      <c r="BM263" s="146"/>
      <c r="BP263" s="148"/>
      <c r="BQ263" s="146"/>
      <c r="BV263" s="148"/>
      <c r="BW263" s="146"/>
      <c r="CC263" s="146"/>
      <c r="CH263" s="148"/>
      <c r="CI263" s="146"/>
    </row>
    <row r="264">
      <c r="C264" s="146"/>
      <c r="I264" s="163"/>
      <c r="J264" s="163"/>
      <c r="K264" s="163"/>
      <c r="Q264" s="148"/>
      <c r="AF264" s="148"/>
      <c r="AG264" s="146"/>
      <c r="AK264" s="148"/>
      <c r="AL264" s="146"/>
      <c r="AO264" s="163"/>
      <c r="AP264" s="163"/>
      <c r="AS264" s="148"/>
      <c r="AT264" s="146"/>
      <c r="BE264" s="148"/>
      <c r="BF264" s="146"/>
      <c r="BL264" s="148"/>
      <c r="BM264" s="146"/>
      <c r="BP264" s="148"/>
      <c r="BQ264" s="146"/>
      <c r="BV264" s="148"/>
      <c r="BW264" s="146"/>
      <c r="CC264" s="146"/>
      <c r="CH264" s="148"/>
      <c r="CI264" s="146"/>
    </row>
    <row r="265">
      <c r="C265" s="146"/>
      <c r="I265" s="163"/>
      <c r="J265" s="163"/>
      <c r="K265" s="163"/>
      <c r="Q265" s="148"/>
      <c r="AF265" s="148"/>
      <c r="AG265" s="146"/>
      <c r="AK265" s="148"/>
      <c r="AL265" s="146"/>
      <c r="AO265" s="163"/>
      <c r="AP265" s="163"/>
      <c r="AS265" s="148"/>
      <c r="AT265" s="146"/>
      <c r="BE265" s="148"/>
      <c r="BF265" s="146"/>
      <c r="BL265" s="148"/>
      <c r="BM265" s="146"/>
      <c r="BP265" s="148"/>
      <c r="BQ265" s="146"/>
      <c r="BV265" s="148"/>
      <c r="BW265" s="146"/>
      <c r="CC265" s="146"/>
      <c r="CH265" s="148"/>
      <c r="CI265" s="146"/>
    </row>
    <row r="266">
      <c r="C266" s="146"/>
      <c r="I266" s="163"/>
      <c r="J266" s="163"/>
      <c r="K266" s="163"/>
      <c r="Q266" s="148"/>
      <c r="AF266" s="148"/>
      <c r="AG266" s="146"/>
      <c r="AK266" s="148"/>
      <c r="AL266" s="146"/>
      <c r="AO266" s="163"/>
      <c r="AP266" s="163"/>
      <c r="AS266" s="148"/>
      <c r="AT266" s="146"/>
      <c r="BE266" s="148"/>
      <c r="BF266" s="146"/>
      <c r="BL266" s="148"/>
      <c r="BM266" s="146"/>
      <c r="BP266" s="148"/>
      <c r="BQ266" s="146"/>
      <c r="BV266" s="148"/>
      <c r="BW266" s="146"/>
      <c r="CC266" s="146"/>
      <c r="CH266" s="148"/>
      <c r="CI266" s="146"/>
    </row>
    <row r="267">
      <c r="C267" s="146"/>
      <c r="I267" s="163"/>
      <c r="J267" s="163"/>
      <c r="K267" s="163"/>
      <c r="Q267" s="148"/>
      <c r="AF267" s="148"/>
      <c r="AG267" s="146"/>
      <c r="AK267" s="148"/>
      <c r="AL267" s="146"/>
      <c r="AO267" s="163"/>
      <c r="AP267" s="163"/>
      <c r="AS267" s="148"/>
      <c r="AT267" s="146"/>
      <c r="BE267" s="148"/>
      <c r="BF267" s="146"/>
      <c r="BL267" s="148"/>
      <c r="BM267" s="146"/>
      <c r="BP267" s="148"/>
      <c r="BQ267" s="146"/>
      <c r="BV267" s="148"/>
      <c r="BW267" s="146"/>
      <c r="CC267" s="146"/>
      <c r="CH267" s="148"/>
      <c r="CI267" s="146"/>
    </row>
    <row r="268">
      <c r="C268" s="146"/>
      <c r="I268" s="163"/>
      <c r="J268" s="163"/>
      <c r="K268" s="163"/>
      <c r="Q268" s="148"/>
      <c r="AF268" s="148"/>
      <c r="AG268" s="146"/>
      <c r="AK268" s="148"/>
      <c r="AL268" s="146"/>
      <c r="AO268" s="163"/>
      <c r="AP268" s="163"/>
      <c r="AS268" s="148"/>
      <c r="AT268" s="146"/>
      <c r="BE268" s="148"/>
      <c r="BF268" s="146"/>
      <c r="BL268" s="148"/>
      <c r="BM268" s="146"/>
      <c r="BP268" s="148"/>
      <c r="BQ268" s="146"/>
      <c r="BV268" s="148"/>
      <c r="BW268" s="146"/>
      <c r="CC268" s="146"/>
      <c r="CH268" s="148"/>
      <c r="CI268" s="146"/>
    </row>
    <row r="269">
      <c r="C269" s="146"/>
      <c r="I269" s="163"/>
      <c r="J269" s="163"/>
      <c r="K269" s="163"/>
      <c r="Q269" s="148"/>
      <c r="AF269" s="148"/>
      <c r="AG269" s="146"/>
      <c r="AK269" s="148"/>
      <c r="AL269" s="146"/>
      <c r="AO269" s="163"/>
      <c r="AP269" s="163"/>
      <c r="AS269" s="148"/>
      <c r="AT269" s="146"/>
      <c r="BE269" s="148"/>
      <c r="BF269" s="146"/>
      <c r="BL269" s="148"/>
      <c r="BM269" s="146"/>
      <c r="BP269" s="148"/>
      <c r="BQ269" s="146"/>
      <c r="BV269" s="148"/>
      <c r="BW269" s="146"/>
      <c r="CC269" s="146"/>
      <c r="CH269" s="148"/>
      <c r="CI269" s="146"/>
    </row>
    <row r="270">
      <c r="C270" s="146"/>
      <c r="I270" s="163"/>
      <c r="J270" s="163"/>
      <c r="K270" s="163"/>
      <c r="Q270" s="148"/>
      <c r="AF270" s="148"/>
      <c r="AG270" s="146"/>
      <c r="AK270" s="148"/>
      <c r="AL270" s="146"/>
      <c r="AO270" s="163"/>
      <c r="AP270" s="163"/>
      <c r="AS270" s="148"/>
      <c r="AT270" s="146"/>
      <c r="BE270" s="148"/>
      <c r="BF270" s="146"/>
      <c r="BL270" s="148"/>
      <c r="BM270" s="146"/>
      <c r="BP270" s="148"/>
      <c r="BQ270" s="146"/>
      <c r="BV270" s="148"/>
      <c r="BW270" s="146"/>
      <c r="CC270" s="146"/>
      <c r="CH270" s="148"/>
      <c r="CI270" s="146"/>
    </row>
    <row r="271">
      <c r="C271" s="146"/>
      <c r="I271" s="163"/>
      <c r="J271" s="163"/>
      <c r="K271" s="163"/>
      <c r="Q271" s="148"/>
      <c r="AF271" s="148"/>
      <c r="AG271" s="146"/>
      <c r="AK271" s="148"/>
      <c r="AL271" s="146"/>
      <c r="AO271" s="163"/>
      <c r="AP271" s="163"/>
      <c r="AS271" s="148"/>
      <c r="AT271" s="146"/>
      <c r="BE271" s="148"/>
      <c r="BF271" s="146"/>
      <c r="BL271" s="148"/>
      <c r="BM271" s="146"/>
      <c r="BP271" s="148"/>
      <c r="BQ271" s="146"/>
      <c r="BV271" s="148"/>
      <c r="BW271" s="146"/>
      <c r="CC271" s="146"/>
      <c r="CH271" s="148"/>
      <c r="CI271" s="146"/>
    </row>
    <row r="272">
      <c r="C272" s="146"/>
      <c r="I272" s="163"/>
      <c r="J272" s="163"/>
      <c r="K272" s="163"/>
      <c r="Q272" s="148"/>
      <c r="AF272" s="148"/>
      <c r="AG272" s="146"/>
      <c r="AK272" s="148"/>
      <c r="AL272" s="146"/>
      <c r="AO272" s="163"/>
      <c r="AP272" s="163"/>
      <c r="AS272" s="148"/>
      <c r="AT272" s="146"/>
      <c r="BE272" s="148"/>
      <c r="BF272" s="146"/>
      <c r="BL272" s="148"/>
      <c r="BM272" s="146"/>
      <c r="BP272" s="148"/>
      <c r="BQ272" s="146"/>
      <c r="BV272" s="148"/>
      <c r="BW272" s="146"/>
      <c r="CC272" s="146"/>
      <c r="CH272" s="148"/>
      <c r="CI272" s="146"/>
    </row>
    <row r="273">
      <c r="C273" s="146"/>
      <c r="I273" s="163"/>
      <c r="J273" s="163"/>
      <c r="K273" s="163"/>
      <c r="Q273" s="148"/>
      <c r="AF273" s="148"/>
      <c r="AG273" s="146"/>
      <c r="AK273" s="148"/>
      <c r="AL273" s="146"/>
      <c r="AO273" s="163"/>
      <c r="AP273" s="163"/>
      <c r="AS273" s="148"/>
      <c r="AT273" s="146"/>
      <c r="BE273" s="148"/>
      <c r="BF273" s="146"/>
      <c r="BL273" s="148"/>
      <c r="BM273" s="146"/>
      <c r="BP273" s="148"/>
      <c r="BQ273" s="146"/>
      <c r="BV273" s="148"/>
      <c r="BW273" s="146"/>
      <c r="CC273" s="146"/>
      <c r="CH273" s="148"/>
      <c r="CI273" s="146"/>
    </row>
    <row r="274">
      <c r="C274" s="146"/>
      <c r="I274" s="163"/>
      <c r="J274" s="163"/>
      <c r="K274" s="163"/>
      <c r="Q274" s="148"/>
      <c r="AF274" s="148"/>
      <c r="AG274" s="146"/>
      <c r="AK274" s="148"/>
      <c r="AL274" s="146"/>
      <c r="AO274" s="163"/>
      <c r="AP274" s="163"/>
      <c r="AS274" s="148"/>
      <c r="AT274" s="146"/>
      <c r="BE274" s="148"/>
      <c r="BF274" s="146"/>
      <c r="BL274" s="148"/>
      <c r="BM274" s="146"/>
      <c r="BP274" s="148"/>
      <c r="BQ274" s="146"/>
      <c r="BV274" s="148"/>
      <c r="BW274" s="146"/>
      <c r="CC274" s="146"/>
      <c r="CH274" s="148"/>
      <c r="CI274" s="146"/>
    </row>
    <row r="275">
      <c r="C275" s="146"/>
      <c r="I275" s="163"/>
      <c r="J275" s="163"/>
      <c r="K275" s="163"/>
      <c r="Q275" s="148"/>
      <c r="AF275" s="148"/>
      <c r="AG275" s="146"/>
      <c r="AK275" s="148"/>
      <c r="AL275" s="146"/>
      <c r="AO275" s="163"/>
      <c r="AP275" s="163"/>
      <c r="AS275" s="148"/>
      <c r="AT275" s="146"/>
      <c r="BE275" s="148"/>
      <c r="BF275" s="146"/>
      <c r="BL275" s="148"/>
      <c r="BM275" s="146"/>
      <c r="BP275" s="148"/>
      <c r="BQ275" s="146"/>
      <c r="BV275" s="148"/>
      <c r="BW275" s="146"/>
      <c r="CC275" s="146"/>
      <c r="CH275" s="148"/>
      <c r="CI275" s="146"/>
    </row>
    <row r="276">
      <c r="C276" s="146"/>
      <c r="I276" s="163"/>
      <c r="J276" s="163"/>
      <c r="K276" s="163"/>
      <c r="Q276" s="148"/>
      <c r="AF276" s="148"/>
      <c r="AG276" s="146"/>
      <c r="AK276" s="148"/>
      <c r="AL276" s="146"/>
      <c r="AO276" s="163"/>
      <c r="AP276" s="163"/>
      <c r="AS276" s="148"/>
      <c r="AT276" s="146"/>
      <c r="BE276" s="148"/>
      <c r="BF276" s="146"/>
      <c r="BL276" s="148"/>
      <c r="BM276" s="146"/>
      <c r="BP276" s="148"/>
      <c r="BQ276" s="146"/>
      <c r="BV276" s="148"/>
      <c r="BW276" s="146"/>
      <c r="CC276" s="146"/>
      <c r="CH276" s="148"/>
      <c r="CI276" s="146"/>
    </row>
    <row r="277">
      <c r="C277" s="146"/>
      <c r="I277" s="163"/>
      <c r="J277" s="163"/>
      <c r="K277" s="163"/>
      <c r="Q277" s="148"/>
      <c r="AF277" s="148"/>
      <c r="AG277" s="146"/>
      <c r="AK277" s="148"/>
      <c r="AL277" s="146"/>
      <c r="AO277" s="163"/>
      <c r="AP277" s="163"/>
      <c r="AS277" s="148"/>
      <c r="AT277" s="146"/>
      <c r="BE277" s="148"/>
      <c r="BF277" s="146"/>
      <c r="BL277" s="148"/>
      <c r="BM277" s="146"/>
      <c r="BP277" s="148"/>
      <c r="BQ277" s="146"/>
      <c r="BV277" s="148"/>
      <c r="BW277" s="146"/>
      <c r="CC277" s="146"/>
      <c r="CH277" s="148"/>
      <c r="CI277" s="146"/>
    </row>
    <row r="278">
      <c r="C278" s="146"/>
      <c r="I278" s="163"/>
      <c r="J278" s="163"/>
      <c r="K278" s="163"/>
      <c r="Q278" s="148"/>
      <c r="AF278" s="148"/>
      <c r="AG278" s="146"/>
      <c r="AK278" s="148"/>
      <c r="AL278" s="146"/>
      <c r="AO278" s="163"/>
      <c r="AP278" s="163"/>
      <c r="AS278" s="148"/>
      <c r="AT278" s="146"/>
      <c r="BE278" s="148"/>
      <c r="BF278" s="146"/>
      <c r="BL278" s="148"/>
      <c r="BM278" s="146"/>
      <c r="BP278" s="148"/>
      <c r="BQ278" s="146"/>
      <c r="BV278" s="148"/>
      <c r="BW278" s="146"/>
      <c r="CC278" s="146"/>
      <c r="CH278" s="148"/>
      <c r="CI278" s="146"/>
    </row>
    <row r="279">
      <c r="C279" s="146"/>
      <c r="I279" s="163"/>
      <c r="J279" s="163"/>
      <c r="K279" s="163"/>
      <c r="Q279" s="148"/>
      <c r="AF279" s="148"/>
      <c r="AG279" s="146"/>
      <c r="AK279" s="148"/>
      <c r="AL279" s="146"/>
      <c r="AO279" s="163"/>
      <c r="AP279" s="163"/>
      <c r="AS279" s="148"/>
      <c r="AT279" s="146"/>
      <c r="BE279" s="148"/>
      <c r="BF279" s="146"/>
      <c r="BL279" s="148"/>
      <c r="BM279" s="146"/>
      <c r="BP279" s="148"/>
      <c r="BQ279" s="146"/>
      <c r="BV279" s="148"/>
      <c r="BW279" s="146"/>
      <c r="CC279" s="146"/>
      <c r="CH279" s="148"/>
      <c r="CI279" s="146"/>
    </row>
    <row r="280">
      <c r="C280" s="146"/>
      <c r="I280" s="163"/>
      <c r="J280" s="163"/>
      <c r="K280" s="163"/>
      <c r="Q280" s="148"/>
      <c r="AF280" s="148"/>
      <c r="AG280" s="146"/>
      <c r="AK280" s="148"/>
      <c r="AL280" s="146"/>
      <c r="AO280" s="163"/>
      <c r="AP280" s="163"/>
      <c r="AS280" s="148"/>
      <c r="AT280" s="146"/>
      <c r="BE280" s="148"/>
      <c r="BF280" s="146"/>
      <c r="BL280" s="148"/>
      <c r="BM280" s="146"/>
      <c r="BP280" s="148"/>
      <c r="BQ280" s="146"/>
      <c r="BV280" s="148"/>
      <c r="BW280" s="146"/>
      <c r="CC280" s="146"/>
      <c r="CH280" s="148"/>
      <c r="CI280" s="146"/>
    </row>
    <row r="281">
      <c r="C281" s="146"/>
      <c r="I281" s="163"/>
      <c r="J281" s="163"/>
      <c r="K281" s="163"/>
      <c r="Q281" s="148"/>
      <c r="AF281" s="148"/>
      <c r="AG281" s="146"/>
      <c r="AK281" s="148"/>
      <c r="AL281" s="146"/>
      <c r="AO281" s="163"/>
      <c r="AP281" s="163"/>
      <c r="AS281" s="148"/>
      <c r="AT281" s="146"/>
      <c r="BE281" s="148"/>
      <c r="BF281" s="146"/>
      <c r="BL281" s="148"/>
      <c r="BM281" s="146"/>
      <c r="BP281" s="148"/>
      <c r="BQ281" s="146"/>
      <c r="BV281" s="148"/>
      <c r="BW281" s="146"/>
      <c r="CC281" s="146"/>
      <c r="CH281" s="148"/>
      <c r="CI281" s="146"/>
    </row>
    <row r="282">
      <c r="C282" s="146"/>
      <c r="I282" s="163"/>
      <c r="J282" s="163"/>
      <c r="K282" s="163"/>
      <c r="Q282" s="148"/>
      <c r="AF282" s="148"/>
      <c r="AG282" s="146"/>
      <c r="AK282" s="148"/>
      <c r="AL282" s="146"/>
      <c r="AO282" s="163"/>
      <c r="AP282" s="163"/>
      <c r="AS282" s="148"/>
      <c r="AT282" s="146"/>
      <c r="BE282" s="148"/>
      <c r="BF282" s="146"/>
      <c r="BL282" s="148"/>
      <c r="BM282" s="146"/>
      <c r="BP282" s="148"/>
      <c r="BQ282" s="146"/>
      <c r="BV282" s="148"/>
      <c r="BW282" s="146"/>
      <c r="CC282" s="146"/>
      <c r="CH282" s="148"/>
      <c r="CI282" s="146"/>
    </row>
    <row r="283">
      <c r="C283" s="146"/>
      <c r="I283" s="163"/>
      <c r="J283" s="163"/>
      <c r="K283" s="163"/>
      <c r="Q283" s="148"/>
      <c r="AF283" s="148"/>
      <c r="AG283" s="146"/>
      <c r="AK283" s="148"/>
      <c r="AL283" s="146"/>
      <c r="AO283" s="163"/>
      <c r="AP283" s="163"/>
      <c r="AS283" s="148"/>
      <c r="AT283" s="146"/>
      <c r="BE283" s="148"/>
      <c r="BF283" s="146"/>
      <c r="BL283" s="148"/>
      <c r="BM283" s="146"/>
      <c r="BP283" s="148"/>
      <c r="BQ283" s="146"/>
      <c r="BV283" s="148"/>
      <c r="BW283" s="146"/>
      <c r="CC283" s="146"/>
      <c r="CH283" s="148"/>
      <c r="CI283" s="146"/>
    </row>
    <row r="284">
      <c r="C284" s="146"/>
      <c r="I284" s="163"/>
      <c r="J284" s="163"/>
      <c r="K284" s="163"/>
      <c r="Q284" s="148"/>
      <c r="AF284" s="148"/>
      <c r="AG284" s="146"/>
      <c r="AK284" s="148"/>
      <c r="AL284" s="146"/>
      <c r="AO284" s="163"/>
      <c r="AP284" s="163"/>
      <c r="AS284" s="148"/>
      <c r="AT284" s="146"/>
      <c r="BE284" s="148"/>
      <c r="BF284" s="146"/>
      <c r="BL284" s="148"/>
      <c r="BM284" s="146"/>
      <c r="BP284" s="148"/>
      <c r="BQ284" s="146"/>
      <c r="BV284" s="148"/>
      <c r="BW284" s="146"/>
      <c r="CC284" s="146"/>
      <c r="CH284" s="148"/>
      <c r="CI284" s="146"/>
    </row>
    <row r="285">
      <c r="C285" s="146"/>
      <c r="I285" s="163"/>
      <c r="J285" s="163"/>
      <c r="K285" s="163"/>
      <c r="Q285" s="148"/>
      <c r="AF285" s="148"/>
      <c r="AG285" s="146"/>
      <c r="AK285" s="148"/>
      <c r="AL285" s="146"/>
      <c r="AO285" s="163"/>
      <c r="AP285" s="163"/>
      <c r="AS285" s="148"/>
      <c r="AT285" s="146"/>
      <c r="BE285" s="148"/>
      <c r="BF285" s="146"/>
      <c r="BL285" s="148"/>
      <c r="BM285" s="146"/>
      <c r="BP285" s="148"/>
      <c r="BQ285" s="146"/>
      <c r="BV285" s="148"/>
      <c r="BW285" s="146"/>
      <c r="CC285" s="146"/>
      <c r="CH285" s="148"/>
      <c r="CI285" s="146"/>
    </row>
    <row r="286">
      <c r="C286" s="146"/>
      <c r="I286" s="163"/>
      <c r="J286" s="163"/>
      <c r="K286" s="163"/>
      <c r="Q286" s="148"/>
      <c r="AF286" s="148"/>
      <c r="AG286" s="146"/>
      <c r="AK286" s="148"/>
      <c r="AL286" s="146"/>
      <c r="AO286" s="163"/>
      <c r="AP286" s="163"/>
      <c r="AS286" s="148"/>
      <c r="AT286" s="146"/>
      <c r="BE286" s="148"/>
      <c r="BF286" s="146"/>
      <c r="BL286" s="148"/>
      <c r="BM286" s="146"/>
      <c r="BP286" s="148"/>
      <c r="BQ286" s="146"/>
      <c r="BV286" s="148"/>
      <c r="BW286" s="146"/>
      <c r="CC286" s="146"/>
      <c r="CH286" s="148"/>
      <c r="CI286" s="146"/>
    </row>
    <row r="287">
      <c r="C287" s="146"/>
      <c r="I287" s="163"/>
      <c r="J287" s="163"/>
      <c r="K287" s="163"/>
      <c r="Q287" s="148"/>
      <c r="AF287" s="148"/>
      <c r="AG287" s="146"/>
      <c r="AK287" s="148"/>
      <c r="AL287" s="146"/>
      <c r="AO287" s="163"/>
      <c r="AP287" s="163"/>
      <c r="AS287" s="148"/>
      <c r="AT287" s="146"/>
      <c r="BE287" s="148"/>
      <c r="BF287" s="146"/>
      <c r="BL287" s="148"/>
      <c r="BM287" s="146"/>
      <c r="BP287" s="148"/>
      <c r="BQ287" s="146"/>
      <c r="BV287" s="148"/>
      <c r="BW287" s="146"/>
      <c r="CC287" s="146"/>
      <c r="CH287" s="148"/>
      <c r="CI287" s="146"/>
    </row>
    <row r="288">
      <c r="C288" s="146"/>
      <c r="I288" s="163"/>
      <c r="J288" s="163"/>
      <c r="K288" s="163"/>
      <c r="Q288" s="148"/>
      <c r="AF288" s="148"/>
      <c r="AG288" s="146"/>
      <c r="AK288" s="148"/>
      <c r="AL288" s="146"/>
      <c r="AO288" s="163"/>
      <c r="AP288" s="163"/>
      <c r="AS288" s="148"/>
      <c r="AT288" s="146"/>
      <c r="BE288" s="148"/>
      <c r="BF288" s="146"/>
      <c r="BL288" s="148"/>
      <c r="BM288" s="146"/>
      <c r="BP288" s="148"/>
      <c r="BQ288" s="146"/>
      <c r="BV288" s="148"/>
      <c r="BW288" s="146"/>
      <c r="CC288" s="146"/>
      <c r="CH288" s="148"/>
      <c r="CI288" s="146"/>
    </row>
    <row r="289">
      <c r="C289" s="146"/>
      <c r="I289" s="163"/>
      <c r="J289" s="163"/>
      <c r="K289" s="163"/>
      <c r="Q289" s="148"/>
      <c r="AF289" s="148"/>
      <c r="AG289" s="146"/>
      <c r="AK289" s="148"/>
      <c r="AL289" s="146"/>
      <c r="AO289" s="163"/>
      <c r="AP289" s="163"/>
      <c r="AS289" s="148"/>
      <c r="AT289" s="146"/>
      <c r="BE289" s="148"/>
      <c r="BF289" s="146"/>
      <c r="BL289" s="148"/>
      <c r="BM289" s="146"/>
      <c r="BP289" s="148"/>
      <c r="BQ289" s="146"/>
      <c r="BV289" s="148"/>
      <c r="BW289" s="146"/>
      <c r="CC289" s="146"/>
      <c r="CH289" s="148"/>
      <c r="CI289" s="146"/>
    </row>
    <row r="290">
      <c r="C290" s="146"/>
      <c r="I290" s="163"/>
      <c r="J290" s="163"/>
      <c r="K290" s="163"/>
      <c r="Q290" s="148"/>
      <c r="AF290" s="148"/>
      <c r="AG290" s="146"/>
      <c r="AK290" s="148"/>
      <c r="AL290" s="146"/>
      <c r="AO290" s="163"/>
      <c r="AP290" s="163"/>
      <c r="AS290" s="148"/>
      <c r="AT290" s="146"/>
      <c r="BE290" s="148"/>
      <c r="BF290" s="146"/>
      <c r="BL290" s="148"/>
      <c r="BM290" s="146"/>
      <c r="BP290" s="148"/>
      <c r="BQ290" s="146"/>
      <c r="BV290" s="148"/>
      <c r="BW290" s="146"/>
      <c r="CC290" s="146"/>
      <c r="CH290" s="148"/>
      <c r="CI290" s="146"/>
    </row>
    <row r="291">
      <c r="C291" s="146"/>
      <c r="I291" s="163"/>
      <c r="J291" s="163"/>
      <c r="K291" s="163"/>
      <c r="Q291" s="148"/>
      <c r="AF291" s="148"/>
      <c r="AG291" s="146"/>
      <c r="AK291" s="148"/>
      <c r="AL291" s="146"/>
      <c r="AO291" s="163"/>
      <c r="AP291" s="163"/>
      <c r="AS291" s="148"/>
      <c r="AT291" s="146"/>
      <c r="BE291" s="148"/>
      <c r="BF291" s="146"/>
      <c r="BL291" s="148"/>
      <c r="BM291" s="146"/>
      <c r="BP291" s="148"/>
      <c r="BQ291" s="146"/>
      <c r="BV291" s="148"/>
      <c r="BW291" s="146"/>
      <c r="CC291" s="146"/>
      <c r="CH291" s="148"/>
      <c r="CI291" s="146"/>
    </row>
    <row r="292">
      <c r="C292" s="146"/>
      <c r="I292" s="163"/>
      <c r="J292" s="163"/>
      <c r="K292" s="163"/>
      <c r="Q292" s="148"/>
      <c r="AF292" s="148"/>
      <c r="AG292" s="146"/>
      <c r="AK292" s="148"/>
      <c r="AL292" s="146"/>
      <c r="AO292" s="163"/>
      <c r="AP292" s="163"/>
      <c r="AS292" s="148"/>
      <c r="AT292" s="146"/>
      <c r="BE292" s="148"/>
      <c r="BF292" s="146"/>
      <c r="BL292" s="148"/>
      <c r="BM292" s="146"/>
      <c r="BP292" s="148"/>
      <c r="BQ292" s="146"/>
      <c r="BV292" s="148"/>
      <c r="BW292" s="146"/>
      <c r="CC292" s="146"/>
      <c r="CH292" s="148"/>
      <c r="CI292" s="146"/>
    </row>
    <row r="293">
      <c r="C293" s="146"/>
      <c r="I293" s="163"/>
      <c r="J293" s="163"/>
      <c r="K293" s="163"/>
      <c r="Q293" s="148"/>
      <c r="AF293" s="148"/>
      <c r="AG293" s="146"/>
      <c r="AK293" s="148"/>
      <c r="AL293" s="146"/>
      <c r="AO293" s="163"/>
      <c r="AP293" s="163"/>
      <c r="AS293" s="148"/>
      <c r="AT293" s="146"/>
      <c r="BE293" s="148"/>
      <c r="BF293" s="146"/>
      <c r="BL293" s="148"/>
      <c r="BM293" s="146"/>
      <c r="BP293" s="148"/>
      <c r="BQ293" s="146"/>
      <c r="BV293" s="148"/>
      <c r="BW293" s="146"/>
      <c r="CC293" s="146"/>
      <c r="CH293" s="148"/>
      <c r="CI293" s="146"/>
    </row>
    <row r="294">
      <c r="C294" s="146"/>
      <c r="I294" s="163"/>
      <c r="J294" s="163"/>
      <c r="K294" s="163"/>
      <c r="Q294" s="148"/>
      <c r="AF294" s="148"/>
      <c r="AG294" s="146"/>
      <c r="AK294" s="148"/>
      <c r="AL294" s="146"/>
      <c r="AO294" s="163"/>
      <c r="AP294" s="163"/>
      <c r="AS294" s="148"/>
      <c r="AT294" s="146"/>
      <c r="BE294" s="148"/>
      <c r="BF294" s="146"/>
      <c r="BL294" s="148"/>
      <c r="BM294" s="146"/>
      <c r="BP294" s="148"/>
      <c r="BQ294" s="146"/>
      <c r="BV294" s="148"/>
      <c r="BW294" s="146"/>
      <c r="CC294" s="146"/>
      <c r="CH294" s="148"/>
      <c r="CI294" s="146"/>
    </row>
    <row r="295">
      <c r="C295" s="146"/>
      <c r="I295" s="163"/>
      <c r="J295" s="163"/>
      <c r="K295" s="163"/>
      <c r="Q295" s="148"/>
      <c r="AF295" s="148"/>
      <c r="AG295" s="146"/>
      <c r="AK295" s="148"/>
      <c r="AL295" s="146"/>
      <c r="AO295" s="163"/>
      <c r="AP295" s="163"/>
      <c r="AS295" s="148"/>
      <c r="AT295" s="146"/>
      <c r="BE295" s="148"/>
      <c r="BF295" s="146"/>
      <c r="BL295" s="148"/>
      <c r="BM295" s="146"/>
      <c r="BP295" s="148"/>
      <c r="BQ295" s="146"/>
      <c r="BV295" s="148"/>
      <c r="BW295" s="146"/>
      <c r="CC295" s="146"/>
      <c r="CH295" s="148"/>
      <c r="CI295" s="146"/>
    </row>
    <row r="296">
      <c r="C296" s="146"/>
      <c r="I296" s="163"/>
      <c r="J296" s="163"/>
      <c r="K296" s="163"/>
      <c r="Q296" s="148"/>
      <c r="AF296" s="148"/>
      <c r="AG296" s="146"/>
      <c r="AK296" s="148"/>
      <c r="AL296" s="146"/>
      <c r="AO296" s="163"/>
      <c r="AP296" s="163"/>
      <c r="AS296" s="148"/>
      <c r="AT296" s="146"/>
      <c r="BE296" s="148"/>
      <c r="BF296" s="146"/>
      <c r="BL296" s="148"/>
      <c r="BM296" s="146"/>
      <c r="BP296" s="148"/>
      <c r="BQ296" s="146"/>
      <c r="BV296" s="148"/>
      <c r="BW296" s="146"/>
      <c r="CC296" s="146"/>
      <c r="CH296" s="148"/>
      <c r="CI296" s="146"/>
    </row>
    <row r="297">
      <c r="C297" s="146"/>
      <c r="I297" s="163"/>
      <c r="J297" s="163"/>
      <c r="K297" s="163"/>
      <c r="Q297" s="148"/>
      <c r="AF297" s="148"/>
      <c r="AG297" s="146"/>
      <c r="AK297" s="148"/>
      <c r="AL297" s="146"/>
      <c r="AO297" s="163"/>
      <c r="AP297" s="163"/>
      <c r="AS297" s="148"/>
      <c r="AT297" s="146"/>
      <c r="BE297" s="148"/>
      <c r="BF297" s="146"/>
      <c r="BL297" s="148"/>
      <c r="BM297" s="146"/>
      <c r="BP297" s="148"/>
      <c r="BQ297" s="146"/>
      <c r="BV297" s="148"/>
      <c r="BW297" s="146"/>
      <c r="CC297" s="146"/>
      <c r="CH297" s="148"/>
      <c r="CI297" s="146"/>
    </row>
    <row r="298">
      <c r="C298" s="146"/>
      <c r="I298" s="163"/>
      <c r="J298" s="163"/>
      <c r="K298" s="163"/>
      <c r="Q298" s="148"/>
      <c r="AF298" s="148"/>
      <c r="AG298" s="146"/>
      <c r="AK298" s="148"/>
      <c r="AL298" s="146"/>
      <c r="AO298" s="163"/>
      <c r="AP298" s="163"/>
      <c r="AS298" s="148"/>
      <c r="AT298" s="146"/>
      <c r="BE298" s="148"/>
      <c r="BF298" s="146"/>
      <c r="BL298" s="148"/>
      <c r="BM298" s="146"/>
      <c r="BP298" s="148"/>
      <c r="BQ298" s="146"/>
      <c r="BV298" s="148"/>
      <c r="BW298" s="146"/>
      <c r="CC298" s="146"/>
      <c r="CH298" s="148"/>
      <c r="CI298" s="146"/>
    </row>
    <row r="299">
      <c r="C299" s="146"/>
      <c r="I299" s="163"/>
      <c r="J299" s="163"/>
      <c r="K299" s="163"/>
      <c r="Q299" s="148"/>
      <c r="AF299" s="148"/>
      <c r="AG299" s="146"/>
      <c r="AK299" s="148"/>
      <c r="AL299" s="146"/>
      <c r="AO299" s="163"/>
      <c r="AP299" s="163"/>
      <c r="AS299" s="148"/>
      <c r="AT299" s="146"/>
      <c r="BE299" s="148"/>
      <c r="BF299" s="146"/>
      <c r="BL299" s="148"/>
      <c r="BM299" s="146"/>
      <c r="BP299" s="148"/>
      <c r="BQ299" s="146"/>
      <c r="BV299" s="148"/>
      <c r="BW299" s="146"/>
      <c r="CC299" s="146"/>
      <c r="CH299" s="148"/>
      <c r="CI299" s="146"/>
    </row>
    <row r="300">
      <c r="C300" s="146"/>
      <c r="I300" s="163"/>
      <c r="J300" s="163"/>
      <c r="K300" s="163"/>
      <c r="Q300" s="148"/>
      <c r="AF300" s="148"/>
      <c r="AG300" s="146"/>
      <c r="AK300" s="148"/>
      <c r="AL300" s="146"/>
      <c r="AO300" s="163"/>
      <c r="AP300" s="163"/>
      <c r="AS300" s="148"/>
      <c r="AT300" s="146"/>
      <c r="BE300" s="148"/>
      <c r="BF300" s="146"/>
      <c r="BL300" s="148"/>
      <c r="BM300" s="146"/>
      <c r="BP300" s="148"/>
      <c r="BQ300" s="146"/>
      <c r="BV300" s="148"/>
      <c r="BW300" s="146"/>
      <c r="CC300" s="146"/>
      <c r="CH300" s="148"/>
      <c r="CI300" s="146"/>
    </row>
    <row r="301">
      <c r="C301" s="146"/>
      <c r="I301" s="163"/>
      <c r="J301" s="163"/>
      <c r="K301" s="163"/>
      <c r="Q301" s="148"/>
      <c r="AF301" s="148"/>
      <c r="AG301" s="146"/>
      <c r="AK301" s="148"/>
      <c r="AL301" s="146"/>
      <c r="AO301" s="163"/>
      <c r="AP301" s="163"/>
      <c r="AS301" s="148"/>
      <c r="AT301" s="146"/>
      <c r="BE301" s="148"/>
      <c r="BF301" s="146"/>
      <c r="BL301" s="148"/>
      <c r="BM301" s="146"/>
      <c r="BP301" s="148"/>
      <c r="BQ301" s="146"/>
      <c r="BV301" s="148"/>
      <c r="BW301" s="146"/>
      <c r="CC301" s="146"/>
      <c r="CH301" s="148"/>
      <c r="CI301" s="146"/>
    </row>
    <row r="302">
      <c r="C302" s="146"/>
      <c r="I302" s="163"/>
      <c r="J302" s="163"/>
      <c r="K302" s="163"/>
      <c r="Q302" s="148"/>
      <c r="AF302" s="148"/>
      <c r="AG302" s="146"/>
      <c r="AK302" s="148"/>
      <c r="AL302" s="146"/>
      <c r="AO302" s="163"/>
      <c r="AP302" s="163"/>
      <c r="AS302" s="148"/>
      <c r="AT302" s="146"/>
      <c r="BE302" s="148"/>
      <c r="BF302" s="146"/>
      <c r="BL302" s="148"/>
      <c r="BM302" s="146"/>
      <c r="BP302" s="148"/>
      <c r="BQ302" s="146"/>
      <c r="BV302" s="148"/>
      <c r="BW302" s="146"/>
      <c r="CC302" s="146"/>
      <c r="CH302" s="148"/>
      <c r="CI302" s="146"/>
    </row>
    <row r="303">
      <c r="C303" s="146"/>
      <c r="I303" s="163"/>
      <c r="J303" s="163"/>
      <c r="K303" s="163"/>
      <c r="Q303" s="148"/>
      <c r="AF303" s="148"/>
      <c r="AG303" s="146"/>
      <c r="AK303" s="148"/>
      <c r="AL303" s="146"/>
      <c r="AO303" s="163"/>
      <c r="AP303" s="163"/>
      <c r="AS303" s="148"/>
      <c r="AT303" s="146"/>
      <c r="BE303" s="148"/>
      <c r="BF303" s="146"/>
      <c r="BL303" s="148"/>
      <c r="BM303" s="146"/>
      <c r="BP303" s="148"/>
      <c r="BQ303" s="146"/>
      <c r="BV303" s="148"/>
      <c r="BW303" s="146"/>
      <c r="CC303" s="146"/>
      <c r="CH303" s="148"/>
      <c r="CI303" s="146"/>
    </row>
    <row r="304">
      <c r="C304" s="146"/>
      <c r="I304" s="163"/>
      <c r="J304" s="163"/>
      <c r="K304" s="163"/>
      <c r="Q304" s="148"/>
      <c r="AF304" s="148"/>
      <c r="AG304" s="146"/>
      <c r="AK304" s="148"/>
      <c r="AL304" s="146"/>
      <c r="AO304" s="163"/>
      <c r="AP304" s="163"/>
      <c r="AS304" s="148"/>
      <c r="AT304" s="146"/>
      <c r="BE304" s="148"/>
      <c r="BF304" s="146"/>
      <c r="BL304" s="148"/>
      <c r="BM304" s="146"/>
      <c r="BP304" s="148"/>
      <c r="BQ304" s="146"/>
      <c r="BV304" s="148"/>
      <c r="BW304" s="146"/>
      <c r="CC304" s="146"/>
      <c r="CH304" s="148"/>
      <c r="CI304" s="146"/>
    </row>
    <row r="305">
      <c r="C305" s="146"/>
      <c r="I305" s="163"/>
      <c r="J305" s="163"/>
      <c r="K305" s="163"/>
      <c r="Q305" s="148"/>
      <c r="AF305" s="148"/>
      <c r="AG305" s="146"/>
      <c r="AK305" s="148"/>
      <c r="AL305" s="146"/>
      <c r="AO305" s="163"/>
      <c r="AP305" s="163"/>
      <c r="AS305" s="148"/>
      <c r="AT305" s="146"/>
      <c r="BE305" s="148"/>
      <c r="BF305" s="146"/>
      <c r="BL305" s="148"/>
      <c r="BM305" s="146"/>
      <c r="BP305" s="148"/>
      <c r="BQ305" s="146"/>
      <c r="BV305" s="148"/>
      <c r="BW305" s="146"/>
      <c r="CC305" s="146"/>
      <c r="CH305" s="148"/>
      <c r="CI305" s="146"/>
    </row>
    <row r="306">
      <c r="C306" s="146"/>
      <c r="I306" s="163"/>
      <c r="J306" s="163"/>
      <c r="K306" s="163"/>
      <c r="Q306" s="148"/>
      <c r="AF306" s="148"/>
      <c r="AG306" s="146"/>
      <c r="AK306" s="148"/>
      <c r="AL306" s="146"/>
      <c r="AO306" s="163"/>
      <c r="AP306" s="163"/>
      <c r="AS306" s="148"/>
      <c r="AT306" s="146"/>
      <c r="BE306" s="148"/>
      <c r="BF306" s="146"/>
      <c r="BL306" s="148"/>
      <c r="BM306" s="146"/>
      <c r="BP306" s="148"/>
      <c r="BQ306" s="146"/>
      <c r="BV306" s="148"/>
      <c r="BW306" s="146"/>
      <c r="CC306" s="146"/>
      <c r="CH306" s="148"/>
      <c r="CI306" s="146"/>
    </row>
    <row r="307">
      <c r="C307" s="146"/>
      <c r="I307" s="163"/>
      <c r="J307" s="163"/>
      <c r="K307" s="163"/>
      <c r="Q307" s="148"/>
      <c r="AF307" s="148"/>
      <c r="AG307" s="146"/>
      <c r="AK307" s="148"/>
      <c r="AL307" s="146"/>
      <c r="AO307" s="163"/>
      <c r="AP307" s="163"/>
      <c r="AS307" s="148"/>
      <c r="AT307" s="146"/>
      <c r="BE307" s="148"/>
      <c r="BF307" s="146"/>
      <c r="BL307" s="148"/>
      <c r="BM307" s="146"/>
      <c r="BP307" s="148"/>
      <c r="BQ307" s="146"/>
      <c r="BV307" s="148"/>
      <c r="BW307" s="146"/>
      <c r="CC307" s="146"/>
      <c r="CH307" s="148"/>
      <c r="CI307" s="146"/>
    </row>
    <row r="308">
      <c r="C308" s="146"/>
      <c r="I308" s="163"/>
      <c r="J308" s="163"/>
      <c r="K308" s="163"/>
      <c r="Q308" s="148"/>
      <c r="AF308" s="148"/>
      <c r="AG308" s="146"/>
      <c r="AK308" s="148"/>
      <c r="AL308" s="146"/>
      <c r="AO308" s="163"/>
      <c r="AP308" s="163"/>
      <c r="AS308" s="148"/>
      <c r="AT308" s="146"/>
      <c r="BE308" s="148"/>
      <c r="BF308" s="146"/>
      <c r="BL308" s="148"/>
      <c r="BM308" s="146"/>
      <c r="BP308" s="148"/>
      <c r="BQ308" s="146"/>
      <c r="BV308" s="148"/>
      <c r="BW308" s="146"/>
      <c r="CC308" s="146"/>
      <c r="CH308" s="148"/>
      <c r="CI308" s="146"/>
    </row>
    <row r="309">
      <c r="C309" s="146"/>
      <c r="I309" s="163"/>
      <c r="J309" s="163"/>
      <c r="K309" s="163"/>
      <c r="Q309" s="148"/>
      <c r="AF309" s="148"/>
      <c r="AG309" s="146"/>
      <c r="AK309" s="148"/>
      <c r="AL309" s="146"/>
      <c r="AO309" s="163"/>
      <c r="AP309" s="163"/>
      <c r="AS309" s="148"/>
      <c r="AT309" s="146"/>
      <c r="BE309" s="148"/>
      <c r="BF309" s="146"/>
      <c r="BL309" s="148"/>
      <c r="BM309" s="146"/>
      <c r="BP309" s="148"/>
      <c r="BQ309" s="146"/>
      <c r="BV309" s="148"/>
      <c r="BW309" s="146"/>
      <c r="CC309" s="146"/>
      <c r="CH309" s="148"/>
      <c r="CI309" s="146"/>
    </row>
    <row r="310">
      <c r="C310" s="146"/>
      <c r="I310" s="163"/>
      <c r="J310" s="163"/>
      <c r="K310" s="163"/>
      <c r="Q310" s="148"/>
      <c r="AF310" s="148"/>
      <c r="AG310" s="146"/>
      <c r="AK310" s="148"/>
      <c r="AL310" s="146"/>
      <c r="AO310" s="163"/>
      <c r="AP310" s="163"/>
      <c r="AS310" s="148"/>
      <c r="AT310" s="146"/>
      <c r="BE310" s="148"/>
      <c r="BF310" s="146"/>
      <c r="BL310" s="148"/>
      <c r="BM310" s="146"/>
      <c r="BP310" s="148"/>
      <c r="BQ310" s="146"/>
      <c r="BV310" s="148"/>
      <c r="BW310" s="146"/>
      <c r="CC310" s="146"/>
      <c r="CH310" s="148"/>
      <c r="CI310" s="146"/>
    </row>
    <row r="311">
      <c r="C311" s="146"/>
      <c r="I311" s="163"/>
      <c r="J311" s="163"/>
      <c r="K311" s="163"/>
      <c r="Q311" s="148"/>
      <c r="AF311" s="148"/>
      <c r="AG311" s="146"/>
      <c r="AK311" s="148"/>
      <c r="AL311" s="146"/>
      <c r="AO311" s="163"/>
      <c r="AP311" s="163"/>
      <c r="AS311" s="148"/>
      <c r="AT311" s="146"/>
      <c r="BE311" s="148"/>
      <c r="BF311" s="146"/>
      <c r="BL311" s="148"/>
      <c r="BM311" s="146"/>
      <c r="BP311" s="148"/>
      <c r="BQ311" s="146"/>
      <c r="BV311" s="148"/>
      <c r="BW311" s="146"/>
      <c r="CC311" s="146"/>
      <c r="CH311" s="148"/>
      <c r="CI311" s="146"/>
    </row>
    <row r="312">
      <c r="C312" s="146"/>
      <c r="I312" s="163"/>
      <c r="J312" s="163"/>
      <c r="K312" s="163"/>
      <c r="Q312" s="148"/>
      <c r="AF312" s="148"/>
      <c r="AG312" s="146"/>
      <c r="AK312" s="148"/>
      <c r="AL312" s="146"/>
      <c r="AO312" s="163"/>
      <c r="AP312" s="163"/>
      <c r="AS312" s="148"/>
      <c r="AT312" s="146"/>
      <c r="BE312" s="148"/>
      <c r="BF312" s="146"/>
      <c r="BL312" s="148"/>
      <c r="BM312" s="146"/>
      <c r="BP312" s="148"/>
      <c r="BQ312" s="146"/>
      <c r="BV312" s="148"/>
      <c r="BW312" s="146"/>
      <c r="CC312" s="146"/>
      <c r="CH312" s="148"/>
      <c r="CI312" s="146"/>
    </row>
    <row r="313">
      <c r="C313" s="146"/>
      <c r="I313" s="163"/>
      <c r="J313" s="163"/>
      <c r="K313" s="163"/>
      <c r="Q313" s="148"/>
      <c r="AF313" s="148"/>
      <c r="AG313" s="146"/>
      <c r="AK313" s="148"/>
      <c r="AL313" s="146"/>
      <c r="AO313" s="163"/>
      <c r="AP313" s="163"/>
      <c r="AS313" s="148"/>
      <c r="AT313" s="146"/>
      <c r="BE313" s="148"/>
      <c r="BF313" s="146"/>
      <c r="BL313" s="148"/>
      <c r="BM313" s="146"/>
      <c r="BP313" s="148"/>
      <c r="BQ313" s="146"/>
      <c r="BV313" s="148"/>
      <c r="BW313" s="146"/>
      <c r="CC313" s="146"/>
      <c r="CH313" s="148"/>
      <c r="CI313" s="146"/>
    </row>
    <row r="314">
      <c r="C314" s="146"/>
      <c r="I314" s="163"/>
      <c r="J314" s="163"/>
      <c r="K314" s="163"/>
      <c r="Q314" s="148"/>
      <c r="AF314" s="148"/>
      <c r="AG314" s="146"/>
      <c r="AK314" s="148"/>
      <c r="AL314" s="146"/>
      <c r="AO314" s="163"/>
      <c r="AP314" s="163"/>
      <c r="AS314" s="148"/>
      <c r="AT314" s="146"/>
      <c r="BE314" s="148"/>
      <c r="BF314" s="146"/>
      <c r="BL314" s="148"/>
      <c r="BM314" s="146"/>
      <c r="BP314" s="148"/>
      <c r="BQ314" s="146"/>
      <c r="BV314" s="148"/>
      <c r="BW314" s="146"/>
      <c r="CC314" s="146"/>
      <c r="CH314" s="148"/>
      <c r="CI314" s="146"/>
    </row>
    <row r="315">
      <c r="C315" s="146"/>
      <c r="I315" s="163"/>
      <c r="J315" s="163"/>
      <c r="K315" s="163"/>
      <c r="Q315" s="148"/>
      <c r="AF315" s="148"/>
      <c r="AG315" s="146"/>
      <c r="AK315" s="148"/>
      <c r="AL315" s="146"/>
      <c r="AO315" s="163"/>
      <c r="AP315" s="163"/>
      <c r="AS315" s="148"/>
      <c r="AT315" s="146"/>
      <c r="BE315" s="148"/>
      <c r="BF315" s="146"/>
      <c r="BL315" s="148"/>
      <c r="BM315" s="146"/>
      <c r="BP315" s="148"/>
      <c r="BQ315" s="146"/>
      <c r="BV315" s="148"/>
      <c r="BW315" s="146"/>
      <c r="CC315" s="146"/>
      <c r="CH315" s="148"/>
      <c r="CI315" s="146"/>
    </row>
    <row r="316">
      <c r="C316" s="146"/>
      <c r="I316" s="163"/>
      <c r="J316" s="163"/>
      <c r="K316" s="163"/>
      <c r="Q316" s="148"/>
      <c r="AF316" s="148"/>
      <c r="AG316" s="146"/>
      <c r="AK316" s="148"/>
      <c r="AL316" s="146"/>
      <c r="AO316" s="163"/>
      <c r="AP316" s="163"/>
      <c r="AS316" s="148"/>
      <c r="AT316" s="146"/>
      <c r="BE316" s="148"/>
      <c r="BF316" s="146"/>
      <c r="BL316" s="148"/>
      <c r="BM316" s="146"/>
      <c r="BP316" s="148"/>
      <c r="BQ316" s="146"/>
      <c r="BV316" s="148"/>
      <c r="BW316" s="146"/>
      <c r="CC316" s="146"/>
      <c r="CH316" s="148"/>
      <c r="CI316" s="146"/>
    </row>
    <row r="317">
      <c r="C317" s="146"/>
      <c r="I317" s="163"/>
      <c r="J317" s="163"/>
      <c r="K317" s="163"/>
      <c r="Q317" s="148"/>
      <c r="AF317" s="148"/>
      <c r="AG317" s="146"/>
      <c r="AK317" s="148"/>
      <c r="AL317" s="146"/>
      <c r="AO317" s="163"/>
      <c r="AP317" s="163"/>
      <c r="AS317" s="148"/>
      <c r="AT317" s="146"/>
      <c r="BE317" s="148"/>
      <c r="BF317" s="146"/>
      <c r="BL317" s="148"/>
      <c r="BM317" s="146"/>
      <c r="BP317" s="148"/>
      <c r="BQ317" s="146"/>
      <c r="BV317" s="148"/>
      <c r="BW317" s="146"/>
      <c r="CC317" s="146"/>
      <c r="CH317" s="148"/>
      <c r="CI317" s="146"/>
    </row>
    <row r="318">
      <c r="C318" s="146"/>
      <c r="I318" s="163"/>
      <c r="J318" s="163"/>
      <c r="K318" s="163"/>
      <c r="Q318" s="148"/>
      <c r="AF318" s="148"/>
      <c r="AG318" s="146"/>
      <c r="AK318" s="148"/>
      <c r="AL318" s="146"/>
      <c r="AO318" s="163"/>
      <c r="AP318" s="163"/>
      <c r="AS318" s="148"/>
      <c r="AT318" s="146"/>
      <c r="BE318" s="148"/>
      <c r="BF318" s="146"/>
      <c r="BL318" s="148"/>
      <c r="BM318" s="146"/>
      <c r="BP318" s="148"/>
      <c r="BQ318" s="146"/>
      <c r="BV318" s="148"/>
      <c r="BW318" s="146"/>
      <c r="CC318" s="146"/>
      <c r="CH318" s="148"/>
      <c r="CI318" s="146"/>
    </row>
    <row r="319">
      <c r="C319" s="146"/>
      <c r="I319" s="163"/>
      <c r="J319" s="163"/>
      <c r="K319" s="163"/>
      <c r="Q319" s="148"/>
      <c r="AF319" s="148"/>
      <c r="AG319" s="146"/>
      <c r="AK319" s="148"/>
      <c r="AL319" s="146"/>
      <c r="AO319" s="163"/>
      <c r="AP319" s="163"/>
      <c r="AS319" s="148"/>
      <c r="AT319" s="146"/>
      <c r="BE319" s="148"/>
      <c r="BF319" s="146"/>
      <c r="BL319" s="148"/>
      <c r="BM319" s="146"/>
      <c r="BP319" s="148"/>
      <c r="BQ319" s="146"/>
      <c r="BV319" s="148"/>
      <c r="BW319" s="146"/>
      <c r="CC319" s="146"/>
      <c r="CH319" s="148"/>
      <c r="CI319" s="146"/>
    </row>
    <row r="320">
      <c r="C320" s="146"/>
      <c r="I320" s="163"/>
      <c r="J320" s="163"/>
      <c r="K320" s="163"/>
      <c r="Q320" s="148"/>
      <c r="AF320" s="148"/>
      <c r="AG320" s="146"/>
      <c r="AK320" s="148"/>
      <c r="AL320" s="146"/>
      <c r="AO320" s="163"/>
      <c r="AP320" s="163"/>
      <c r="AS320" s="148"/>
      <c r="AT320" s="146"/>
      <c r="BE320" s="148"/>
      <c r="BF320" s="146"/>
      <c r="BL320" s="148"/>
      <c r="BM320" s="146"/>
      <c r="BP320" s="148"/>
      <c r="BQ320" s="146"/>
      <c r="BV320" s="148"/>
      <c r="BW320" s="146"/>
      <c r="CC320" s="146"/>
      <c r="CH320" s="148"/>
      <c r="CI320" s="146"/>
    </row>
    <row r="321">
      <c r="C321" s="146"/>
      <c r="I321" s="163"/>
      <c r="J321" s="163"/>
      <c r="K321" s="163"/>
      <c r="Q321" s="148"/>
      <c r="AF321" s="148"/>
      <c r="AG321" s="146"/>
      <c r="AK321" s="148"/>
      <c r="AL321" s="146"/>
      <c r="AO321" s="163"/>
      <c r="AP321" s="163"/>
      <c r="AS321" s="148"/>
      <c r="AT321" s="146"/>
      <c r="BE321" s="148"/>
      <c r="BF321" s="146"/>
      <c r="BL321" s="148"/>
      <c r="BM321" s="146"/>
      <c r="BP321" s="148"/>
      <c r="BQ321" s="146"/>
      <c r="BV321" s="148"/>
      <c r="BW321" s="146"/>
      <c r="CC321" s="146"/>
      <c r="CH321" s="148"/>
      <c r="CI321" s="146"/>
    </row>
    <row r="322">
      <c r="C322" s="146"/>
      <c r="I322" s="163"/>
      <c r="J322" s="163"/>
      <c r="K322" s="163"/>
      <c r="Q322" s="148"/>
      <c r="AF322" s="148"/>
      <c r="AG322" s="146"/>
      <c r="AK322" s="148"/>
      <c r="AL322" s="146"/>
      <c r="AO322" s="163"/>
      <c r="AP322" s="163"/>
      <c r="AS322" s="148"/>
      <c r="AT322" s="146"/>
      <c r="BE322" s="148"/>
      <c r="BF322" s="146"/>
      <c r="BL322" s="148"/>
      <c r="BM322" s="146"/>
      <c r="BP322" s="148"/>
      <c r="BQ322" s="146"/>
      <c r="BV322" s="148"/>
      <c r="BW322" s="146"/>
      <c r="CC322" s="146"/>
      <c r="CH322" s="148"/>
      <c r="CI322" s="146"/>
    </row>
    <row r="323">
      <c r="C323" s="146"/>
      <c r="I323" s="163"/>
      <c r="J323" s="163"/>
      <c r="K323" s="163"/>
      <c r="Q323" s="148"/>
      <c r="AF323" s="148"/>
      <c r="AG323" s="146"/>
      <c r="AK323" s="148"/>
      <c r="AL323" s="146"/>
      <c r="AO323" s="163"/>
      <c r="AP323" s="163"/>
      <c r="AS323" s="148"/>
      <c r="AT323" s="146"/>
      <c r="BE323" s="148"/>
      <c r="BF323" s="146"/>
      <c r="BL323" s="148"/>
      <c r="BM323" s="146"/>
      <c r="BP323" s="148"/>
      <c r="BQ323" s="146"/>
      <c r="BV323" s="148"/>
      <c r="BW323" s="146"/>
      <c r="CC323" s="146"/>
      <c r="CH323" s="148"/>
      <c r="CI323" s="146"/>
    </row>
    <row r="324">
      <c r="C324" s="146"/>
      <c r="I324" s="163"/>
      <c r="J324" s="163"/>
      <c r="K324" s="163"/>
      <c r="Q324" s="148"/>
      <c r="AF324" s="148"/>
      <c r="AG324" s="146"/>
      <c r="AK324" s="148"/>
      <c r="AL324" s="146"/>
      <c r="AO324" s="163"/>
      <c r="AP324" s="163"/>
      <c r="AS324" s="148"/>
      <c r="AT324" s="146"/>
      <c r="BE324" s="148"/>
      <c r="BF324" s="146"/>
      <c r="BL324" s="148"/>
      <c r="BM324" s="146"/>
      <c r="BP324" s="148"/>
      <c r="BQ324" s="146"/>
      <c r="BV324" s="148"/>
      <c r="BW324" s="146"/>
      <c r="CC324" s="146"/>
      <c r="CH324" s="148"/>
      <c r="CI324" s="146"/>
    </row>
    <row r="325">
      <c r="C325" s="146"/>
      <c r="I325" s="163"/>
      <c r="J325" s="163"/>
      <c r="K325" s="163"/>
      <c r="Q325" s="148"/>
      <c r="AF325" s="148"/>
      <c r="AG325" s="146"/>
      <c r="AK325" s="148"/>
      <c r="AL325" s="146"/>
      <c r="AO325" s="163"/>
      <c r="AP325" s="163"/>
      <c r="AS325" s="148"/>
      <c r="AT325" s="146"/>
      <c r="BE325" s="148"/>
      <c r="BF325" s="146"/>
      <c r="BL325" s="148"/>
      <c r="BM325" s="146"/>
      <c r="BP325" s="148"/>
      <c r="BQ325" s="146"/>
      <c r="BV325" s="148"/>
      <c r="BW325" s="146"/>
      <c r="CC325" s="146"/>
      <c r="CH325" s="148"/>
      <c r="CI325" s="146"/>
    </row>
    <row r="326">
      <c r="C326" s="146"/>
      <c r="I326" s="163"/>
      <c r="J326" s="163"/>
      <c r="K326" s="163"/>
      <c r="Q326" s="148"/>
      <c r="AF326" s="148"/>
      <c r="AG326" s="146"/>
      <c r="AK326" s="148"/>
      <c r="AL326" s="146"/>
      <c r="AO326" s="163"/>
      <c r="AP326" s="163"/>
      <c r="AS326" s="148"/>
      <c r="AT326" s="146"/>
      <c r="BE326" s="148"/>
      <c r="BF326" s="146"/>
      <c r="BL326" s="148"/>
      <c r="BM326" s="146"/>
      <c r="BP326" s="148"/>
      <c r="BQ326" s="146"/>
      <c r="BV326" s="148"/>
      <c r="BW326" s="146"/>
      <c r="CC326" s="146"/>
      <c r="CH326" s="148"/>
      <c r="CI326" s="146"/>
    </row>
    <row r="327">
      <c r="C327" s="146"/>
      <c r="I327" s="163"/>
      <c r="J327" s="163"/>
      <c r="K327" s="163"/>
      <c r="Q327" s="148"/>
      <c r="AF327" s="148"/>
      <c r="AG327" s="146"/>
      <c r="AK327" s="148"/>
      <c r="AL327" s="146"/>
      <c r="AO327" s="163"/>
      <c r="AP327" s="163"/>
      <c r="AS327" s="148"/>
      <c r="AT327" s="146"/>
      <c r="BE327" s="148"/>
      <c r="BF327" s="146"/>
      <c r="BL327" s="148"/>
      <c r="BM327" s="146"/>
      <c r="BP327" s="148"/>
      <c r="BQ327" s="146"/>
      <c r="BV327" s="148"/>
      <c r="BW327" s="146"/>
      <c r="CC327" s="146"/>
      <c r="CH327" s="148"/>
      <c r="CI327" s="146"/>
    </row>
    <row r="328">
      <c r="C328" s="146"/>
      <c r="I328" s="163"/>
      <c r="J328" s="163"/>
      <c r="K328" s="163"/>
      <c r="Q328" s="148"/>
      <c r="AF328" s="148"/>
      <c r="AG328" s="146"/>
      <c r="AK328" s="148"/>
      <c r="AL328" s="146"/>
      <c r="AO328" s="163"/>
      <c r="AP328" s="163"/>
      <c r="AS328" s="148"/>
      <c r="AT328" s="146"/>
      <c r="BE328" s="148"/>
      <c r="BF328" s="146"/>
      <c r="BL328" s="148"/>
      <c r="BM328" s="146"/>
      <c r="BP328" s="148"/>
      <c r="BQ328" s="146"/>
      <c r="BV328" s="148"/>
      <c r="BW328" s="146"/>
      <c r="CC328" s="146"/>
      <c r="CH328" s="148"/>
      <c r="CI328" s="146"/>
    </row>
    <row r="329">
      <c r="C329" s="146"/>
      <c r="I329" s="163"/>
      <c r="J329" s="163"/>
      <c r="K329" s="163"/>
      <c r="Q329" s="148"/>
      <c r="AF329" s="148"/>
      <c r="AG329" s="146"/>
      <c r="AK329" s="148"/>
      <c r="AL329" s="146"/>
      <c r="AO329" s="163"/>
      <c r="AP329" s="163"/>
      <c r="AS329" s="148"/>
      <c r="AT329" s="146"/>
      <c r="BE329" s="148"/>
      <c r="BF329" s="146"/>
      <c r="BL329" s="148"/>
      <c r="BM329" s="146"/>
      <c r="BP329" s="148"/>
      <c r="BQ329" s="146"/>
      <c r="BV329" s="148"/>
      <c r="BW329" s="146"/>
      <c r="CC329" s="146"/>
      <c r="CH329" s="148"/>
      <c r="CI329" s="146"/>
    </row>
    <row r="330">
      <c r="C330" s="146"/>
      <c r="I330" s="163"/>
      <c r="J330" s="163"/>
      <c r="K330" s="163"/>
      <c r="Q330" s="148"/>
      <c r="AF330" s="148"/>
      <c r="AG330" s="146"/>
      <c r="AK330" s="148"/>
      <c r="AL330" s="146"/>
      <c r="AO330" s="163"/>
      <c r="AP330" s="163"/>
      <c r="AS330" s="148"/>
      <c r="AT330" s="146"/>
      <c r="BE330" s="148"/>
      <c r="BF330" s="146"/>
      <c r="BL330" s="148"/>
      <c r="BM330" s="146"/>
      <c r="BP330" s="148"/>
      <c r="BQ330" s="146"/>
      <c r="BV330" s="148"/>
      <c r="BW330" s="146"/>
      <c r="CC330" s="146"/>
      <c r="CH330" s="148"/>
      <c r="CI330" s="146"/>
    </row>
    <row r="331">
      <c r="C331" s="146"/>
      <c r="I331" s="163"/>
      <c r="J331" s="163"/>
      <c r="K331" s="163"/>
      <c r="Q331" s="148"/>
      <c r="AF331" s="148"/>
      <c r="AG331" s="146"/>
      <c r="AK331" s="148"/>
      <c r="AL331" s="146"/>
      <c r="AO331" s="163"/>
      <c r="AP331" s="163"/>
      <c r="AS331" s="148"/>
      <c r="AT331" s="146"/>
      <c r="BE331" s="148"/>
      <c r="BF331" s="146"/>
      <c r="BL331" s="148"/>
      <c r="BM331" s="146"/>
      <c r="BP331" s="148"/>
      <c r="BQ331" s="146"/>
      <c r="BV331" s="148"/>
      <c r="BW331" s="146"/>
      <c r="CC331" s="146"/>
      <c r="CH331" s="148"/>
      <c r="CI331" s="146"/>
    </row>
    <row r="332">
      <c r="C332" s="146"/>
      <c r="I332" s="163"/>
      <c r="J332" s="163"/>
      <c r="K332" s="163"/>
      <c r="Q332" s="148"/>
      <c r="AF332" s="148"/>
      <c r="AG332" s="146"/>
      <c r="AK332" s="148"/>
      <c r="AL332" s="146"/>
      <c r="AO332" s="163"/>
      <c r="AP332" s="163"/>
      <c r="AS332" s="148"/>
      <c r="AT332" s="146"/>
      <c r="BE332" s="148"/>
      <c r="BF332" s="146"/>
      <c r="BL332" s="148"/>
      <c r="BM332" s="146"/>
      <c r="BP332" s="148"/>
      <c r="BQ332" s="146"/>
      <c r="BV332" s="148"/>
      <c r="BW332" s="146"/>
      <c r="CC332" s="146"/>
      <c r="CH332" s="148"/>
      <c r="CI332" s="146"/>
    </row>
    <row r="333">
      <c r="C333" s="146"/>
      <c r="I333" s="163"/>
      <c r="J333" s="163"/>
      <c r="K333" s="163"/>
      <c r="Q333" s="148"/>
      <c r="AF333" s="148"/>
      <c r="AG333" s="146"/>
      <c r="AK333" s="148"/>
      <c r="AL333" s="146"/>
      <c r="AO333" s="163"/>
      <c r="AP333" s="163"/>
      <c r="AS333" s="148"/>
      <c r="AT333" s="146"/>
      <c r="BE333" s="148"/>
      <c r="BF333" s="146"/>
      <c r="BL333" s="148"/>
      <c r="BM333" s="146"/>
      <c r="BP333" s="148"/>
      <c r="BQ333" s="146"/>
      <c r="BV333" s="148"/>
      <c r="BW333" s="146"/>
      <c r="CC333" s="146"/>
      <c r="CH333" s="148"/>
      <c r="CI333" s="146"/>
    </row>
    <row r="334">
      <c r="C334" s="146"/>
      <c r="I334" s="163"/>
      <c r="J334" s="163"/>
      <c r="K334" s="163"/>
      <c r="Q334" s="148"/>
      <c r="AF334" s="148"/>
      <c r="AG334" s="146"/>
      <c r="AK334" s="148"/>
      <c r="AL334" s="146"/>
      <c r="AO334" s="163"/>
      <c r="AP334" s="163"/>
      <c r="AS334" s="148"/>
      <c r="AT334" s="146"/>
      <c r="BE334" s="148"/>
      <c r="BF334" s="146"/>
      <c r="BL334" s="148"/>
      <c r="BM334" s="146"/>
      <c r="BP334" s="148"/>
      <c r="BQ334" s="146"/>
      <c r="BV334" s="148"/>
      <c r="BW334" s="146"/>
      <c r="CC334" s="146"/>
      <c r="CH334" s="148"/>
      <c r="CI334" s="146"/>
    </row>
    <row r="335">
      <c r="C335" s="146"/>
      <c r="I335" s="163"/>
      <c r="J335" s="163"/>
      <c r="K335" s="163"/>
      <c r="Q335" s="148"/>
      <c r="AF335" s="148"/>
      <c r="AG335" s="146"/>
      <c r="AK335" s="148"/>
      <c r="AL335" s="146"/>
      <c r="AO335" s="163"/>
      <c r="AP335" s="163"/>
      <c r="AS335" s="148"/>
      <c r="AT335" s="146"/>
      <c r="BE335" s="148"/>
      <c r="BF335" s="146"/>
      <c r="BL335" s="148"/>
      <c r="BM335" s="146"/>
      <c r="BP335" s="148"/>
      <c r="BQ335" s="146"/>
      <c r="BV335" s="148"/>
      <c r="BW335" s="146"/>
      <c r="CC335" s="146"/>
      <c r="CH335" s="148"/>
      <c r="CI335" s="146"/>
    </row>
    <row r="336">
      <c r="C336" s="146"/>
      <c r="I336" s="163"/>
      <c r="J336" s="163"/>
      <c r="K336" s="163"/>
      <c r="Q336" s="148"/>
      <c r="AF336" s="148"/>
      <c r="AG336" s="146"/>
      <c r="AK336" s="148"/>
      <c r="AL336" s="146"/>
      <c r="AO336" s="163"/>
      <c r="AP336" s="163"/>
      <c r="AS336" s="148"/>
      <c r="AT336" s="146"/>
      <c r="BE336" s="148"/>
      <c r="BF336" s="146"/>
      <c r="BL336" s="148"/>
      <c r="BM336" s="146"/>
      <c r="BP336" s="148"/>
      <c r="BQ336" s="146"/>
      <c r="BV336" s="148"/>
      <c r="BW336" s="146"/>
      <c r="CC336" s="146"/>
      <c r="CH336" s="148"/>
      <c r="CI336" s="146"/>
    </row>
    <row r="337">
      <c r="C337" s="146"/>
      <c r="I337" s="163"/>
      <c r="J337" s="163"/>
      <c r="K337" s="163"/>
      <c r="Q337" s="148"/>
      <c r="AF337" s="148"/>
      <c r="AG337" s="146"/>
      <c r="AK337" s="148"/>
      <c r="AL337" s="146"/>
      <c r="AO337" s="163"/>
      <c r="AP337" s="163"/>
      <c r="AS337" s="148"/>
      <c r="AT337" s="146"/>
      <c r="BE337" s="148"/>
      <c r="BF337" s="146"/>
      <c r="BL337" s="148"/>
      <c r="BM337" s="146"/>
      <c r="BP337" s="148"/>
      <c r="BQ337" s="146"/>
      <c r="BV337" s="148"/>
      <c r="BW337" s="146"/>
      <c r="CC337" s="146"/>
      <c r="CH337" s="148"/>
      <c r="CI337" s="146"/>
    </row>
    <row r="338">
      <c r="C338" s="146"/>
      <c r="I338" s="163"/>
      <c r="J338" s="163"/>
      <c r="K338" s="163"/>
      <c r="Q338" s="148"/>
      <c r="AF338" s="148"/>
      <c r="AG338" s="146"/>
      <c r="AK338" s="148"/>
      <c r="AL338" s="146"/>
      <c r="AO338" s="163"/>
      <c r="AP338" s="163"/>
      <c r="AS338" s="148"/>
      <c r="AT338" s="146"/>
      <c r="BE338" s="148"/>
      <c r="BF338" s="146"/>
      <c r="BL338" s="148"/>
      <c r="BM338" s="146"/>
      <c r="BP338" s="148"/>
      <c r="BQ338" s="146"/>
      <c r="BV338" s="148"/>
      <c r="BW338" s="146"/>
      <c r="CC338" s="146"/>
      <c r="CH338" s="148"/>
      <c r="CI338" s="146"/>
    </row>
    <row r="339">
      <c r="C339" s="146"/>
      <c r="I339" s="163"/>
      <c r="J339" s="163"/>
      <c r="K339" s="163"/>
      <c r="Q339" s="148"/>
      <c r="AF339" s="148"/>
      <c r="AG339" s="146"/>
      <c r="AK339" s="148"/>
      <c r="AL339" s="146"/>
      <c r="AO339" s="163"/>
      <c r="AP339" s="163"/>
      <c r="AS339" s="148"/>
      <c r="AT339" s="146"/>
      <c r="BE339" s="148"/>
      <c r="BF339" s="146"/>
      <c r="BL339" s="148"/>
      <c r="BM339" s="146"/>
      <c r="BP339" s="148"/>
      <c r="BQ339" s="146"/>
      <c r="BV339" s="148"/>
      <c r="BW339" s="146"/>
      <c r="CC339" s="146"/>
      <c r="CH339" s="148"/>
      <c r="CI339" s="146"/>
    </row>
    <row r="340">
      <c r="C340" s="146"/>
      <c r="I340" s="163"/>
      <c r="J340" s="163"/>
      <c r="K340" s="163"/>
      <c r="Q340" s="148"/>
      <c r="AF340" s="148"/>
      <c r="AG340" s="146"/>
      <c r="AK340" s="148"/>
      <c r="AL340" s="146"/>
      <c r="AO340" s="163"/>
      <c r="AP340" s="163"/>
      <c r="AS340" s="148"/>
      <c r="AT340" s="146"/>
      <c r="BE340" s="148"/>
      <c r="BF340" s="146"/>
      <c r="BL340" s="148"/>
      <c r="BM340" s="146"/>
      <c r="BP340" s="148"/>
      <c r="BQ340" s="146"/>
      <c r="BV340" s="148"/>
      <c r="BW340" s="146"/>
      <c r="CC340" s="146"/>
      <c r="CH340" s="148"/>
      <c r="CI340" s="146"/>
    </row>
    <row r="341">
      <c r="C341" s="146"/>
      <c r="I341" s="163"/>
      <c r="J341" s="163"/>
      <c r="K341" s="163"/>
      <c r="Q341" s="148"/>
      <c r="AF341" s="148"/>
      <c r="AG341" s="146"/>
      <c r="AK341" s="148"/>
      <c r="AL341" s="146"/>
      <c r="AO341" s="163"/>
      <c r="AP341" s="163"/>
      <c r="AS341" s="148"/>
      <c r="AT341" s="146"/>
      <c r="BE341" s="148"/>
      <c r="BF341" s="146"/>
      <c r="BL341" s="148"/>
      <c r="BM341" s="146"/>
      <c r="BP341" s="148"/>
      <c r="BQ341" s="146"/>
      <c r="BV341" s="148"/>
      <c r="BW341" s="146"/>
      <c r="CC341" s="146"/>
      <c r="CH341" s="148"/>
      <c r="CI341" s="146"/>
    </row>
    <row r="342">
      <c r="C342" s="146"/>
      <c r="I342" s="163"/>
      <c r="J342" s="163"/>
      <c r="K342" s="163"/>
      <c r="Q342" s="148"/>
      <c r="AF342" s="148"/>
      <c r="AG342" s="146"/>
      <c r="AK342" s="148"/>
      <c r="AL342" s="146"/>
      <c r="AO342" s="163"/>
      <c r="AP342" s="163"/>
      <c r="AS342" s="148"/>
      <c r="AT342" s="146"/>
      <c r="BE342" s="148"/>
      <c r="BF342" s="146"/>
      <c r="BL342" s="148"/>
      <c r="BM342" s="146"/>
      <c r="BP342" s="148"/>
      <c r="BQ342" s="146"/>
      <c r="BV342" s="148"/>
      <c r="BW342" s="146"/>
      <c r="CC342" s="146"/>
      <c r="CH342" s="148"/>
      <c r="CI342" s="146"/>
    </row>
    <row r="343">
      <c r="C343" s="146"/>
      <c r="I343" s="163"/>
      <c r="J343" s="163"/>
      <c r="K343" s="163"/>
      <c r="Q343" s="148"/>
      <c r="AF343" s="148"/>
      <c r="AG343" s="146"/>
      <c r="AK343" s="148"/>
      <c r="AL343" s="146"/>
      <c r="AO343" s="163"/>
      <c r="AP343" s="163"/>
      <c r="AS343" s="148"/>
      <c r="AT343" s="146"/>
      <c r="BE343" s="148"/>
      <c r="BF343" s="146"/>
      <c r="BL343" s="148"/>
      <c r="BM343" s="146"/>
      <c r="BP343" s="148"/>
      <c r="BQ343" s="146"/>
      <c r="BV343" s="148"/>
      <c r="BW343" s="146"/>
      <c r="CC343" s="146"/>
      <c r="CH343" s="148"/>
      <c r="CI343" s="146"/>
    </row>
    <row r="344">
      <c r="C344" s="146"/>
      <c r="I344" s="163"/>
      <c r="J344" s="163"/>
      <c r="K344" s="163"/>
      <c r="Q344" s="148"/>
      <c r="AF344" s="148"/>
      <c r="AG344" s="146"/>
      <c r="AK344" s="148"/>
      <c r="AL344" s="146"/>
      <c r="AO344" s="163"/>
      <c r="AP344" s="163"/>
      <c r="AS344" s="148"/>
      <c r="AT344" s="146"/>
      <c r="BE344" s="148"/>
      <c r="BF344" s="146"/>
      <c r="BL344" s="148"/>
      <c r="BM344" s="146"/>
      <c r="BP344" s="148"/>
      <c r="BQ344" s="146"/>
      <c r="BV344" s="148"/>
      <c r="BW344" s="146"/>
      <c r="CC344" s="146"/>
      <c r="CH344" s="148"/>
      <c r="CI344" s="146"/>
    </row>
    <row r="345">
      <c r="C345" s="146"/>
      <c r="I345" s="163"/>
      <c r="J345" s="163"/>
      <c r="K345" s="163"/>
      <c r="Q345" s="148"/>
      <c r="AF345" s="148"/>
      <c r="AG345" s="146"/>
      <c r="AK345" s="148"/>
      <c r="AL345" s="146"/>
      <c r="AO345" s="163"/>
      <c r="AP345" s="163"/>
      <c r="AS345" s="148"/>
      <c r="AT345" s="146"/>
      <c r="BE345" s="148"/>
      <c r="BF345" s="146"/>
      <c r="BL345" s="148"/>
      <c r="BM345" s="146"/>
      <c r="BP345" s="148"/>
      <c r="BQ345" s="146"/>
      <c r="BV345" s="148"/>
      <c r="BW345" s="146"/>
      <c r="CC345" s="146"/>
      <c r="CH345" s="148"/>
      <c r="CI345" s="146"/>
    </row>
    <row r="346">
      <c r="C346" s="146"/>
      <c r="I346" s="163"/>
      <c r="J346" s="163"/>
      <c r="K346" s="163"/>
      <c r="Q346" s="148"/>
      <c r="AF346" s="148"/>
      <c r="AG346" s="146"/>
      <c r="AK346" s="148"/>
      <c r="AL346" s="146"/>
      <c r="AO346" s="163"/>
      <c r="AP346" s="163"/>
      <c r="AS346" s="148"/>
      <c r="AT346" s="146"/>
      <c r="BE346" s="148"/>
      <c r="BF346" s="146"/>
      <c r="BL346" s="148"/>
      <c r="BM346" s="146"/>
      <c r="BP346" s="148"/>
      <c r="BQ346" s="146"/>
      <c r="BV346" s="148"/>
      <c r="BW346" s="146"/>
      <c r="CC346" s="146"/>
      <c r="CH346" s="148"/>
      <c r="CI346" s="146"/>
    </row>
    <row r="347">
      <c r="C347" s="146"/>
      <c r="I347" s="163"/>
      <c r="J347" s="163"/>
      <c r="K347" s="163"/>
      <c r="Q347" s="148"/>
      <c r="AF347" s="148"/>
      <c r="AG347" s="146"/>
      <c r="AK347" s="148"/>
      <c r="AL347" s="146"/>
      <c r="AO347" s="163"/>
      <c r="AP347" s="163"/>
      <c r="AS347" s="148"/>
      <c r="AT347" s="146"/>
      <c r="BE347" s="148"/>
      <c r="BF347" s="146"/>
      <c r="BL347" s="148"/>
      <c r="BM347" s="146"/>
      <c r="BP347" s="148"/>
      <c r="BQ347" s="146"/>
      <c r="BV347" s="148"/>
      <c r="BW347" s="146"/>
      <c r="CC347" s="146"/>
      <c r="CH347" s="148"/>
      <c r="CI347" s="146"/>
    </row>
    <row r="348">
      <c r="C348" s="146"/>
      <c r="I348" s="163"/>
      <c r="J348" s="163"/>
      <c r="K348" s="163"/>
      <c r="Q348" s="148"/>
      <c r="AF348" s="148"/>
      <c r="AG348" s="146"/>
      <c r="AK348" s="148"/>
      <c r="AL348" s="146"/>
      <c r="AO348" s="163"/>
      <c r="AP348" s="163"/>
      <c r="AS348" s="148"/>
      <c r="AT348" s="146"/>
      <c r="BE348" s="148"/>
      <c r="BF348" s="146"/>
      <c r="BL348" s="148"/>
      <c r="BM348" s="146"/>
      <c r="BP348" s="148"/>
      <c r="BQ348" s="146"/>
      <c r="BV348" s="148"/>
      <c r="BW348" s="146"/>
      <c r="CC348" s="146"/>
      <c r="CH348" s="148"/>
      <c r="CI348" s="146"/>
    </row>
    <row r="349">
      <c r="C349" s="146"/>
      <c r="I349" s="163"/>
      <c r="J349" s="163"/>
      <c r="K349" s="163"/>
      <c r="Q349" s="148"/>
      <c r="AF349" s="148"/>
      <c r="AG349" s="146"/>
      <c r="AK349" s="148"/>
      <c r="AL349" s="146"/>
      <c r="AO349" s="163"/>
      <c r="AP349" s="163"/>
      <c r="AS349" s="148"/>
      <c r="AT349" s="146"/>
      <c r="BE349" s="148"/>
      <c r="BF349" s="146"/>
      <c r="BL349" s="148"/>
      <c r="BM349" s="146"/>
      <c r="BP349" s="148"/>
      <c r="BQ349" s="146"/>
      <c r="BV349" s="148"/>
      <c r="BW349" s="146"/>
      <c r="CC349" s="146"/>
      <c r="CH349" s="148"/>
      <c r="CI349" s="146"/>
    </row>
    <row r="350">
      <c r="C350" s="146"/>
      <c r="I350" s="163"/>
      <c r="J350" s="163"/>
      <c r="K350" s="163"/>
      <c r="Q350" s="148"/>
      <c r="AF350" s="148"/>
      <c r="AG350" s="146"/>
      <c r="AK350" s="148"/>
      <c r="AL350" s="146"/>
      <c r="AO350" s="163"/>
      <c r="AP350" s="163"/>
      <c r="AS350" s="148"/>
      <c r="AT350" s="146"/>
      <c r="BE350" s="148"/>
      <c r="BF350" s="146"/>
      <c r="BL350" s="148"/>
      <c r="BM350" s="146"/>
      <c r="BP350" s="148"/>
      <c r="BQ350" s="146"/>
      <c r="BV350" s="148"/>
      <c r="BW350" s="146"/>
      <c r="CC350" s="146"/>
      <c r="CH350" s="148"/>
      <c r="CI350" s="146"/>
    </row>
    <row r="351">
      <c r="C351" s="146"/>
      <c r="I351" s="163"/>
      <c r="J351" s="163"/>
      <c r="K351" s="163"/>
      <c r="Q351" s="148"/>
      <c r="AF351" s="148"/>
      <c r="AG351" s="146"/>
      <c r="AK351" s="148"/>
      <c r="AL351" s="146"/>
      <c r="AO351" s="163"/>
      <c r="AP351" s="163"/>
      <c r="AS351" s="148"/>
      <c r="AT351" s="146"/>
      <c r="BE351" s="148"/>
      <c r="BF351" s="146"/>
      <c r="BL351" s="148"/>
      <c r="BM351" s="146"/>
      <c r="BP351" s="148"/>
      <c r="BQ351" s="146"/>
      <c r="BV351" s="148"/>
      <c r="BW351" s="146"/>
      <c r="CC351" s="146"/>
      <c r="CH351" s="148"/>
      <c r="CI351" s="146"/>
    </row>
    <row r="352">
      <c r="C352" s="146"/>
      <c r="I352" s="163"/>
      <c r="J352" s="163"/>
      <c r="K352" s="163"/>
      <c r="Q352" s="148"/>
      <c r="AF352" s="148"/>
      <c r="AG352" s="146"/>
      <c r="AK352" s="148"/>
      <c r="AL352" s="146"/>
      <c r="AO352" s="163"/>
      <c r="AP352" s="163"/>
      <c r="AS352" s="148"/>
      <c r="AT352" s="146"/>
      <c r="BE352" s="148"/>
      <c r="BF352" s="146"/>
      <c r="BL352" s="148"/>
      <c r="BM352" s="146"/>
      <c r="BP352" s="148"/>
      <c r="BQ352" s="146"/>
      <c r="BV352" s="148"/>
      <c r="BW352" s="146"/>
      <c r="CC352" s="146"/>
      <c r="CH352" s="148"/>
      <c r="CI352" s="146"/>
    </row>
    <row r="353">
      <c r="C353" s="146"/>
      <c r="I353" s="163"/>
      <c r="J353" s="163"/>
      <c r="K353" s="163"/>
      <c r="Q353" s="148"/>
      <c r="AF353" s="148"/>
      <c r="AG353" s="146"/>
      <c r="AK353" s="148"/>
      <c r="AL353" s="146"/>
      <c r="AO353" s="163"/>
      <c r="AP353" s="163"/>
      <c r="AS353" s="148"/>
      <c r="AT353" s="146"/>
      <c r="BE353" s="148"/>
      <c r="BF353" s="146"/>
      <c r="BL353" s="148"/>
      <c r="BM353" s="146"/>
      <c r="BP353" s="148"/>
      <c r="BQ353" s="146"/>
      <c r="BV353" s="148"/>
      <c r="BW353" s="146"/>
      <c r="CC353" s="146"/>
      <c r="CH353" s="148"/>
      <c r="CI353" s="146"/>
    </row>
    <row r="354">
      <c r="C354" s="146"/>
      <c r="I354" s="163"/>
      <c r="J354" s="163"/>
      <c r="K354" s="163"/>
      <c r="Q354" s="148"/>
      <c r="AF354" s="148"/>
      <c r="AG354" s="146"/>
      <c r="AK354" s="148"/>
      <c r="AL354" s="146"/>
      <c r="AO354" s="163"/>
      <c r="AP354" s="163"/>
      <c r="AS354" s="148"/>
      <c r="AT354" s="146"/>
      <c r="BE354" s="148"/>
      <c r="BF354" s="146"/>
      <c r="BL354" s="148"/>
      <c r="BM354" s="146"/>
      <c r="BP354" s="148"/>
      <c r="BQ354" s="146"/>
      <c r="BV354" s="148"/>
      <c r="BW354" s="146"/>
      <c r="CC354" s="146"/>
      <c r="CH354" s="148"/>
      <c r="CI354" s="146"/>
    </row>
    <row r="355">
      <c r="C355" s="146"/>
      <c r="I355" s="163"/>
      <c r="J355" s="163"/>
      <c r="K355" s="163"/>
      <c r="Q355" s="148"/>
      <c r="AF355" s="148"/>
      <c r="AG355" s="146"/>
      <c r="AK355" s="148"/>
      <c r="AL355" s="146"/>
      <c r="AO355" s="163"/>
      <c r="AP355" s="163"/>
      <c r="AS355" s="148"/>
      <c r="AT355" s="146"/>
      <c r="BE355" s="148"/>
      <c r="BF355" s="146"/>
      <c r="BL355" s="148"/>
      <c r="BM355" s="146"/>
      <c r="BP355" s="148"/>
      <c r="BQ355" s="146"/>
      <c r="BV355" s="148"/>
      <c r="BW355" s="146"/>
      <c r="CC355" s="146"/>
      <c r="CH355" s="148"/>
      <c r="CI355" s="146"/>
    </row>
    <row r="356">
      <c r="C356" s="146"/>
      <c r="I356" s="163"/>
      <c r="J356" s="163"/>
      <c r="K356" s="163"/>
      <c r="Q356" s="148"/>
      <c r="AF356" s="148"/>
      <c r="AG356" s="146"/>
      <c r="AK356" s="148"/>
      <c r="AL356" s="146"/>
      <c r="AO356" s="163"/>
      <c r="AP356" s="163"/>
      <c r="AS356" s="148"/>
      <c r="AT356" s="146"/>
      <c r="BE356" s="148"/>
      <c r="BF356" s="146"/>
      <c r="BL356" s="148"/>
      <c r="BM356" s="146"/>
      <c r="BP356" s="148"/>
      <c r="BQ356" s="146"/>
      <c r="BV356" s="148"/>
      <c r="BW356" s="146"/>
      <c r="CC356" s="146"/>
      <c r="CH356" s="148"/>
      <c r="CI356" s="146"/>
    </row>
    <row r="357">
      <c r="C357" s="146"/>
      <c r="I357" s="163"/>
      <c r="J357" s="163"/>
      <c r="K357" s="163"/>
      <c r="Q357" s="148"/>
      <c r="AF357" s="148"/>
      <c r="AG357" s="146"/>
      <c r="AK357" s="148"/>
      <c r="AL357" s="146"/>
      <c r="AO357" s="163"/>
      <c r="AP357" s="163"/>
      <c r="AS357" s="148"/>
      <c r="AT357" s="146"/>
      <c r="BE357" s="148"/>
      <c r="BF357" s="146"/>
      <c r="BL357" s="148"/>
      <c r="BM357" s="146"/>
      <c r="BP357" s="148"/>
      <c r="BQ357" s="146"/>
      <c r="BV357" s="148"/>
      <c r="BW357" s="146"/>
      <c r="CC357" s="146"/>
      <c r="CH357" s="148"/>
      <c r="CI357" s="146"/>
    </row>
    <row r="358">
      <c r="C358" s="146"/>
      <c r="I358" s="163"/>
      <c r="J358" s="163"/>
      <c r="K358" s="163"/>
      <c r="Q358" s="148"/>
      <c r="AF358" s="148"/>
      <c r="AG358" s="146"/>
      <c r="AK358" s="148"/>
      <c r="AL358" s="146"/>
      <c r="AO358" s="163"/>
      <c r="AP358" s="163"/>
      <c r="AS358" s="148"/>
      <c r="AT358" s="146"/>
      <c r="BE358" s="148"/>
      <c r="BF358" s="146"/>
      <c r="BL358" s="148"/>
      <c r="BM358" s="146"/>
      <c r="BP358" s="148"/>
      <c r="BQ358" s="146"/>
      <c r="BV358" s="148"/>
      <c r="BW358" s="146"/>
      <c r="CC358" s="146"/>
      <c r="CH358" s="148"/>
      <c r="CI358" s="146"/>
    </row>
    <row r="359">
      <c r="C359" s="146"/>
      <c r="I359" s="163"/>
      <c r="J359" s="163"/>
      <c r="K359" s="163"/>
      <c r="Q359" s="148"/>
      <c r="AF359" s="148"/>
      <c r="AG359" s="146"/>
      <c r="AK359" s="148"/>
      <c r="AL359" s="146"/>
      <c r="AO359" s="163"/>
      <c r="AP359" s="163"/>
      <c r="AS359" s="148"/>
      <c r="AT359" s="146"/>
      <c r="BE359" s="148"/>
      <c r="BF359" s="146"/>
      <c r="BL359" s="148"/>
      <c r="BM359" s="146"/>
      <c r="BP359" s="148"/>
      <c r="BQ359" s="146"/>
      <c r="BV359" s="148"/>
      <c r="BW359" s="146"/>
      <c r="CC359" s="146"/>
      <c r="CH359" s="148"/>
      <c r="CI359" s="146"/>
    </row>
    <row r="360">
      <c r="C360" s="146"/>
      <c r="I360" s="163"/>
      <c r="J360" s="163"/>
      <c r="K360" s="163"/>
      <c r="Q360" s="148"/>
      <c r="AF360" s="148"/>
      <c r="AG360" s="146"/>
      <c r="AK360" s="148"/>
      <c r="AL360" s="146"/>
      <c r="AO360" s="163"/>
      <c r="AP360" s="163"/>
      <c r="AS360" s="148"/>
      <c r="AT360" s="146"/>
      <c r="BE360" s="148"/>
      <c r="BF360" s="146"/>
      <c r="BL360" s="148"/>
      <c r="BM360" s="146"/>
      <c r="BP360" s="148"/>
      <c r="BQ360" s="146"/>
      <c r="BV360" s="148"/>
      <c r="BW360" s="146"/>
      <c r="CC360" s="146"/>
      <c r="CH360" s="148"/>
      <c r="CI360" s="146"/>
    </row>
    <row r="361">
      <c r="C361" s="146"/>
      <c r="I361" s="163"/>
      <c r="J361" s="163"/>
      <c r="K361" s="163"/>
      <c r="Q361" s="148"/>
      <c r="AF361" s="148"/>
      <c r="AG361" s="146"/>
      <c r="AK361" s="148"/>
      <c r="AL361" s="146"/>
      <c r="AO361" s="163"/>
      <c r="AP361" s="163"/>
      <c r="AS361" s="148"/>
      <c r="AT361" s="146"/>
      <c r="BE361" s="148"/>
      <c r="BF361" s="146"/>
      <c r="BL361" s="148"/>
      <c r="BM361" s="146"/>
      <c r="BP361" s="148"/>
      <c r="BQ361" s="146"/>
      <c r="BV361" s="148"/>
      <c r="BW361" s="146"/>
      <c r="CC361" s="146"/>
      <c r="CH361" s="148"/>
      <c r="CI361" s="146"/>
    </row>
    <row r="362">
      <c r="C362" s="146"/>
      <c r="I362" s="163"/>
      <c r="J362" s="163"/>
      <c r="K362" s="163"/>
      <c r="Q362" s="148"/>
      <c r="AF362" s="148"/>
      <c r="AG362" s="146"/>
      <c r="AK362" s="148"/>
      <c r="AL362" s="146"/>
      <c r="AO362" s="163"/>
      <c r="AP362" s="163"/>
      <c r="AS362" s="148"/>
      <c r="AT362" s="146"/>
      <c r="BE362" s="148"/>
      <c r="BF362" s="146"/>
      <c r="BL362" s="148"/>
      <c r="BM362" s="146"/>
      <c r="BP362" s="148"/>
      <c r="BQ362" s="146"/>
      <c r="BV362" s="148"/>
      <c r="BW362" s="146"/>
      <c r="CC362" s="146"/>
      <c r="CH362" s="148"/>
      <c r="CI362" s="146"/>
    </row>
    <row r="363">
      <c r="C363" s="146"/>
      <c r="I363" s="163"/>
      <c r="J363" s="163"/>
      <c r="K363" s="163"/>
      <c r="Q363" s="148"/>
      <c r="AF363" s="148"/>
      <c r="AG363" s="146"/>
      <c r="AK363" s="148"/>
      <c r="AL363" s="146"/>
      <c r="AO363" s="163"/>
      <c r="AP363" s="163"/>
      <c r="AS363" s="148"/>
      <c r="AT363" s="146"/>
      <c r="BE363" s="148"/>
      <c r="BF363" s="146"/>
      <c r="BL363" s="148"/>
      <c r="BM363" s="146"/>
      <c r="BP363" s="148"/>
      <c r="BQ363" s="146"/>
      <c r="BV363" s="148"/>
      <c r="BW363" s="146"/>
      <c r="CC363" s="146"/>
      <c r="CH363" s="148"/>
      <c r="CI363" s="146"/>
    </row>
    <row r="364">
      <c r="C364" s="146"/>
      <c r="I364" s="163"/>
      <c r="J364" s="163"/>
      <c r="K364" s="163"/>
      <c r="Q364" s="148"/>
      <c r="AF364" s="148"/>
      <c r="AG364" s="146"/>
      <c r="AK364" s="148"/>
      <c r="AL364" s="146"/>
      <c r="AO364" s="163"/>
      <c r="AP364" s="163"/>
      <c r="AS364" s="148"/>
      <c r="AT364" s="146"/>
      <c r="BE364" s="148"/>
      <c r="BF364" s="146"/>
      <c r="BL364" s="148"/>
      <c r="BM364" s="146"/>
      <c r="BP364" s="148"/>
      <c r="BQ364" s="146"/>
      <c r="BV364" s="148"/>
      <c r="BW364" s="146"/>
      <c r="CC364" s="146"/>
      <c r="CH364" s="148"/>
      <c r="CI364" s="146"/>
    </row>
    <row r="365">
      <c r="C365" s="146"/>
      <c r="I365" s="163"/>
      <c r="J365" s="163"/>
      <c r="K365" s="163"/>
      <c r="Q365" s="148"/>
      <c r="AF365" s="148"/>
      <c r="AG365" s="146"/>
      <c r="AK365" s="148"/>
      <c r="AL365" s="146"/>
      <c r="AO365" s="163"/>
      <c r="AP365" s="163"/>
      <c r="AS365" s="148"/>
      <c r="AT365" s="146"/>
      <c r="BE365" s="148"/>
      <c r="BF365" s="146"/>
      <c r="BL365" s="148"/>
      <c r="BM365" s="146"/>
      <c r="BP365" s="148"/>
      <c r="BQ365" s="146"/>
      <c r="BV365" s="148"/>
      <c r="BW365" s="146"/>
      <c r="CC365" s="146"/>
      <c r="CH365" s="148"/>
      <c r="CI365" s="146"/>
    </row>
    <row r="366">
      <c r="C366" s="146"/>
      <c r="I366" s="163"/>
      <c r="J366" s="163"/>
      <c r="K366" s="163"/>
      <c r="Q366" s="148"/>
      <c r="AF366" s="148"/>
      <c r="AG366" s="146"/>
      <c r="AK366" s="148"/>
      <c r="AL366" s="146"/>
      <c r="AO366" s="163"/>
      <c r="AP366" s="163"/>
      <c r="AS366" s="148"/>
      <c r="AT366" s="146"/>
      <c r="BE366" s="148"/>
      <c r="BF366" s="146"/>
      <c r="BL366" s="148"/>
      <c r="BM366" s="146"/>
      <c r="BP366" s="148"/>
      <c r="BQ366" s="146"/>
      <c r="BV366" s="148"/>
      <c r="BW366" s="146"/>
      <c r="CC366" s="146"/>
      <c r="CH366" s="148"/>
      <c r="CI366" s="146"/>
    </row>
    <row r="367">
      <c r="C367" s="146"/>
      <c r="I367" s="163"/>
      <c r="J367" s="163"/>
      <c r="K367" s="163"/>
      <c r="Q367" s="148"/>
      <c r="AF367" s="148"/>
      <c r="AG367" s="146"/>
      <c r="AK367" s="148"/>
      <c r="AL367" s="146"/>
      <c r="AO367" s="163"/>
      <c r="AP367" s="163"/>
      <c r="AS367" s="148"/>
      <c r="AT367" s="146"/>
      <c r="BE367" s="148"/>
      <c r="BF367" s="146"/>
      <c r="BL367" s="148"/>
      <c r="BM367" s="146"/>
      <c r="BP367" s="148"/>
      <c r="BQ367" s="146"/>
      <c r="BV367" s="148"/>
      <c r="BW367" s="146"/>
      <c r="CC367" s="146"/>
      <c r="CH367" s="148"/>
      <c r="CI367" s="146"/>
    </row>
    <row r="368">
      <c r="C368" s="146"/>
      <c r="I368" s="163"/>
      <c r="J368" s="163"/>
      <c r="K368" s="163"/>
      <c r="Q368" s="148"/>
      <c r="AF368" s="148"/>
      <c r="AG368" s="146"/>
      <c r="AK368" s="148"/>
      <c r="AL368" s="146"/>
      <c r="AO368" s="163"/>
      <c r="AP368" s="163"/>
      <c r="AS368" s="148"/>
      <c r="AT368" s="146"/>
      <c r="BE368" s="148"/>
      <c r="BF368" s="146"/>
      <c r="BL368" s="148"/>
      <c r="BM368" s="146"/>
      <c r="BP368" s="148"/>
      <c r="BQ368" s="146"/>
      <c r="BV368" s="148"/>
      <c r="BW368" s="146"/>
      <c r="CC368" s="146"/>
      <c r="CH368" s="148"/>
      <c r="CI368" s="146"/>
    </row>
    <row r="369">
      <c r="C369" s="146"/>
      <c r="I369" s="163"/>
      <c r="J369" s="163"/>
      <c r="K369" s="163"/>
      <c r="Q369" s="148"/>
      <c r="AF369" s="148"/>
      <c r="AG369" s="146"/>
      <c r="AK369" s="148"/>
      <c r="AL369" s="146"/>
      <c r="AO369" s="163"/>
      <c r="AP369" s="163"/>
      <c r="AS369" s="148"/>
      <c r="AT369" s="146"/>
      <c r="BE369" s="148"/>
      <c r="BF369" s="146"/>
      <c r="BL369" s="148"/>
      <c r="BM369" s="146"/>
      <c r="BP369" s="148"/>
      <c r="BQ369" s="146"/>
      <c r="BV369" s="148"/>
      <c r="BW369" s="146"/>
      <c r="CC369" s="146"/>
      <c r="CH369" s="148"/>
      <c r="CI369" s="146"/>
    </row>
    <row r="370">
      <c r="C370" s="146"/>
      <c r="I370" s="163"/>
      <c r="J370" s="163"/>
      <c r="K370" s="163"/>
      <c r="Q370" s="148"/>
      <c r="AF370" s="148"/>
      <c r="AG370" s="146"/>
      <c r="AK370" s="148"/>
      <c r="AL370" s="146"/>
      <c r="AO370" s="163"/>
      <c r="AP370" s="163"/>
      <c r="AS370" s="148"/>
      <c r="AT370" s="146"/>
      <c r="BE370" s="148"/>
      <c r="BF370" s="146"/>
      <c r="BL370" s="148"/>
      <c r="BM370" s="146"/>
      <c r="BP370" s="148"/>
      <c r="BQ370" s="146"/>
      <c r="BV370" s="148"/>
      <c r="BW370" s="146"/>
      <c r="CC370" s="146"/>
      <c r="CH370" s="148"/>
      <c r="CI370" s="146"/>
    </row>
    <row r="371">
      <c r="C371" s="146"/>
      <c r="I371" s="163"/>
      <c r="J371" s="163"/>
      <c r="K371" s="163"/>
      <c r="Q371" s="148"/>
      <c r="AF371" s="148"/>
      <c r="AG371" s="146"/>
      <c r="AK371" s="148"/>
      <c r="AL371" s="146"/>
      <c r="AO371" s="163"/>
      <c r="AP371" s="163"/>
      <c r="AS371" s="148"/>
      <c r="AT371" s="146"/>
      <c r="BE371" s="148"/>
      <c r="BF371" s="146"/>
      <c r="BL371" s="148"/>
      <c r="BM371" s="146"/>
      <c r="BP371" s="148"/>
      <c r="BQ371" s="146"/>
      <c r="BV371" s="148"/>
      <c r="BW371" s="146"/>
      <c r="CC371" s="146"/>
      <c r="CH371" s="148"/>
      <c r="CI371" s="146"/>
    </row>
    <row r="372">
      <c r="C372" s="146"/>
      <c r="I372" s="163"/>
      <c r="J372" s="163"/>
      <c r="K372" s="163"/>
      <c r="Q372" s="148"/>
      <c r="AF372" s="148"/>
      <c r="AG372" s="146"/>
      <c r="AK372" s="148"/>
      <c r="AL372" s="146"/>
      <c r="AO372" s="163"/>
      <c r="AP372" s="163"/>
      <c r="AS372" s="148"/>
      <c r="AT372" s="146"/>
      <c r="BE372" s="148"/>
      <c r="BF372" s="146"/>
      <c r="BL372" s="148"/>
      <c r="BM372" s="146"/>
      <c r="BP372" s="148"/>
      <c r="BQ372" s="146"/>
      <c r="BV372" s="148"/>
      <c r="BW372" s="146"/>
      <c r="CC372" s="146"/>
      <c r="CH372" s="148"/>
      <c r="CI372" s="146"/>
    </row>
    <row r="373">
      <c r="C373" s="146"/>
      <c r="I373" s="163"/>
      <c r="J373" s="163"/>
      <c r="K373" s="163"/>
      <c r="Q373" s="148"/>
      <c r="AF373" s="148"/>
      <c r="AG373" s="146"/>
      <c r="AK373" s="148"/>
      <c r="AL373" s="146"/>
      <c r="AO373" s="163"/>
      <c r="AP373" s="163"/>
      <c r="AS373" s="148"/>
      <c r="AT373" s="146"/>
      <c r="BE373" s="148"/>
      <c r="BF373" s="146"/>
      <c r="BL373" s="148"/>
      <c r="BM373" s="146"/>
      <c r="BP373" s="148"/>
      <c r="BQ373" s="146"/>
      <c r="BV373" s="148"/>
      <c r="BW373" s="146"/>
      <c r="CC373" s="146"/>
      <c r="CH373" s="148"/>
      <c r="CI373" s="146"/>
    </row>
    <row r="374">
      <c r="C374" s="146"/>
      <c r="I374" s="163"/>
      <c r="J374" s="163"/>
      <c r="K374" s="163"/>
      <c r="Q374" s="148"/>
      <c r="AF374" s="148"/>
      <c r="AG374" s="146"/>
      <c r="AK374" s="148"/>
      <c r="AL374" s="146"/>
      <c r="AO374" s="163"/>
      <c r="AP374" s="163"/>
      <c r="AS374" s="148"/>
      <c r="AT374" s="146"/>
      <c r="BE374" s="148"/>
      <c r="BF374" s="146"/>
      <c r="BL374" s="148"/>
      <c r="BM374" s="146"/>
      <c r="BP374" s="148"/>
      <c r="BQ374" s="146"/>
      <c r="BV374" s="148"/>
      <c r="BW374" s="146"/>
      <c r="CC374" s="146"/>
      <c r="CH374" s="148"/>
      <c r="CI374" s="146"/>
    </row>
    <row r="375">
      <c r="C375" s="146"/>
      <c r="I375" s="163"/>
      <c r="J375" s="163"/>
      <c r="K375" s="163"/>
      <c r="Q375" s="148"/>
      <c r="AF375" s="148"/>
      <c r="AG375" s="146"/>
      <c r="AK375" s="148"/>
      <c r="AL375" s="146"/>
      <c r="AO375" s="163"/>
      <c r="AP375" s="163"/>
      <c r="AS375" s="148"/>
      <c r="AT375" s="146"/>
      <c r="BE375" s="148"/>
      <c r="BF375" s="146"/>
      <c r="BL375" s="148"/>
      <c r="BM375" s="146"/>
      <c r="BP375" s="148"/>
      <c r="BQ375" s="146"/>
      <c r="BV375" s="148"/>
      <c r="BW375" s="146"/>
      <c r="CC375" s="146"/>
      <c r="CH375" s="148"/>
      <c r="CI375" s="146"/>
    </row>
    <row r="376">
      <c r="C376" s="146"/>
      <c r="I376" s="163"/>
      <c r="J376" s="163"/>
      <c r="K376" s="163"/>
      <c r="Q376" s="148"/>
      <c r="AF376" s="148"/>
      <c r="AG376" s="146"/>
      <c r="AK376" s="148"/>
      <c r="AL376" s="146"/>
      <c r="AO376" s="163"/>
      <c r="AP376" s="163"/>
      <c r="AS376" s="148"/>
      <c r="AT376" s="146"/>
      <c r="BE376" s="148"/>
      <c r="BF376" s="146"/>
      <c r="BL376" s="148"/>
      <c r="BM376" s="146"/>
      <c r="BP376" s="148"/>
      <c r="BQ376" s="146"/>
      <c r="BV376" s="148"/>
      <c r="BW376" s="146"/>
      <c r="CC376" s="146"/>
      <c r="CH376" s="148"/>
      <c r="CI376" s="146"/>
    </row>
    <row r="377">
      <c r="C377" s="146"/>
      <c r="I377" s="163"/>
      <c r="J377" s="163"/>
      <c r="K377" s="163"/>
      <c r="Q377" s="148"/>
      <c r="AF377" s="148"/>
      <c r="AG377" s="146"/>
      <c r="AK377" s="148"/>
      <c r="AL377" s="146"/>
      <c r="AO377" s="163"/>
      <c r="AP377" s="163"/>
      <c r="AS377" s="148"/>
      <c r="AT377" s="146"/>
      <c r="BE377" s="148"/>
      <c r="BF377" s="146"/>
      <c r="BL377" s="148"/>
      <c r="BM377" s="146"/>
      <c r="BP377" s="148"/>
      <c r="BQ377" s="146"/>
      <c r="BV377" s="148"/>
      <c r="BW377" s="146"/>
      <c r="CC377" s="146"/>
      <c r="CH377" s="148"/>
      <c r="CI377" s="146"/>
    </row>
    <row r="378">
      <c r="C378" s="146"/>
      <c r="I378" s="163"/>
      <c r="J378" s="163"/>
      <c r="K378" s="163"/>
      <c r="Q378" s="148"/>
      <c r="AF378" s="148"/>
      <c r="AG378" s="146"/>
      <c r="AK378" s="148"/>
      <c r="AL378" s="146"/>
      <c r="AO378" s="163"/>
      <c r="AP378" s="163"/>
      <c r="AS378" s="148"/>
      <c r="AT378" s="146"/>
      <c r="BE378" s="148"/>
      <c r="BF378" s="146"/>
      <c r="BL378" s="148"/>
      <c r="BM378" s="146"/>
      <c r="BP378" s="148"/>
      <c r="BQ378" s="146"/>
      <c r="BV378" s="148"/>
      <c r="BW378" s="146"/>
      <c r="CC378" s="146"/>
      <c r="CH378" s="148"/>
      <c r="CI378" s="146"/>
    </row>
    <row r="379">
      <c r="C379" s="146"/>
      <c r="I379" s="163"/>
      <c r="J379" s="163"/>
      <c r="K379" s="163"/>
      <c r="Q379" s="148"/>
      <c r="AF379" s="148"/>
      <c r="AG379" s="146"/>
      <c r="AK379" s="148"/>
      <c r="AL379" s="146"/>
      <c r="AO379" s="163"/>
      <c r="AP379" s="163"/>
      <c r="AS379" s="148"/>
      <c r="AT379" s="146"/>
      <c r="BE379" s="148"/>
      <c r="BF379" s="146"/>
      <c r="BL379" s="148"/>
      <c r="BM379" s="146"/>
      <c r="BP379" s="148"/>
      <c r="BQ379" s="146"/>
      <c r="BV379" s="148"/>
      <c r="BW379" s="146"/>
      <c r="CC379" s="146"/>
      <c r="CH379" s="148"/>
      <c r="CI379" s="146"/>
    </row>
    <row r="380">
      <c r="C380" s="146"/>
      <c r="I380" s="163"/>
      <c r="J380" s="163"/>
      <c r="K380" s="163"/>
      <c r="Q380" s="148"/>
      <c r="AF380" s="148"/>
      <c r="AG380" s="146"/>
      <c r="AK380" s="148"/>
      <c r="AL380" s="146"/>
      <c r="AO380" s="163"/>
      <c r="AP380" s="163"/>
      <c r="AS380" s="148"/>
      <c r="AT380" s="146"/>
      <c r="BE380" s="148"/>
      <c r="BF380" s="146"/>
      <c r="BL380" s="148"/>
      <c r="BM380" s="146"/>
      <c r="BP380" s="148"/>
      <c r="BQ380" s="146"/>
      <c r="BV380" s="148"/>
      <c r="BW380" s="146"/>
      <c r="CC380" s="146"/>
      <c r="CH380" s="148"/>
      <c r="CI380" s="146"/>
    </row>
    <row r="381">
      <c r="C381" s="146"/>
      <c r="I381" s="163"/>
      <c r="J381" s="163"/>
      <c r="K381" s="163"/>
      <c r="Q381" s="148"/>
      <c r="AF381" s="148"/>
      <c r="AG381" s="146"/>
      <c r="AK381" s="148"/>
      <c r="AL381" s="146"/>
      <c r="AO381" s="163"/>
      <c r="AP381" s="163"/>
      <c r="AS381" s="148"/>
      <c r="AT381" s="146"/>
      <c r="BE381" s="148"/>
      <c r="BF381" s="146"/>
      <c r="BL381" s="148"/>
      <c r="BM381" s="146"/>
      <c r="BP381" s="148"/>
      <c r="BQ381" s="146"/>
      <c r="BV381" s="148"/>
      <c r="BW381" s="146"/>
      <c r="CC381" s="146"/>
      <c r="CH381" s="148"/>
      <c r="CI381" s="146"/>
    </row>
    <row r="382">
      <c r="C382" s="146"/>
      <c r="I382" s="163"/>
      <c r="J382" s="163"/>
      <c r="K382" s="163"/>
      <c r="Q382" s="148"/>
      <c r="AF382" s="148"/>
      <c r="AG382" s="146"/>
      <c r="AK382" s="148"/>
      <c r="AL382" s="146"/>
      <c r="AO382" s="163"/>
      <c r="AP382" s="163"/>
      <c r="AS382" s="148"/>
      <c r="AT382" s="146"/>
      <c r="BE382" s="148"/>
      <c r="BF382" s="146"/>
      <c r="BL382" s="148"/>
      <c r="BM382" s="146"/>
      <c r="BP382" s="148"/>
      <c r="BQ382" s="146"/>
      <c r="BV382" s="148"/>
      <c r="BW382" s="146"/>
      <c r="CC382" s="146"/>
      <c r="CH382" s="148"/>
      <c r="CI382" s="146"/>
    </row>
    <row r="383">
      <c r="C383" s="146"/>
      <c r="I383" s="163"/>
      <c r="J383" s="163"/>
      <c r="K383" s="163"/>
      <c r="Q383" s="148"/>
      <c r="AF383" s="148"/>
      <c r="AG383" s="146"/>
      <c r="AK383" s="148"/>
      <c r="AL383" s="146"/>
      <c r="AO383" s="163"/>
      <c r="AP383" s="163"/>
      <c r="AS383" s="148"/>
      <c r="AT383" s="146"/>
      <c r="BE383" s="148"/>
      <c r="BF383" s="146"/>
      <c r="BL383" s="148"/>
      <c r="BM383" s="146"/>
      <c r="BP383" s="148"/>
      <c r="BQ383" s="146"/>
      <c r="BV383" s="148"/>
      <c r="BW383" s="146"/>
      <c r="CC383" s="146"/>
      <c r="CH383" s="148"/>
      <c r="CI383" s="146"/>
    </row>
    <row r="384">
      <c r="C384" s="146"/>
      <c r="I384" s="163"/>
      <c r="J384" s="163"/>
      <c r="K384" s="163"/>
      <c r="Q384" s="148"/>
      <c r="AF384" s="148"/>
      <c r="AG384" s="146"/>
      <c r="AK384" s="148"/>
      <c r="AL384" s="146"/>
      <c r="AO384" s="163"/>
      <c r="AP384" s="163"/>
      <c r="AS384" s="148"/>
      <c r="AT384" s="146"/>
      <c r="BE384" s="148"/>
      <c r="BF384" s="146"/>
      <c r="BL384" s="148"/>
      <c r="BM384" s="146"/>
      <c r="BP384" s="148"/>
      <c r="BQ384" s="146"/>
      <c r="BV384" s="148"/>
      <c r="BW384" s="146"/>
      <c r="CC384" s="146"/>
      <c r="CH384" s="148"/>
      <c r="CI384" s="146"/>
    </row>
    <row r="385">
      <c r="C385" s="146"/>
      <c r="I385" s="163"/>
      <c r="J385" s="163"/>
      <c r="K385" s="163"/>
      <c r="Q385" s="148"/>
      <c r="AF385" s="148"/>
      <c r="AG385" s="146"/>
      <c r="AK385" s="148"/>
      <c r="AL385" s="146"/>
      <c r="AO385" s="163"/>
      <c r="AP385" s="163"/>
      <c r="AS385" s="148"/>
      <c r="AT385" s="146"/>
      <c r="BE385" s="148"/>
      <c r="BF385" s="146"/>
      <c r="BL385" s="148"/>
      <c r="BM385" s="146"/>
      <c r="BP385" s="148"/>
      <c r="BQ385" s="146"/>
      <c r="BV385" s="148"/>
      <c r="BW385" s="146"/>
      <c r="CC385" s="146"/>
      <c r="CH385" s="148"/>
      <c r="CI385" s="146"/>
    </row>
    <row r="386">
      <c r="C386" s="146"/>
      <c r="I386" s="163"/>
      <c r="J386" s="163"/>
      <c r="K386" s="163"/>
      <c r="Q386" s="148"/>
      <c r="AF386" s="148"/>
      <c r="AG386" s="146"/>
      <c r="AK386" s="148"/>
      <c r="AL386" s="146"/>
      <c r="AO386" s="163"/>
      <c r="AP386" s="163"/>
      <c r="AS386" s="148"/>
      <c r="AT386" s="146"/>
      <c r="BE386" s="148"/>
      <c r="BF386" s="146"/>
      <c r="BL386" s="148"/>
      <c r="BM386" s="146"/>
      <c r="BP386" s="148"/>
      <c r="BQ386" s="146"/>
      <c r="BV386" s="148"/>
      <c r="BW386" s="146"/>
      <c r="CC386" s="146"/>
      <c r="CH386" s="148"/>
      <c r="CI386" s="146"/>
    </row>
    <row r="387">
      <c r="C387" s="146"/>
      <c r="I387" s="163"/>
      <c r="J387" s="163"/>
      <c r="K387" s="163"/>
      <c r="Q387" s="148"/>
      <c r="AF387" s="148"/>
      <c r="AG387" s="146"/>
      <c r="AK387" s="148"/>
      <c r="AL387" s="146"/>
      <c r="AO387" s="163"/>
      <c r="AP387" s="163"/>
      <c r="AS387" s="148"/>
      <c r="AT387" s="146"/>
      <c r="BE387" s="148"/>
      <c r="BF387" s="146"/>
      <c r="BL387" s="148"/>
      <c r="BM387" s="146"/>
      <c r="BP387" s="148"/>
      <c r="BQ387" s="146"/>
      <c r="BV387" s="148"/>
      <c r="BW387" s="146"/>
      <c r="CC387" s="146"/>
      <c r="CH387" s="148"/>
      <c r="CI387" s="146"/>
    </row>
    <row r="388">
      <c r="C388" s="146"/>
      <c r="I388" s="163"/>
      <c r="J388" s="163"/>
      <c r="K388" s="163"/>
      <c r="Q388" s="148"/>
      <c r="AF388" s="148"/>
      <c r="AG388" s="146"/>
      <c r="AK388" s="148"/>
      <c r="AL388" s="146"/>
      <c r="AO388" s="163"/>
      <c r="AP388" s="163"/>
      <c r="AS388" s="148"/>
      <c r="AT388" s="146"/>
      <c r="BE388" s="148"/>
      <c r="BF388" s="146"/>
      <c r="BL388" s="148"/>
      <c r="BM388" s="146"/>
      <c r="BP388" s="148"/>
      <c r="BQ388" s="146"/>
      <c r="BV388" s="148"/>
      <c r="BW388" s="146"/>
      <c r="CC388" s="146"/>
      <c r="CH388" s="148"/>
      <c r="CI388" s="146"/>
    </row>
    <row r="389">
      <c r="C389" s="146"/>
      <c r="I389" s="163"/>
      <c r="J389" s="163"/>
      <c r="K389" s="163"/>
      <c r="Q389" s="148"/>
      <c r="AF389" s="148"/>
      <c r="AG389" s="146"/>
      <c r="AK389" s="148"/>
      <c r="AL389" s="146"/>
      <c r="AO389" s="163"/>
      <c r="AP389" s="163"/>
      <c r="AS389" s="148"/>
      <c r="AT389" s="146"/>
      <c r="BE389" s="148"/>
      <c r="BF389" s="146"/>
      <c r="BL389" s="148"/>
      <c r="BM389" s="146"/>
      <c r="BP389" s="148"/>
      <c r="BQ389" s="146"/>
      <c r="BV389" s="148"/>
      <c r="BW389" s="146"/>
      <c r="CC389" s="146"/>
      <c r="CH389" s="148"/>
      <c r="CI389" s="146"/>
    </row>
    <row r="390">
      <c r="C390" s="146"/>
      <c r="I390" s="163"/>
      <c r="J390" s="163"/>
      <c r="K390" s="163"/>
      <c r="Q390" s="148"/>
      <c r="AF390" s="148"/>
      <c r="AG390" s="146"/>
      <c r="AK390" s="148"/>
      <c r="AL390" s="146"/>
      <c r="AO390" s="163"/>
      <c r="AP390" s="163"/>
      <c r="AS390" s="148"/>
      <c r="AT390" s="146"/>
      <c r="BE390" s="148"/>
      <c r="BF390" s="146"/>
      <c r="BL390" s="148"/>
      <c r="BM390" s="146"/>
      <c r="BP390" s="148"/>
      <c r="BQ390" s="146"/>
      <c r="BV390" s="148"/>
      <c r="BW390" s="146"/>
      <c r="CC390" s="146"/>
      <c r="CH390" s="148"/>
      <c r="CI390" s="146"/>
    </row>
    <row r="391">
      <c r="C391" s="146"/>
      <c r="I391" s="163"/>
      <c r="J391" s="163"/>
      <c r="K391" s="163"/>
      <c r="Q391" s="148"/>
      <c r="AF391" s="148"/>
      <c r="AG391" s="146"/>
      <c r="AK391" s="148"/>
      <c r="AL391" s="146"/>
      <c r="AO391" s="163"/>
      <c r="AP391" s="163"/>
      <c r="AS391" s="148"/>
      <c r="AT391" s="146"/>
      <c r="BE391" s="148"/>
      <c r="BF391" s="146"/>
      <c r="BL391" s="148"/>
      <c r="BM391" s="146"/>
      <c r="BP391" s="148"/>
      <c r="BQ391" s="146"/>
      <c r="BV391" s="148"/>
      <c r="BW391" s="146"/>
      <c r="CC391" s="146"/>
      <c r="CH391" s="148"/>
      <c r="CI391" s="146"/>
    </row>
    <row r="392">
      <c r="C392" s="146"/>
      <c r="I392" s="163"/>
      <c r="J392" s="163"/>
      <c r="K392" s="163"/>
      <c r="Q392" s="148"/>
      <c r="AF392" s="148"/>
      <c r="AG392" s="146"/>
      <c r="AK392" s="148"/>
      <c r="AL392" s="146"/>
      <c r="AO392" s="163"/>
      <c r="AP392" s="163"/>
      <c r="AS392" s="148"/>
      <c r="AT392" s="146"/>
      <c r="BE392" s="148"/>
      <c r="BF392" s="146"/>
      <c r="BL392" s="148"/>
      <c r="BM392" s="146"/>
      <c r="BP392" s="148"/>
      <c r="BQ392" s="146"/>
      <c r="BV392" s="148"/>
      <c r="BW392" s="146"/>
      <c r="CC392" s="146"/>
      <c r="CH392" s="148"/>
      <c r="CI392" s="146"/>
    </row>
    <row r="393">
      <c r="C393" s="146"/>
      <c r="I393" s="163"/>
      <c r="J393" s="163"/>
      <c r="K393" s="163"/>
      <c r="Q393" s="148"/>
      <c r="AF393" s="148"/>
      <c r="AG393" s="146"/>
      <c r="AK393" s="148"/>
      <c r="AL393" s="146"/>
      <c r="AO393" s="163"/>
      <c r="AP393" s="163"/>
      <c r="AS393" s="148"/>
      <c r="AT393" s="146"/>
      <c r="BE393" s="148"/>
      <c r="BF393" s="146"/>
      <c r="BL393" s="148"/>
      <c r="BM393" s="146"/>
      <c r="BP393" s="148"/>
      <c r="BQ393" s="146"/>
      <c r="BV393" s="148"/>
      <c r="BW393" s="146"/>
      <c r="CC393" s="146"/>
      <c r="CH393" s="148"/>
      <c r="CI393" s="146"/>
    </row>
    <row r="394">
      <c r="C394" s="146"/>
      <c r="I394" s="163"/>
      <c r="J394" s="163"/>
      <c r="K394" s="163"/>
      <c r="Q394" s="148"/>
      <c r="AF394" s="148"/>
      <c r="AG394" s="146"/>
      <c r="AK394" s="148"/>
      <c r="AL394" s="146"/>
      <c r="AO394" s="163"/>
      <c r="AP394" s="163"/>
      <c r="AS394" s="148"/>
      <c r="AT394" s="146"/>
      <c r="BE394" s="148"/>
      <c r="BF394" s="146"/>
      <c r="BL394" s="148"/>
      <c r="BM394" s="146"/>
      <c r="BP394" s="148"/>
      <c r="BQ394" s="146"/>
      <c r="BV394" s="148"/>
      <c r="BW394" s="146"/>
      <c r="CC394" s="146"/>
      <c r="CH394" s="148"/>
      <c r="CI394" s="146"/>
    </row>
    <row r="395">
      <c r="C395" s="146"/>
      <c r="I395" s="163"/>
      <c r="J395" s="163"/>
      <c r="K395" s="163"/>
      <c r="Q395" s="148"/>
      <c r="AF395" s="148"/>
      <c r="AG395" s="146"/>
      <c r="AK395" s="148"/>
      <c r="AL395" s="146"/>
      <c r="AO395" s="163"/>
      <c r="AP395" s="163"/>
      <c r="AS395" s="148"/>
      <c r="AT395" s="146"/>
      <c r="BE395" s="148"/>
      <c r="BF395" s="146"/>
      <c r="BL395" s="148"/>
      <c r="BM395" s="146"/>
      <c r="BP395" s="148"/>
      <c r="BQ395" s="146"/>
      <c r="BV395" s="148"/>
      <c r="BW395" s="146"/>
      <c r="CC395" s="146"/>
      <c r="CH395" s="148"/>
      <c r="CI395" s="146"/>
    </row>
    <row r="396">
      <c r="C396" s="146"/>
      <c r="I396" s="163"/>
      <c r="J396" s="163"/>
      <c r="K396" s="163"/>
      <c r="Q396" s="148"/>
      <c r="AF396" s="148"/>
      <c r="AG396" s="146"/>
      <c r="AK396" s="148"/>
      <c r="AL396" s="146"/>
      <c r="AO396" s="163"/>
      <c r="AP396" s="163"/>
      <c r="AS396" s="148"/>
      <c r="AT396" s="146"/>
      <c r="BE396" s="148"/>
      <c r="BF396" s="146"/>
      <c r="BL396" s="148"/>
      <c r="BM396" s="146"/>
      <c r="BP396" s="148"/>
      <c r="BQ396" s="146"/>
      <c r="BV396" s="148"/>
      <c r="BW396" s="146"/>
      <c r="CC396" s="146"/>
      <c r="CH396" s="148"/>
      <c r="CI396" s="146"/>
    </row>
    <row r="397">
      <c r="C397" s="146"/>
      <c r="I397" s="163"/>
      <c r="J397" s="163"/>
      <c r="K397" s="163"/>
      <c r="Q397" s="148"/>
      <c r="AF397" s="148"/>
      <c r="AG397" s="146"/>
      <c r="AK397" s="148"/>
      <c r="AL397" s="146"/>
      <c r="AO397" s="163"/>
      <c r="AP397" s="163"/>
      <c r="AS397" s="148"/>
      <c r="AT397" s="146"/>
      <c r="BE397" s="148"/>
      <c r="BF397" s="146"/>
      <c r="BL397" s="148"/>
      <c r="BM397" s="146"/>
      <c r="BP397" s="148"/>
      <c r="BQ397" s="146"/>
      <c r="BV397" s="148"/>
      <c r="BW397" s="146"/>
      <c r="CC397" s="146"/>
      <c r="CH397" s="148"/>
      <c r="CI397" s="146"/>
    </row>
    <row r="398">
      <c r="C398" s="146"/>
      <c r="I398" s="163"/>
      <c r="J398" s="163"/>
      <c r="K398" s="163"/>
      <c r="Q398" s="148"/>
      <c r="AF398" s="148"/>
      <c r="AG398" s="146"/>
      <c r="AK398" s="148"/>
      <c r="AL398" s="146"/>
      <c r="AO398" s="163"/>
      <c r="AP398" s="163"/>
      <c r="AS398" s="148"/>
      <c r="AT398" s="146"/>
      <c r="BE398" s="148"/>
      <c r="BF398" s="146"/>
      <c r="BL398" s="148"/>
      <c r="BM398" s="146"/>
      <c r="BP398" s="148"/>
      <c r="BQ398" s="146"/>
      <c r="BV398" s="148"/>
      <c r="BW398" s="146"/>
      <c r="CC398" s="146"/>
      <c r="CH398" s="148"/>
      <c r="CI398" s="146"/>
    </row>
    <row r="399">
      <c r="C399" s="146"/>
      <c r="I399" s="163"/>
      <c r="J399" s="163"/>
      <c r="K399" s="163"/>
      <c r="Q399" s="148"/>
      <c r="AF399" s="148"/>
      <c r="AG399" s="146"/>
      <c r="AK399" s="148"/>
      <c r="AL399" s="146"/>
      <c r="AO399" s="163"/>
      <c r="AP399" s="163"/>
      <c r="AS399" s="148"/>
      <c r="AT399" s="146"/>
      <c r="BE399" s="148"/>
      <c r="BF399" s="146"/>
      <c r="BL399" s="148"/>
      <c r="BM399" s="146"/>
      <c r="BP399" s="148"/>
      <c r="BQ399" s="146"/>
      <c r="BV399" s="148"/>
      <c r="BW399" s="146"/>
      <c r="CC399" s="146"/>
      <c r="CH399" s="148"/>
      <c r="CI399" s="146"/>
    </row>
    <row r="400">
      <c r="C400" s="146"/>
      <c r="I400" s="163"/>
      <c r="J400" s="163"/>
      <c r="K400" s="163"/>
      <c r="Q400" s="148"/>
      <c r="AF400" s="148"/>
      <c r="AG400" s="146"/>
      <c r="AK400" s="148"/>
      <c r="AL400" s="146"/>
      <c r="AO400" s="163"/>
      <c r="AP400" s="163"/>
      <c r="AS400" s="148"/>
      <c r="AT400" s="146"/>
      <c r="BE400" s="148"/>
      <c r="BF400" s="146"/>
      <c r="BL400" s="148"/>
      <c r="BM400" s="146"/>
      <c r="BP400" s="148"/>
      <c r="BQ400" s="146"/>
      <c r="BV400" s="148"/>
      <c r="BW400" s="146"/>
      <c r="CC400" s="146"/>
      <c r="CH400" s="148"/>
      <c r="CI400" s="146"/>
    </row>
    <row r="401">
      <c r="C401" s="146"/>
      <c r="I401" s="163"/>
      <c r="J401" s="163"/>
      <c r="K401" s="163"/>
      <c r="Q401" s="148"/>
      <c r="AF401" s="148"/>
      <c r="AG401" s="146"/>
      <c r="AK401" s="148"/>
      <c r="AL401" s="146"/>
      <c r="AO401" s="163"/>
      <c r="AP401" s="163"/>
      <c r="AS401" s="148"/>
      <c r="AT401" s="146"/>
      <c r="BE401" s="148"/>
      <c r="BF401" s="146"/>
      <c r="BL401" s="148"/>
      <c r="BM401" s="146"/>
      <c r="BP401" s="148"/>
      <c r="BQ401" s="146"/>
      <c r="BV401" s="148"/>
      <c r="BW401" s="146"/>
      <c r="CC401" s="146"/>
      <c r="CH401" s="148"/>
      <c r="CI401" s="146"/>
    </row>
    <row r="402">
      <c r="C402" s="146"/>
      <c r="I402" s="163"/>
      <c r="J402" s="163"/>
      <c r="K402" s="163"/>
      <c r="Q402" s="148"/>
      <c r="AF402" s="148"/>
      <c r="AG402" s="146"/>
      <c r="AK402" s="148"/>
      <c r="AL402" s="146"/>
      <c r="AO402" s="163"/>
      <c r="AP402" s="163"/>
      <c r="AS402" s="148"/>
      <c r="AT402" s="146"/>
      <c r="BE402" s="148"/>
      <c r="BF402" s="146"/>
      <c r="BL402" s="148"/>
      <c r="BM402" s="146"/>
      <c r="BP402" s="148"/>
      <c r="BQ402" s="146"/>
      <c r="BV402" s="148"/>
      <c r="BW402" s="146"/>
      <c r="CC402" s="146"/>
      <c r="CH402" s="148"/>
      <c r="CI402" s="146"/>
    </row>
    <row r="403">
      <c r="C403" s="146"/>
      <c r="I403" s="163"/>
      <c r="J403" s="163"/>
      <c r="K403" s="163"/>
      <c r="Q403" s="148"/>
      <c r="AF403" s="148"/>
      <c r="AG403" s="146"/>
      <c r="AK403" s="148"/>
      <c r="AL403" s="146"/>
      <c r="AO403" s="163"/>
      <c r="AP403" s="163"/>
      <c r="AS403" s="148"/>
      <c r="AT403" s="146"/>
      <c r="BE403" s="148"/>
      <c r="BF403" s="146"/>
      <c r="BL403" s="148"/>
      <c r="BM403" s="146"/>
      <c r="BP403" s="148"/>
      <c r="BQ403" s="146"/>
      <c r="BV403" s="148"/>
      <c r="BW403" s="146"/>
      <c r="CC403" s="146"/>
      <c r="CH403" s="148"/>
      <c r="CI403" s="146"/>
    </row>
    <row r="404">
      <c r="C404" s="146"/>
      <c r="I404" s="163"/>
      <c r="J404" s="163"/>
      <c r="K404" s="163"/>
      <c r="Q404" s="148"/>
      <c r="AF404" s="148"/>
      <c r="AG404" s="146"/>
      <c r="AK404" s="148"/>
      <c r="AL404" s="146"/>
      <c r="AO404" s="163"/>
      <c r="AP404" s="163"/>
      <c r="AS404" s="148"/>
      <c r="AT404" s="146"/>
      <c r="BE404" s="148"/>
      <c r="BF404" s="146"/>
      <c r="BL404" s="148"/>
      <c r="BM404" s="146"/>
      <c r="BP404" s="148"/>
      <c r="BQ404" s="146"/>
      <c r="BV404" s="148"/>
      <c r="BW404" s="146"/>
      <c r="CC404" s="146"/>
      <c r="CH404" s="148"/>
      <c r="CI404" s="146"/>
    </row>
    <row r="405">
      <c r="C405" s="146"/>
      <c r="I405" s="163"/>
      <c r="J405" s="163"/>
      <c r="K405" s="163"/>
      <c r="Q405" s="148"/>
      <c r="AF405" s="148"/>
      <c r="AG405" s="146"/>
      <c r="AK405" s="148"/>
      <c r="AL405" s="146"/>
      <c r="AO405" s="163"/>
      <c r="AP405" s="163"/>
      <c r="AS405" s="148"/>
      <c r="AT405" s="146"/>
      <c r="BE405" s="148"/>
      <c r="BF405" s="146"/>
      <c r="BL405" s="148"/>
      <c r="BM405" s="146"/>
      <c r="BP405" s="148"/>
      <c r="BQ405" s="146"/>
      <c r="BV405" s="148"/>
      <c r="BW405" s="146"/>
      <c r="CC405" s="146"/>
      <c r="CH405" s="148"/>
      <c r="CI405" s="146"/>
    </row>
    <row r="406">
      <c r="C406" s="146"/>
      <c r="I406" s="163"/>
      <c r="J406" s="163"/>
      <c r="K406" s="163"/>
      <c r="Q406" s="148"/>
      <c r="AF406" s="148"/>
      <c r="AG406" s="146"/>
      <c r="AK406" s="148"/>
      <c r="AL406" s="146"/>
      <c r="AO406" s="163"/>
      <c r="AP406" s="163"/>
      <c r="AS406" s="148"/>
      <c r="AT406" s="146"/>
      <c r="BE406" s="148"/>
      <c r="BF406" s="146"/>
      <c r="BL406" s="148"/>
      <c r="BM406" s="146"/>
      <c r="BP406" s="148"/>
      <c r="BQ406" s="146"/>
      <c r="BV406" s="148"/>
      <c r="BW406" s="146"/>
      <c r="CC406" s="146"/>
      <c r="CH406" s="148"/>
      <c r="CI406" s="146"/>
    </row>
    <row r="407">
      <c r="C407" s="146"/>
      <c r="I407" s="163"/>
      <c r="J407" s="163"/>
      <c r="K407" s="163"/>
      <c r="Q407" s="148"/>
      <c r="AF407" s="148"/>
      <c r="AG407" s="146"/>
      <c r="AK407" s="148"/>
      <c r="AL407" s="146"/>
      <c r="AO407" s="163"/>
      <c r="AP407" s="163"/>
      <c r="AS407" s="148"/>
      <c r="AT407" s="146"/>
      <c r="BE407" s="148"/>
      <c r="BF407" s="146"/>
      <c r="BL407" s="148"/>
      <c r="BM407" s="146"/>
      <c r="BP407" s="148"/>
      <c r="BQ407" s="146"/>
      <c r="BV407" s="148"/>
      <c r="BW407" s="146"/>
      <c r="CC407" s="146"/>
      <c r="CH407" s="148"/>
      <c r="CI407" s="146"/>
    </row>
    <row r="408">
      <c r="C408" s="146"/>
      <c r="I408" s="163"/>
      <c r="J408" s="163"/>
      <c r="K408" s="163"/>
      <c r="Q408" s="148"/>
      <c r="AF408" s="148"/>
      <c r="AG408" s="146"/>
      <c r="AK408" s="148"/>
      <c r="AL408" s="146"/>
      <c r="AO408" s="163"/>
      <c r="AP408" s="163"/>
      <c r="AS408" s="148"/>
      <c r="AT408" s="146"/>
      <c r="BE408" s="148"/>
      <c r="BF408" s="146"/>
      <c r="BL408" s="148"/>
      <c r="BM408" s="146"/>
      <c r="BP408" s="148"/>
      <c r="BQ408" s="146"/>
      <c r="BV408" s="148"/>
      <c r="BW408" s="146"/>
      <c r="CC408" s="146"/>
      <c r="CH408" s="148"/>
      <c r="CI408" s="146"/>
    </row>
    <row r="409">
      <c r="C409" s="146"/>
      <c r="I409" s="163"/>
      <c r="J409" s="163"/>
      <c r="K409" s="163"/>
      <c r="Q409" s="148"/>
      <c r="AF409" s="148"/>
      <c r="AG409" s="146"/>
      <c r="AK409" s="148"/>
      <c r="AL409" s="146"/>
      <c r="AO409" s="163"/>
      <c r="AP409" s="163"/>
      <c r="AS409" s="148"/>
      <c r="AT409" s="146"/>
      <c r="BE409" s="148"/>
      <c r="BF409" s="146"/>
      <c r="BL409" s="148"/>
      <c r="BM409" s="146"/>
      <c r="BP409" s="148"/>
      <c r="BQ409" s="146"/>
      <c r="BV409" s="148"/>
      <c r="BW409" s="146"/>
      <c r="CC409" s="146"/>
      <c r="CH409" s="148"/>
      <c r="CI409" s="146"/>
    </row>
    <row r="410">
      <c r="C410" s="146"/>
      <c r="I410" s="163"/>
      <c r="J410" s="163"/>
      <c r="K410" s="163"/>
      <c r="Q410" s="148"/>
      <c r="AF410" s="148"/>
      <c r="AG410" s="146"/>
      <c r="AK410" s="148"/>
      <c r="AL410" s="146"/>
      <c r="AO410" s="163"/>
      <c r="AP410" s="163"/>
      <c r="AS410" s="148"/>
      <c r="AT410" s="146"/>
      <c r="BE410" s="148"/>
      <c r="BF410" s="146"/>
      <c r="BL410" s="148"/>
      <c r="BM410" s="146"/>
      <c r="BP410" s="148"/>
      <c r="BQ410" s="146"/>
      <c r="BV410" s="148"/>
      <c r="BW410" s="146"/>
      <c r="CC410" s="146"/>
      <c r="CH410" s="148"/>
      <c r="CI410" s="146"/>
    </row>
    <row r="411">
      <c r="C411" s="146"/>
      <c r="I411" s="163"/>
      <c r="J411" s="163"/>
      <c r="K411" s="163"/>
      <c r="Q411" s="148"/>
      <c r="AF411" s="148"/>
      <c r="AG411" s="146"/>
      <c r="AK411" s="148"/>
      <c r="AL411" s="146"/>
      <c r="AO411" s="163"/>
      <c r="AP411" s="163"/>
      <c r="AS411" s="148"/>
      <c r="AT411" s="146"/>
      <c r="BE411" s="148"/>
      <c r="BF411" s="146"/>
      <c r="BL411" s="148"/>
      <c r="BM411" s="146"/>
      <c r="BP411" s="148"/>
      <c r="BQ411" s="146"/>
      <c r="BV411" s="148"/>
      <c r="BW411" s="146"/>
      <c r="CC411" s="146"/>
      <c r="CH411" s="148"/>
      <c r="CI411" s="146"/>
    </row>
    <row r="412">
      <c r="C412" s="146"/>
      <c r="I412" s="163"/>
      <c r="J412" s="163"/>
      <c r="K412" s="163"/>
      <c r="Q412" s="148"/>
      <c r="AF412" s="148"/>
      <c r="AG412" s="146"/>
      <c r="AK412" s="148"/>
      <c r="AL412" s="146"/>
      <c r="AO412" s="163"/>
      <c r="AP412" s="163"/>
      <c r="AS412" s="148"/>
      <c r="AT412" s="146"/>
      <c r="BE412" s="148"/>
      <c r="BF412" s="146"/>
      <c r="BL412" s="148"/>
      <c r="BM412" s="146"/>
      <c r="BP412" s="148"/>
      <c r="BQ412" s="146"/>
      <c r="BV412" s="148"/>
      <c r="BW412" s="146"/>
      <c r="CC412" s="146"/>
      <c r="CH412" s="148"/>
      <c r="CI412" s="146"/>
    </row>
    <row r="413">
      <c r="C413" s="146"/>
      <c r="I413" s="163"/>
      <c r="J413" s="163"/>
      <c r="K413" s="163"/>
      <c r="Q413" s="148"/>
      <c r="AF413" s="148"/>
      <c r="AG413" s="146"/>
      <c r="AK413" s="148"/>
      <c r="AL413" s="146"/>
      <c r="AO413" s="163"/>
      <c r="AP413" s="163"/>
      <c r="AS413" s="148"/>
      <c r="AT413" s="146"/>
      <c r="BE413" s="148"/>
      <c r="BF413" s="146"/>
      <c r="BL413" s="148"/>
      <c r="BM413" s="146"/>
      <c r="BP413" s="148"/>
      <c r="BQ413" s="146"/>
      <c r="BV413" s="148"/>
      <c r="BW413" s="146"/>
      <c r="CC413" s="146"/>
      <c r="CH413" s="148"/>
      <c r="CI413" s="146"/>
    </row>
    <row r="414">
      <c r="C414" s="146"/>
      <c r="I414" s="163"/>
      <c r="J414" s="163"/>
      <c r="K414" s="163"/>
      <c r="Q414" s="148"/>
      <c r="AF414" s="148"/>
      <c r="AG414" s="146"/>
      <c r="AK414" s="148"/>
      <c r="AL414" s="146"/>
      <c r="AO414" s="163"/>
      <c r="AP414" s="163"/>
      <c r="AS414" s="148"/>
      <c r="AT414" s="146"/>
      <c r="BE414" s="148"/>
      <c r="BF414" s="146"/>
      <c r="BL414" s="148"/>
      <c r="BM414" s="146"/>
      <c r="BP414" s="148"/>
      <c r="BQ414" s="146"/>
      <c r="BV414" s="148"/>
      <c r="BW414" s="146"/>
      <c r="CC414" s="146"/>
      <c r="CH414" s="148"/>
      <c r="CI414" s="146"/>
    </row>
    <row r="415">
      <c r="C415" s="146"/>
      <c r="I415" s="163"/>
      <c r="J415" s="163"/>
      <c r="K415" s="163"/>
      <c r="Q415" s="148"/>
      <c r="AF415" s="148"/>
      <c r="AG415" s="146"/>
      <c r="AK415" s="148"/>
      <c r="AL415" s="146"/>
      <c r="AO415" s="163"/>
      <c r="AP415" s="163"/>
      <c r="AS415" s="148"/>
      <c r="AT415" s="146"/>
      <c r="BE415" s="148"/>
      <c r="BF415" s="146"/>
      <c r="BL415" s="148"/>
      <c r="BM415" s="146"/>
      <c r="BP415" s="148"/>
      <c r="BQ415" s="146"/>
      <c r="BV415" s="148"/>
      <c r="BW415" s="146"/>
      <c r="CC415" s="146"/>
      <c r="CH415" s="148"/>
      <c r="CI415" s="146"/>
    </row>
    <row r="416">
      <c r="C416" s="146"/>
      <c r="I416" s="163"/>
      <c r="J416" s="163"/>
      <c r="K416" s="163"/>
      <c r="Q416" s="148"/>
      <c r="AF416" s="148"/>
      <c r="AG416" s="146"/>
      <c r="AK416" s="148"/>
      <c r="AL416" s="146"/>
      <c r="AO416" s="163"/>
      <c r="AP416" s="163"/>
      <c r="AS416" s="148"/>
      <c r="AT416" s="146"/>
      <c r="BE416" s="148"/>
      <c r="BF416" s="146"/>
      <c r="BL416" s="148"/>
      <c r="BM416" s="146"/>
      <c r="BP416" s="148"/>
      <c r="BQ416" s="146"/>
      <c r="BV416" s="148"/>
      <c r="BW416" s="146"/>
      <c r="CC416" s="146"/>
      <c r="CH416" s="148"/>
      <c r="CI416" s="146"/>
    </row>
    <row r="417">
      <c r="C417" s="146"/>
      <c r="I417" s="163"/>
      <c r="J417" s="163"/>
      <c r="K417" s="163"/>
      <c r="Q417" s="148"/>
      <c r="AF417" s="148"/>
      <c r="AG417" s="146"/>
      <c r="AK417" s="148"/>
      <c r="AL417" s="146"/>
      <c r="AO417" s="163"/>
      <c r="AP417" s="163"/>
      <c r="AS417" s="148"/>
      <c r="AT417" s="146"/>
      <c r="BE417" s="148"/>
      <c r="BF417" s="146"/>
      <c r="BL417" s="148"/>
      <c r="BM417" s="146"/>
      <c r="BP417" s="148"/>
      <c r="BQ417" s="146"/>
      <c r="BV417" s="148"/>
      <c r="BW417" s="146"/>
      <c r="CC417" s="146"/>
      <c r="CH417" s="148"/>
      <c r="CI417" s="146"/>
    </row>
    <row r="418">
      <c r="C418" s="146"/>
      <c r="I418" s="163"/>
      <c r="J418" s="163"/>
      <c r="K418" s="163"/>
      <c r="Q418" s="148"/>
      <c r="AF418" s="148"/>
      <c r="AG418" s="146"/>
      <c r="AK418" s="148"/>
      <c r="AL418" s="146"/>
      <c r="AO418" s="163"/>
      <c r="AP418" s="163"/>
      <c r="AS418" s="148"/>
      <c r="AT418" s="146"/>
      <c r="BE418" s="148"/>
      <c r="BF418" s="146"/>
      <c r="BL418" s="148"/>
      <c r="BM418" s="146"/>
      <c r="BP418" s="148"/>
      <c r="BQ418" s="146"/>
      <c r="BV418" s="148"/>
      <c r="BW418" s="146"/>
      <c r="CC418" s="146"/>
      <c r="CH418" s="148"/>
      <c r="CI418" s="146"/>
    </row>
    <row r="419">
      <c r="C419" s="146"/>
      <c r="I419" s="163"/>
      <c r="J419" s="163"/>
      <c r="K419" s="163"/>
      <c r="Q419" s="148"/>
      <c r="AF419" s="148"/>
      <c r="AG419" s="146"/>
      <c r="AK419" s="148"/>
      <c r="AL419" s="146"/>
      <c r="AO419" s="163"/>
      <c r="AP419" s="163"/>
      <c r="AS419" s="148"/>
      <c r="AT419" s="146"/>
      <c r="BE419" s="148"/>
      <c r="BF419" s="146"/>
      <c r="BL419" s="148"/>
      <c r="BM419" s="146"/>
      <c r="BP419" s="148"/>
      <c r="BQ419" s="146"/>
      <c r="BV419" s="148"/>
      <c r="BW419" s="146"/>
      <c r="CC419" s="146"/>
      <c r="CH419" s="148"/>
      <c r="CI419" s="146"/>
    </row>
    <row r="420">
      <c r="C420" s="146"/>
      <c r="I420" s="163"/>
      <c r="J420" s="163"/>
      <c r="K420" s="163"/>
      <c r="Q420" s="148"/>
      <c r="AF420" s="148"/>
      <c r="AG420" s="146"/>
      <c r="AK420" s="148"/>
      <c r="AL420" s="146"/>
      <c r="AO420" s="163"/>
      <c r="AP420" s="163"/>
      <c r="AS420" s="148"/>
      <c r="AT420" s="146"/>
      <c r="BE420" s="148"/>
      <c r="BF420" s="146"/>
      <c r="BL420" s="148"/>
      <c r="BM420" s="146"/>
      <c r="BP420" s="148"/>
      <c r="BQ420" s="146"/>
      <c r="BV420" s="148"/>
      <c r="BW420" s="146"/>
      <c r="CC420" s="146"/>
      <c r="CH420" s="148"/>
      <c r="CI420" s="146"/>
    </row>
    <row r="421">
      <c r="C421" s="146"/>
      <c r="I421" s="163"/>
      <c r="J421" s="163"/>
      <c r="K421" s="163"/>
      <c r="Q421" s="148"/>
      <c r="AF421" s="148"/>
      <c r="AG421" s="146"/>
      <c r="AK421" s="148"/>
      <c r="AL421" s="146"/>
      <c r="AO421" s="163"/>
      <c r="AP421" s="163"/>
      <c r="AS421" s="148"/>
      <c r="AT421" s="146"/>
      <c r="BE421" s="148"/>
      <c r="BF421" s="146"/>
      <c r="BL421" s="148"/>
      <c r="BM421" s="146"/>
      <c r="BP421" s="148"/>
      <c r="BQ421" s="146"/>
      <c r="BV421" s="148"/>
      <c r="BW421" s="146"/>
      <c r="CC421" s="146"/>
      <c r="CH421" s="148"/>
      <c r="CI421" s="146"/>
    </row>
    <row r="422">
      <c r="C422" s="146"/>
      <c r="I422" s="163"/>
      <c r="J422" s="163"/>
      <c r="K422" s="163"/>
      <c r="Q422" s="148"/>
      <c r="AF422" s="148"/>
      <c r="AG422" s="146"/>
      <c r="AK422" s="148"/>
      <c r="AL422" s="146"/>
      <c r="AO422" s="163"/>
      <c r="AP422" s="163"/>
      <c r="AS422" s="148"/>
      <c r="AT422" s="146"/>
      <c r="BE422" s="148"/>
      <c r="BF422" s="146"/>
      <c r="BL422" s="148"/>
      <c r="BM422" s="146"/>
      <c r="BP422" s="148"/>
      <c r="BQ422" s="146"/>
      <c r="BV422" s="148"/>
      <c r="BW422" s="146"/>
      <c r="CC422" s="146"/>
      <c r="CH422" s="148"/>
      <c r="CI422" s="146"/>
    </row>
    <row r="423">
      <c r="C423" s="146"/>
      <c r="I423" s="163"/>
      <c r="J423" s="163"/>
      <c r="K423" s="163"/>
      <c r="Q423" s="148"/>
      <c r="AF423" s="148"/>
      <c r="AG423" s="146"/>
      <c r="AK423" s="148"/>
      <c r="AL423" s="146"/>
      <c r="AO423" s="163"/>
      <c r="AP423" s="163"/>
      <c r="AS423" s="148"/>
      <c r="AT423" s="146"/>
      <c r="BE423" s="148"/>
      <c r="BF423" s="146"/>
      <c r="BL423" s="148"/>
      <c r="BM423" s="146"/>
      <c r="BP423" s="148"/>
      <c r="BQ423" s="146"/>
      <c r="BV423" s="148"/>
      <c r="BW423" s="146"/>
      <c r="CC423" s="146"/>
      <c r="CH423" s="148"/>
      <c r="CI423" s="146"/>
    </row>
    <row r="424">
      <c r="C424" s="146"/>
      <c r="I424" s="163"/>
      <c r="J424" s="163"/>
      <c r="K424" s="163"/>
      <c r="Q424" s="148"/>
      <c r="AF424" s="148"/>
      <c r="AG424" s="146"/>
      <c r="AK424" s="148"/>
      <c r="AL424" s="146"/>
      <c r="AO424" s="163"/>
      <c r="AP424" s="163"/>
      <c r="AS424" s="148"/>
      <c r="AT424" s="146"/>
      <c r="BE424" s="148"/>
      <c r="BF424" s="146"/>
      <c r="BL424" s="148"/>
      <c r="BM424" s="146"/>
      <c r="BP424" s="148"/>
      <c r="BQ424" s="146"/>
      <c r="BV424" s="148"/>
      <c r="BW424" s="146"/>
      <c r="CC424" s="146"/>
      <c r="CH424" s="148"/>
      <c r="CI424" s="146"/>
    </row>
    <row r="425">
      <c r="C425" s="146"/>
      <c r="I425" s="163"/>
      <c r="J425" s="163"/>
      <c r="K425" s="163"/>
      <c r="Q425" s="148"/>
      <c r="AF425" s="148"/>
      <c r="AG425" s="146"/>
      <c r="AK425" s="148"/>
      <c r="AL425" s="146"/>
      <c r="AO425" s="163"/>
      <c r="AP425" s="163"/>
      <c r="AS425" s="148"/>
      <c r="AT425" s="146"/>
      <c r="BE425" s="148"/>
      <c r="BF425" s="146"/>
      <c r="BL425" s="148"/>
      <c r="BM425" s="146"/>
      <c r="BP425" s="148"/>
      <c r="BQ425" s="146"/>
      <c r="BV425" s="148"/>
      <c r="BW425" s="146"/>
      <c r="CC425" s="146"/>
      <c r="CH425" s="148"/>
      <c r="CI425" s="146"/>
    </row>
    <row r="426">
      <c r="C426" s="146"/>
      <c r="I426" s="163"/>
      <c r="J426" s="163"/>
      <c r="K426" s="163"/>
      <c r="Q426" s="148"/>
      <c r="AF426" s="148"/>
      <c r="AG426" s="146"/>
      <c r="AK426" s="148"/>
      <c r="AL426" s="146"/>
      <c r="AO426" s="163"/>
      <c r="AP426" s="163"/>
      <c r="AS426" s="148"/>
      <c r="AT426" s="146"/>
      <c r="BE426" s="148"/>
      <c r="BF426" s="146"/>
      <c r="BL426" s="148"/>
      <c r="BM426" s="146"/>
      <c r="BP426" s="148"/>
      <c r="BQ426" s="146"/>
      <c r="BV426" s="148"/>
      <c r="BW426" s="146"/>
      <c r="CC426" s="146"/>
      <c r="CH426" s="148"/>
      <c r="CI426" s="146"/>
    </row>
    <row r="427">
      <c r="C427" s="146"/>
      <c r="I427" s="163"/>
      <c r="J427" s="163"/>
      <c r="K427" s="163"/>
      <c r="Q427" s="148"/>
      <c r="AF427" s="148"/>
      <c r="AG427" s="146"/>
      <c r="AK427" s="148"/>
      <c r="AL427" s="146"/>
      <c r="AO427" s="163"/>
      <c r="AP427" s="163"/>
      <c r="AS427" s="148"/>
      <c r="AT427" s="146"/>
      <c r="BE427" s="148"/>
      <c r="BF427" s="146"/>
      <c r="BL427" s="148"/>
      <c r="BM427" s="146"/>
      <c r="BP427" s="148"/>
      <c r="BQ427" s="146"/>
      <c r="BV427" s="148"/>
      <c r="BW427" s="146"/>
      <c r="CC427" s="146"/>
      <c r="CH427" s="148"/>
      <c r="CI427" s="146"/>
    </row>
    <row r="428">
      <c r="C428" s="146"/>
      <c r="I428" s="163"/>
      <c r="J428" s="163"/>
      <c r="K428" s="163"/>
      <c r="Q428" s="148"/>
      <c r="AF428" s="148"/>
      <c r="AG428" s="146"/>
      <c r="AK428" s="148"/>
      <c r="AL428" s="146"/>
      <c r="AO428" s="163"/>
      <c r="AP428" s="163"/>
      <c r="AS428" s="148"/>
      <c r="AT428" s="146"/>
      <c r="BE428" s="148"/>
      <c r="BF428" s="146"/>
      <c r="BL428" s="148"/>
      <c r="BM428" s="146"/>
      <c r="BP428" s="148"/>
      <c r="BQ428" s="146"/>
      <c r="BV428" s="148"/>
      <c r="BW428" s="146"/>
      <c r="CC428" s="146"/>
      <c r="CH428" s="148"/>
      <c r="CI428" s="146"/>
    </row>
    <row r="429">
      <c r="C429" s="146"/>
      <c r="I429" s="163"/>
      <c r="J429" s="163"/>
      <c r="K429" s="163"/>
      <c r="Q429" s="148"/>
      <c r="AF429" s="148"/>
      <c r="AG429" s="146"/>
      <c r="AK429" s="148"/>
      <c r="AL429" s="146"/>
      <c r="AO429" s="163"/>
      <c r="AP429" s="163"/>
      <c r="AS429" s="148"/>
      <c r="AT429" s="146"/>
      <c r="BE429" s="148"/>
      <c r="BF429" s="146"/>
      <c r="BL429" s="148"/>
      <c r="BM429" s="146"/>
      <c r="BP429" s="148"/>
      <c r="BQ429" s="146"/>
      <c r="BV429" s="148"/>
      <c r="BW429" s="146"/>
      <c r="CC429" s="146"/>
      <c r="CH429" s="148"/>
      <c r="CI429" s="146"/>
    </row>
    <row r="430">
      <c r="C430" s="146"/>
      <c r="I430" s="163"/>
      <c r="J430" s="163"/>
      <c r="K430" s="163"/>
      <c r="Q430" s="148"/>
      <c r="AF430" s="148"/>
      <c r="AG430" s="146"/>
      <c r="AK430" s="148"/>
      <c r="AL430" s="146"/>
      <c r="AO430" s="163"/>
      <c r="AP430" s="163"/>
      <c r="AS430" s="148"/>
      <c r="AT430" s="146"/>
      <c r="BE430" s="148"/>
      <c r="BF430" s="146"/>
      <c r="BL430" s="148"/>
      <c r="BM430" s="146"/>
      <c r="BP430" s="148"/>
      <c r="BQ430" s="146"/>
      <c r="BV430" s="148"/>
      <c r="BW430" s="146"/>
      <c r="CC430" s="146"/>
      <c r="CH430" s="148"/>
      <c r="CI430" s="146"/>
    </row>
    <row r="431">
      <c r="C431" s="146"/>
      <c r="I431" s="163"/>
      <c r="J431" s="163"/>
      <c r="K431" s="163"/>
      <c r="Q431" s="148"/>
      <c r="AF431" s="148"/>
      <c r="AG431" s="146"/>
      <c r="AK431" s="148"/>
      <c r="AL431" s="146"/>
      <c r="AO431" s="163"/>
      <c r="AP431" s="163"/>
      <c r="AS431" s="148"/>
      <c r="AT431" s="146"/>
      <c r="BE431" s="148"/>
      <c r="BF431" s="146"/>
      <c r="BL431" s="148"/>
      <c r="BM431" s="146"/>
      <c r="BP431" s="148"/>
      <c r="BQ431" s="146"/>
      <c r="BV431" s="148"/>
      <c r="BW431" s="146"/>
      <c r="CC431" s="146"/>
      <c r="CH431" s="148"/>
      <c r="CI431" s="146"/>
    </row>
    <row r="432">
      <c r="C432" s="146"/>
      <c r="I432" s="163"/>
      <c r="J432" s="163"/>
      <c r="K432" s="163"/>
      <c r="Q432" s="148"/>
      <c r="AF432" s="148"/>
      <c r="AG432" s="146"/>
      <c r="AK432" s="148"/>
      <c r="AL432" s="146"/>
      <c r="AO432" s="163"/>
      <c r="AP432" s="163"/>
      <c r="AS432" s="148"/>
      <c r="AT432" s="146"/>
      <c r="BE432" s="148"/>
      <c r="BF432" s="146"/>
      <c r="BL432" s="148"/>
      <c r="BM432" s="146"/>
      <c r="BP432" s="148"/>
      <c r="BQ432" s="146"/>
      <c r="BV432" s="148"/>
      <c r="BW432" s="146"/>
      <c r="CC432" s="146"/>
      <c r="CH432" s="148"/>
      <c r="CI432" s="146"/>
    </row>
    <row r="433">
      <c r="C433" s="146"/>
      <c r="I433" s="163"/>
      <c r="J433" s="163"/>
      <c r="K433" s="163"/>
      <c r="Q433" s="148"/>
      <c r="AF433" s="148"/>
      <c r="AG433" s="146"/>
      <c r="AK433" s="148"/>
      <c r="AL433" s="146"/>
      <c r="AO433" s="163"/>
      <c r="AP433" s="163"/>
      <c r="AS433" s="148"/>
      <c r="AT433" s="146"/>
      <c r="BE433" s="148"/>
      <c r="BF433" s="146"/>
      <c r="BL433" s="148"/>
      <c r="BM433" s="146"/>
      <c r="BP433" s="148"/>
      <c r="BQ433" s="146"/>
      <c r="BV433" s="148"/>
      <c r="BW433" s="146"/>
      <c r="CC433" s="146"/>
      <c r="CH433" s="148"/>
      <c r="CI433" s="146"/>
    </row>
    <row r="434">
      <c r="C434" s="146"/>
      <c r="I434" s="163"/>
      <c r="J434" s="163"/>
      <c r="K434" s="163"/>
      <c r="Q434" s="148"/>
      <c r="AF434" s="148"/>
      <c r="AG434" s="146"/>
      <c r="AK434" s="148"/>
      <c r="AL434" s="146"/>
      <c r="AO434" s="163"/>
      <c r="AP434" s="163"/>
      <c r="AS434" s="148"/>
      <c r="AT434" s="146"/>
      <c r="BE434" s="148"/>
      <c r="BF434" s="146"/>
      <c r="BL434" s="148"/>
      <c r="BM434" s="146"/>
      <c r="BP434" s="148"/>
      <c r="BQ434" s="146"/>
      <c r="BV434" s="148"/>
      <c r="BW434" s="146"/>
      <c r="CC434" s="146"/>
      <c r="CH434" s="148"/>
      <c r="CI434" s="146"/>
    </row>
    <row r="435">
      <c r="C435" s="146"/>
      <c r="I435" s="163"/>
      <c r="J435" s="163"/>
      <c r="K435" s="163"/>
      <c r="Q435" s="148"/>
      <c r="AF435" s="148"/>
      <c r="AG435" s="146"/>
      <c r="AK435" s="148"/>
      <c r="AL435" s="146"/>
      <c r="AO435" s="163"/>
      <c r="AP435" s="163"/>
      <c r="AS435" s="148"/>
      <c r="AT435" s="146"/>
      <c r="BE435" s="148"/>
      <c r="BF435" s="146"/>
      <c r="BL435" s="148"/>
      <c r="BM435" s="146"/>
      <c r="BP435" s="148"/>
      <c r="BQ435" s="146"/>
      <c r="BV435" s="148"/>
      <c r="BW435" s="146"/>
      <c r="CC435" s="146"/>
      <c r="CH435" s="148"/>
      <c r="CI435" s="146"/>
    </row>
    <row r="436">
      <c r="C436" s="146"/>
      <c r="I436" s="163"/>
      <c r="J436" s="163"/>
      <c r="K436" s="163"/>
      <c r="Q436" s="148"/>
      <c r="AF436" s="148"/>
      <c r="AG436" s="146"/>
      <c r="AK436" s="148"/>
      <c r="AL436" s="146"/>
      <c r="AO436" s="163"/>
      <c r="AP436" s="163"/>
      <c r="AS436" s="148"/>
      <c r="AT436" s="146"/>
      <c r="BE436" s="148"/>
      <c r="BF436" s="146"/>
      <c r="BL436" s="148"/>
      <c r="BM436" s="146"/>
      <c r="BP436" s="148"/>
      <c r="BQ436" s="146"/>
      <c r="BV436" s="148"/>
      <c r="BW436" s="146"/>
      <c r="CC436" s="146"/>
      <c r="CH436" s="148"/>
      <c r="CI436" s="146"/>
    </row>
    <row r="437">
      <c r="C437" s="146"/>
      <c r="I437" s="163"/>
      <c r="J437" s="163"/>
      <c r="K437" s="163"/>
      <c r="Q437" s="148"/>
      <c r="AF437" s="148"/>
      <c r="AG437" s="146"/>
      <c r="AK437" s="148"/>
      <c r="AL437" s="146"/>
      <c r="AO437" s="163"/>
      <c r="AP437" s="163"/>
      <c r="AS437" s="148"/>
      <c r="AT437" s="146"/>
      <c r="BE437" s="148"/>
      <c r="BF437" s="146"/>
      <c r="BL437" s="148"/>
      <c r="BM437" s="146"/>
      <c r="BP437" s="148"/>
      <c r="BQ437" s="146"/>
      <c r="BV437" s="148"/>
      <c r="BW437" s="146"/>
      <c r="CC437" s="146"/>
      <c r="CH437" s="148"/>
      <c r="CI437" s="146"/>
    </row>
    <row r="438">
      <c r="C438" s="146"/>
      <c r="I438" s="163"/>
      <c r="J438" s="163"/>
      <c r="K438" s="163"/>
      <c r="Q438" s="148"/>
      <c r="AF438" s="148"/>
      <c r="AG438" s="146"/>
      <c r="AK438" s="148"/>
      <c r="AL438" s="146"/>
      <c r="AO438" s="163"/>
      <c r="AP438" s="163"/>
      <c r="AS438" s="148"/>
      <c r="AT438" s="146"/>
      <c r="BE438" s="148"/>
      <c r="BF438" s="146"/>
      <c r="BL438" s="148"/>
      <c r="BM438" s="146"/>
      <c r="BP438" s="148"/>
      <c r="BQ438" s="146"/>
      <c r="BV438" s="148"/>
      <c r="BW438" s="146"/>
      <c r="CC438" s="146"/>
      <c r="CH438" s="148"/>
      <c r="CI438" s="146"/>
    </row>
    <row r="439">
      <c r="C439" s="146"/>
      <c r="I439" s="163"/>
      <c r="J439" s="163"/>
      <c r="K439" s="163"/>
      <c r="Q439" s="148"/>
      <c r="AF439" s="148"/>
      <c r="AG439" s="146"/>
      <c r="AK439" s="148"/>
      <c r="AL439" s="146"/>
      <c r="AO439" s="163"/>
      <c r="AP439" s="163"/>
      <c r="AS439" s="148"/>
      <c r="AT439" s="146"/>
      <c r="BE439" s="148"/>
      <c r="BF439" s="146"/>
      <c r="BL439" s="148"/>
      <c r="BM439" s="146"/>
      <c r="BP439" s="148"/>
      <c r="BQ439" s="146"/>
      <c r="BV439" s="148"/>
      <c r="BW439" s="146"/>
      <c r="CC439" s="146"/>
      <c r="CH439" s="148"/>
      <c r="CI439" s="146"/>
    </row>
    <row r="440">
      <c r="C440" s="146"/>
      <c r="I440" s="163"/>
      <c r="J440" s="163"/>
      <c r="K440" s="163"/>
      <c r="Q440" s="148"/>
      <c r="AF440" s="148"/>
      <c r="AG440" s="146"/>
      <c r="AK440" s="148"/>
      <c r="AL440" s="146"/>
      <c r="AO440" s="163"/>
      <c r="AP440" s="163"/>
      <c r="AS440" s="148"/>
      <c r="AT440" s="146"/>
      <c r="BE440" s="148"/>
      <c r="BF440" s="146"/>
      <c r="BL440" s="148"/>
      <c r="BM440" s="146"/>
      <c r="BP440" s="148"/>
      <c r="BQ440" s="146"/>
      <c r="BV440" s="148"/>
      <c r="BW440" s="146"/>
      <c r="CC440" s="146"/>
      <c r="CH440" s="148"/>
      <c r="CI440" s="146"/>
    </row>
    <row r="441">
      <c r="C441" s="146"/>
      <c r="I441" s="163"/>
      <c r="J441" s="163"/>
      <c r="K441" s="163"/>
      <c r="Q441" s="148"/>
      <c r="AF441" s="148"/>
      <c r="AG441" s="146"/>
      <c r="AK441" s="148"/>
      <c r="AL441" s="146"/>
      <c r="AO441" s="163"/>
      <c r="AP441" s="163"/>
      <c r="AS441" s="148"/>
      <c r="AT441" s="146"/>
      <c r="BE441" s="148"/>
      <c r="BF441" s="146"/>
      <c r="BL441" s="148"/>
      <c r="BM441" s="146"/>
      <c r="BP441" s="148"/>
      <c r="BQ441" s="146"/>
      <c r="BV441" s="148"/>
      <c r="BW441" s="146"/>
      <c r="CC441" s="146"/>
      <c r="CH441" s="148"/>
      <c r="CI441" s="146"/>
    </row>
    <row r="442">
      <c r="C442" s="146"/>
      <c r="I442" s="163"/>
      <c r="J442" s="163"/>
      <c r="K442" s="163"/>
      <c r="Q442" s="148"/>
      <c r="AF442" s="148"/>
      <c r="AG442" s="146"/>
      <c r="AK442" s="148"/>
      <c r="AL442" s="146"/>
      <c r="AO442" s="163"/>
      <c r="AP442" s="163"/>
      <c r="AS442" s="148"/>
      <c r="AT442" s="146"/>
      <c r="BE442" s="148"/>
      <c r="BF442" s="146"/>
      <c r="BL442" s="148"/>
      <c r="BM442" s="146"/>
      <c r="BP442" s="148"/>
      <c r="BQ442" s="146"/>
      <c r="BV442" s="148"/>
      <c r="BW442" s="146"/>
      <c r="CC442" s="146"/>
      <c r="CH442" s="148"/>
      <c r="CI442" s="146"/>
    </row>
    <row r="443">
      <c r="C443" s="146"/>
      <c r="I443" s="163"/>
      <c r="J443" s="163"/>
      <c r="K443" s="163"/>
      <c r="Q443" s="148"/>
      <c r="AF443" s="148"/>
      <c r="AG443" s="146"/>
      <c r="AK443" s="148"/>
      <c r="AL443" s="146"/>
      <c r="AO443" s="163"/>
      <c r="AP443" s="163"/>
      <c r="AS443" s="148"/>
      <c r="AT443" s="146"/>
      <c r="BE443" s="148"/>
      <c r="BF443" s="146"/>
      <c r="BL443" s="148"/>
      <c r="BM443" s="146"/>
      <c r="BP443" s="148"/>
      <c r="BQ443" s="146"/>
      <c r="BV443" s="148"/>
      <c r="BW443" s="146"/>
      <c r="CC443" s="146"/>
      <c r="CH443" s="148"/>
      <c r="CI443" s="146"/>
    </row>
    <row r="444">
      <c r="C444" s="146"/>
      <c r="I444" s="163"/>
      <c r="J444" s="163"/>
      <c r="K444" s="163"/>
      <c r="Q444" s="148"/>
      <c r="AF444" s="148"/>
      <c r="AG444" s="146"/>
      <c r="AK444" s="148"/>
      <c r="AL444" s="146"/>
      <c r="AO444" s="163"/>
      <c r="AP444" s="163"/>
      <c r="AS444" s="148"/>
      <c r="AT444" s="146"/>
      <c r="BE444" s="148"/>
      <c r="BF444" s="146"/>
      <c r="BL444" s="148"/>
      <c r="BM444" s="146"/>
      <c r="BP444" s="148"/>
      <c r="BQ444" s="146"/>
      <c r="BV444" s="148"/>
      <c r="BW444" s="146"/>
      <c r="CC444" s="146"/>
      <c r="CH444" s="148"/>
      <c r="CI444" s="146"/>
    </row>
    <row r="445">
      <c r="C445" s="146"/>
      <c r="I445" s="163"/>
      <c r="J445" s="163"/>
      <c r="K445" s="163"/>
      <c r="Q445" s="148"/>
      <c r="AF445" s="148"/>
      <c r="AG445" s="146"/>
      <c r="AK445" s="148"/>
      <c r="AL445" s="146"/>
      <c r="AO445" s="163"/>
      <c r="AP445" s="163"/>
      <c r="AS445" s="148"/>
      <c r="AT445" s="146"/>
      <c r="BE445" s="148"/>
      <c r="BF445" s="146"/>
      <c r="BL445" s="148"/>
      <c r="BM445" s="146"/>
      <c r="BP445" s="148"/>
      <c r="BQ445" s="146"/>
      <c r="BV445" s="148"/>
      <c r="BW445" s="146"/>
      <c r="CC445" s="146"/>
      <c r="CH445" s="148"/>
      <c r="CI445" s="146"/>
    </row>
    <row r="446">
      <c r="C446" s="146"/>
      <c r="I446" s="163"/>
      <c r="J446" s="163"/>
      <c r="K446" s="163"/>
      <c r="Q446" s="148"/>
      <c r="AF446" s="148"/>
      <c r="AG446" s="146"/>
      <c r="AK446" s="148"/>
      <c r="AL446" s="146"/>
      <c r="AO446" s="163"/>
      <c r="AP446" s="163"/>
      <c r="AS446" s="148"/>
      <c r="AT446" s="146"/>
      <c r="BE446" s="148"/>
      <c r="BF446" s="146"/>
      <c r="BL446" s="148"/>
      <c r="BM446" s="146"/>
      <c r="BP446" s="148"/>
      <c r="BQ446" s="146"/>
      <c r="BV446" s="148"/>
      <c r="BW446" s="146"/>
      <c r="CC446" s="146"/>
      <c r="CH446" s="148"/>
      <c r="CI446" s="146"/>
    </row>
    <row r="447">
      <c r="C447" s="146"/>
      <c r="I447" s="163"/>
      <c r="J447" s="163"/>
      <c r="K447" s="163"/>
      <c r="Q447" s="148"/>
      <c r="AF447" s="148"/>
      <c r="AG447" s="146"/>
      <c r="AK447" s="148"/>
      <c r="AL447" s="146"/>
      <c r="AO447" s="163"/>
      <c r="AP447" s="163"/>
      <c r="AS447" s="148"/>
      <c r="AT447" s="146"/>
      <c r="BE447" s="148"/>
      <c r="BF447" s="146"/>
      <c r="BL447" s="148"/>
      <c r="BM447" s="146"/>
      <c r="BP447" s="148"/>
      <c r="BQ447" s="146"/>
      <c r="BV447" s="148"/>
      <c r="BW447" s="146"/>
      <c r="CC447" s="146"/>
      <c r="CH447" s="148"/>
      <c r="CI447" s="146"/>
    </row>
    <row r="448">
      <c r="C448" s="146"/>
      <c r="I448" s="163"/>
      <c r="J448" s="163"/>
      <c r="K448" s="163"/>
      <c r="Q448" s="148"/>
      <c r="AF448" s="148"/>
      <c r="AG448" s="146"/>
      <c r="AK448" s="148"/>
      <c r="AL448" s="146"/>
      <c r="AO448" s="163"/>
      <c r="AP448" s="163"/>
      <c r="AS448" s="148"/>
      <c r="AT448" s="146"/>
      <c r="BE448" s="148"/>
      <c r="BF448" s="146"/>
      <c r="BL448" s="148"/>
      <c r="BM448" s="146"/>
      <c r="BP448" s="148"/>
      <c r="BQ448" s="146"/>
      <c r="BV448" s="148"/>
      <c r="BW448" s="146"/>
      <c r="CC448" s="146"/>
      <c r="CH448" s="148"/>
      <c r="CI448" s="146"/>
    </row>
    <row r="449">
      <c r="C449" s="146"/>
      <c r="I449" s="163"/>
      <c r="J449" s="163"/>
      <c r="K449" s="163"/>
      <c r="Q449" s="148"/>
      <c r="AF449" s="148"/>
      <c r="AG449" s="146"/>
      <c r="AK449" s="148"/>
      <c r="AL449" s="146"/>
      <c r="AO449" s="163"/>
      <c r="AP449" s="163"/>
      <c r="AS449" s="148"/>
      <c r="AT449" s="146"/>
      <c r="BE449" s="148"/>
      <c r="BF449" s="146"/>
      <c r="BL449" s="148"/>
      <c r="BM449" s="146"/>
      <c r="BP449" s="148"/>
      <c r="BQ449" s="146"/>
      <c r="BV449" s="148"/>
      <c r="BW449" s="146"/>
      <c r="CC449" s="146"/>
      <c r="CH449" s="148"/>
      <c r="CI449" s="146"/>
    </row>
    <row r="450">
      <c r="C450" s="146"/>
      <c r="I450" s="163"/>
      <c r="J450" s="163"/>
      <c r="K450" s="163"/>
      <c r="Q450" s="148"/>
      <c r="AF450" s="148"/>
      <c r="AG450" s="146"/>
      <c r="AK450" s="148"/>
      <c r="AL450" s="146"/>
      <c r="AO450" s="163"/>
      <c r="AP450" s="163"/>
      <c r="AS450" s="148"/>
      <c r="AT450" s="146"/>
      <c r="BE450" s="148"/>
      <c r="BF450" s="146"/>
      <c r="BL450" s="148"/>
      <c r="BM450" s="146"/>
      <c r="BP450" s="148"/>
      <c r="BQ450" s="146"/>
      <c r="BV450" s="148"/>
      <c r="BW450" s="146"/>
      <c r="CC450" s="146"/>
      <c r="CH450" s="148"/>
      <c r="CI450" s="146"/>
    </row>
    <row r="451">
      <c r="C451" s="146"/>
      <c r="I451" s="163"/>
      <c r="J451" s="163"/>
      <c r="K451" s="163"/>
      <c r="Q451" s="148"/>
      <c r="AF451" s="148"/>
      <c r="AG451" s="146"/>
      <c r="AK451" s="148"/>
      <c r="AL451" s="146"/>
      <c r="AO451" s="163"/>
      <c r="AP451" s="163"/>
      <c r="AS451" s="148"/>
      <c r="AT451" s="146"/>
      <c r="BE451" s="148"/>
      <c r="BF451" s="146"/>
      <c r="BL451" s="148"/>
      <c r="BM451" s="146"/>
      <c r="BP451" s="148"/>
      <c r="BQ451" s="146"/>
      <c r="BV451" s="148"/>
      <c r="BW451" s="146"/>
      <c r="CC451" s="146"/>
      <c r="CH451" s="148"/>
      <c r="CI451" s="146"/>
    </row>
    <row r="452">
      <c r="C452" s="146"/>
      <c r="I452" s="163"/>
      <c r="J452" s="163"/>
      <c r="K452" s="163"/>
      <c r="Q452" s="148"/>
      <c r="AF452" s="148"/>
      <c r="AG452" s="146"/>
      <c r="AK452" s="148"/>
      <c r="AL452" s="146"/>
      <c r="AO452" s="163"/>
      <c r="AP452" s="163"/>
      <c r="AS452" s="148"/>
      <c r="AT452" s="146"/>
      <c r="BE452" s="148"/>
      <c r="BF452" s="146"/>
      <c r="BL452" s="148"/>
      <c r="BM452" s="146"/>
      <c r="BP452" s="148"/>
      <c r="BQ452" s="146"/>
      <c r="BV452" s="148"/>
      <c r="BW452" s="146"/>
      <c r="CC452" s="146"/>
      <c r="CH452" s="148"/>
      <c r="CI452" s="146"/>
    </row>
    <row r="453">
      <c r="C453" s="146"/>
      <c r="I453" s="163"/>
      <c r="J453" s="163"/>
      <c r="K453" s="163"/>
      <c r="Q453" s="148"/>
      <c r="AF453" s="148"/>
      <c r="AG453" s="146"/>
      <c r="AK453" s="148"/>
      <c r="AL453" s="146"/>
      <c r="AO453" s="163"/>
      <c r="AP453" s="163"/>
      <c r="AS453" s="148"/>
      <c r="AT453" s="146"/>
      <c r="BE453" s="148"/>
      <c r="BF453" s="146"/>
      <c r="BL453" s="148"/>
      <c r="BM453" s="146"/>
      <c r="BP453" s="148"/>
      <c r="BQ453" s="146"/>
      <c r="BV453" s="148"/>
      <c r="BW453" s="146"/>
      <c r="CC453" s="146"/>
      <c r="CH453" s="148"/>
      <c r="CI453" s="146"/>
    </row>
    <row r="454">
      <c r="C454" s="146"/>
      <c r="I454" s="163"/>
      <c r="J454" s="163"/>
      <c r="K454" s="163"/>
      <c r="Q454" s="148"/>
      <c r="AF454" s="148"/>
      <c r="AG454" s="146"/>
      <c r="AK454" s="148"/>
      <c r="AL454" s="146"/>
      <c r="AO454" s="163"/>
      <c r="AP454" s="163"/>
      <c r="AS454" s="148"/>
      <c r="AT454" s="146"/>
      <c r="BE454" s="148"/>
      <c r="BF454" s="146"/>
      <c r="BL454" s="148"/>
      <c r="BM454" s="146"/>
      <c r="BP454" s="148"/>
      <c r="BQ454" s="146"/>
      <c r="BV454" s="148"/>
      <c r="BW454" s="146"/>
      <c r="CC454" s="146"/>
      <c r="CH454" s="148"/>
      <c r="CI454" s="146"/>
    </row>
    <row r="455">
      <c r="C455" s="146"/>
      <c r="I455" s="163"/>
      <c r="J455" s="163"/>
      <c r="K455" s="163"/>
      <c r="Q455" s="148"/>
      <c r="AF455" s="148"/>
      <c r="AG455" s="146"/>
      <c r="AK455" s="148"/>
      <c r="AL455" s="146"/>
      <c r="AO455" s="163"/>
      <c r="AP455" s="163"/>
      <c r="AS455" s="148"/>
      <c r="AT455" s="146"/>
      <c r="BE455" s="148"/>
      <c r="BF455" s="146"/>
      <c r="BL455" s="148"/>
      <c r="BM455" s="146"/>
      <c r="BP455" s="148"/>
      <c r="BQ455" s="146"/>
      <c r="BV455" s="148"/>
      <c r="BW455" s="146"/>
      <c r="CC455" s="146"/>
      <c r="CH455" s="148"/>
      <c r="CI455" s="146"/>
    </row>
    <row r="456">
      <c r="C456" s="146"/>
      <c r="I456" s="163"/>
      <c r="J456" s="163"/>
      <c r="K456" s="163"/>
      <c r="Q456" s="148"/>
      <c r="AF456" s="148"/>
      <c r="AG456" s="146"/>
      <c r="AK456" s="148"/>
      <c r="AL456" s="146"/>
      <c r="AO456" s="163"/>
      <c r="AP456" s="163"/>
      <c r="AS456" s="148"/>
      <c r="AT456" s="146"/>
      <c r="BE456" s="148"/>
      <c r="BF456" s="146"/>
      <c r="BL456" s="148"/>
      <c r="BM456" s="146"/>
      <c r="BP456" s="148"/>
      <c r="BQ456" s="146"/>
      <c r="BV456" s="148"/>
      <c r="BW456" s="146"/>
      <c r="CC456" s="146"/>
      <c r="CH456" s="148"/>
      <c r="CI456" s="146"/>
    </row>
    <row r="457">
      <c r="C457" s="146"/>
      <c r="I457" s="163"/>
      <c r="J457" s="163"/>
      <c r="K457" s="163"/>
      <c r="Q457" s="148"/>
      <c r="AF457" s="148"/>
      <c r="AG457" s="146"/>
      <c r="AK457" s="148"/>
      <c r="AL457" s="146"/>
      <c r="AO457" s="163"/>
      <c r="AP457" s="163"/>
      <c r="AS457" s="148"/>
      <c r="AT457" s="146"/>
      <c r="BE457" s="148"/>
      <c r="BF457" s="146"/>
      <c r="BL457" s="148"/>
      <c r="BM457" s="146"/>
      <c r="BP457" s="148"/>
      <c r="BQ457" s="146"/>
      <c r="BV457" s="148"/>
      <c r="BW457" s="146"/>
      <c r="CC457" s="146"/>
      <c r="CH457" s="148"/>
      <c r="CI457" s="146"/>
    </row>
    <row r="458">
      <c r="C458" s="146"/>
      <c r="I458" s="163"/>
      <c r="J458" s="163"/>
      <c r="K458" s="163"/>
      <c r="Q458" s="148"/>
      <c r="AF458" s="148"/>
      <c r="AG458" s="146"/>
      <c r="AK458" s="148"/>
      <c r="AL458" s="146"/>
      <c r="AO458" s="163"/>
      <c r="AP458" s="163"/>
      <c r="AS458" s="148"/>
      <c r="AT458" s="146"/>
      <c r="BE458" s="148"/>
      <c r="BF458" s="146"/>
      <c r="BL458" s="148"/>
      <c r="BM458" s="146"/>
      <c r="BP458" s="148"/>
      <c r="BQ458" s="146"/>
      <c r="BV458" s="148"/>
      <c r="BW458" s="146"/>
      <c r="CC458" s="146"/>
      <c r="CH458" s="148"/>
      <c r="CI458" s="146"/>
    </row>
    <row r="459">
      <c r="C459" s="146"/>
      <c r="I459" s="163"/>
      <c r="J459" s="163"/>
      <c r="K459" s="163"/>
      <c r="Q459" s="148"/>
      <c r="AF459" s="148"/>
      <c r="AG459" s="146"/>
      <c r="AK459" s="148"/>
      <c r="AL459" s="146"/>
      <c r="AO459" s="163"/>
      <c r="AP459" s="163"/>
      <c r="AS459" s="148"/>
      <c r="AT459" s="146"/>
      <c r="BE459" s="148"/>
      <c r="BF459" s="146"/>
      <c r="BL459" s="148"/>
      <c r="BM459" s="146"/>
      <c r="BP459" s="148"/>
      <c r="BQ459" s="146"/>
      <c r="BV459" s="148"/>
      <c r="BW459" s="146"/>
      <c r="CC459" s="146"/>
      <c r="CH459" s="148"/>
      <c r="CI459" s="146"/>
    </row>
    <row r="460">
      <c r="C460" s="146"/>
      <c r="I460" s="163"/>
      <c r="J460" s="163"/>
      <c r="K460" s="163"/>
      <c r="Q460" s="148"/>
      <c r="AF460" s="148"/>
      <c r="AG460" s="146"/>
      <c r="AK460" s="148"/>
      <c r="AL460" s="146"/>
      <c r="AO460" s="163"/>
      <c r="AP460" s="163"/>
      <c r="AS460" s="148"/>
      <c r="AT460" s="146"/>
      <c r="BE460" s="148"/>
      <c r="BF460" s="146"/>
      <c r="BL460" s="148"/>
      <c r="BM460" s="146"/>
      <c r="BP460" s="148"/>
      <c r="BQ460" s="146"/>
      <c r="BV460" s="148"/>
      <c r="BW460" s="146"/>
      <c r="CC460" s="146"/>
      <c r="CH460" s="148"/>
      <c r="CI460" s="146"/>
    </row>
    <row r="461">
      <c r="C461" s="146"/>
      <c r="I461" s="163"/>
      <c r="J461" s="163"/>
      <c r="K461" s="163"/>
      <c r="Q461" s="148"/>
      <c r="AF461" s="148"/>
      <c r="AG461" s="146"/>
      <c r="AK461" s="148"/>
      <c r="AL461" s="146"/>
      <c r="AO461" s="163"/>
      <c r="AP461" s="163"/>
      <c r="AS461" s="148"/>
      <c r="AT461" s="146"/>
      <c r="BE461" s="148"/>
      <c r="BF461" s="146"/>
      <c r="BL461" s="148"/>
      <c r="BM461" s="146"/>
      <c r="BP461" s="148"/>
      <c r="BQ461" s="146"/>
      <c r="BV461" s="148"/>
      <c r="BW461" s="146"/>
      <c r="CC461" s="146"/>
      <c r="CH461" s="148"/>
      <c r="CI461" s="146"/>
    </row>
    <row r="462">
      <c r="C462" s="146"/>
      <c r="I462" s="163"/>
      <c r="J462" s="163"/>
      <c r="K462" s="163"/>
      <c r="Q462" s="148"/>
      <c r="AF462" s="148"/>
      <c r="AG462" s="146"/>
      <c r="AK462" s="148"/>
      <c r="AL462" s="146"/>
      <c r="AO462" s="163"/>
      <c r="AP462" s="163"/>
      <c r="AS462" s="148"/>
      <c r="AT462" s="146"/>
      <c r="BE462" s="148"/>
      <c r="BF462" s="146"/>
      <c r="BL462" s="148"/>
      <c r="BM462" s="146"/>
      <c r="BP462" s="148"/>
      <c r="BQ462" s="146"/>
      <c r="BV462" s="148"/>
      <c r="BW462" s="146"/>
      <c r="CC462" s="146"/>
      <c r="CH462" s="148"/>
      <c r="CI462" s="146"/>
    </row>
    <row r="463">
      <c r="C463" s="146"/>
      <c r="I463" s="163"/>
      <c r="J463" s="163"/>
      <c r="K463" s="163"/>
      <c r="Q463" s="148"/>
      <c r="AF463" s="148"/>
      <c r="AG463" s="146"/>
      <c r="AK463" s="148"/>
      <c r="AL463" s="146"/>
      <c r="AO463" s="163"/>
      <c r="AP463" s="163"/>
      <c r="AS463" s="148"/>
      <c r="AT463" s="146"/>
      <c r="BE463" s="148"/>
      <c r="BF463" s="146"/>
      <c r="BL463" s="148"/>
      <c r="BM463" s="146"/>
      <c r="BP463" s="148"/>
      <c r="BQ463" s="146"/>
      <c r="BV463" s="148"/>
      <c r="BW463" s="146"/>
      <c r="CC463" s="146"/>
      <c r="CH463" s="148"/>
      <c r="CI463" s="146"/>
    </row>
    <row r="464">
      <c r="C464" s="146"/>
      <c r="I464" s="163"/>
      <c r="J464" s="163"/>
      <c r="K464" s="163"/>
      <c r="Q464" s="148"/>
      <c r="AF464" s="148"/>
      <c r="AG464" s="146"/>
      <c r="AK464" s="148"/>
      <c r="AL464" s="146"/>
      <c r="AO464" s="163"/>
      <c r="AP464" s="163"/>
      <c r="AS464" s="148"/>
      <c r="AT464" s="146"/>
      <c r="BE464" s="148"/>
      <c r="BF464" s="146"/>
      <c r="BL464" s="148"/>
      <c r="BM464" s="146"/>
      <c r="BP464" s="148"/>
      <c r="BQ464" s="146"/>
      <c r="BV464" s="148"/>
      <c r="BW464" s="146"/>
      <c r="CC464" s="146"/>
      <c r="CH464" s="148"/>
      <c r="CI464" s="146"/>
    </row>
    <row r="465">
      <c r="C465" s="146"/>
      <c r="I465" s="163"/>
      <c r="J465" s="163"/>
      <c r="K465" s="163"/>
      <c r="Q465" s="148"/>
      <c r="AF465" s="148"/>
      <c r="AG465" s="146"/>
      <c r="AK465" s="148"/>
      <c r="AL465" s="146"/>
      <c r="AO465" s="163"/>
      <c r="AP465" s="163"/>
      <c r="AS465" s="148"/>
      <c r="AT465" s="146"/>
      <c r="BE465" s="148"/>
      <c r="BF465" s="146"/>
      <c r="BL465" s="148"/>
      <c r="BM465" s="146"/>
      <c r="BP465" s="148"/>
      <c r="BQ465" s="146"/>
      <c r="BV465" s="148"/>
      <c r="BW465" s="146"/>
      <c r="CC465" s="146"/>
      <c r="CH465" s="148"/>
      <c r="CI465" s="146"/>
    </row>
    <row r="466">
      <c r="C466" s="146"/>
      <c r="I466" s="163"/>
      <c r="J466" s="163"/>
      <c r="K466" s="163"/>
      <c r="Q466" s="148"/>
      <c r="AF466" s="148"/>
      <c r="AG466" s="146"/>
      <c r="AK466" s="148"/>
      <c r="AL466" s="146"/>
      <c r="AO466" s="163"/>
      <c r="AP466" s="163"/>
      <c r="AS466" s="148"/>
      <c r="AT466" s="146"/>
      <c r="BE466" s="148"/>
      <c r="BF466" s="146"/>
      <c r="BL466" s="148"/>
      <c r="BM466" s="146"/>
      <c r="BP466" s="148"/>
      <c r="BQ466" s="146"/>
      <c r="BV466" s="148"/>
      <c r="BW466" s="146"/>
      <c r="CC466" s="146"/>
      <c r="CH466" s="148"/>
      <c r="CI466" s="146"/>
    </row>
    <row r="467">
      <c r="C467" s="146"/>
      <c r="I467" s="163"/>
      <c r="J467" s="163"/>
      <c r="K467" s="163"/>
      <c r="Q467" s="148"/>
      <c r="AF467" s="148"/>
      <c r="AG467" s="146"/>
      <c r="AK467" s="148"/>
      <c r="AL467" s="146"/>
      <c r="AO467" s="163"/>
      <c r="AP467" s="163"/>
      <c r="AS467" s="148"/>
      <c r="AT467" s="146"/>
      <c r="BE467" s="148"/>
      <c r="BF467" s="146"/>
      <c r="BL467" s="148"/>
      <c r="BM467" s="146"/>
      <c r="BP467" s="148"/>
      <c r="BQ467" s="146"/>
      <c r="BV467" s="148"/>
      <c r="BW467" s="146"/>
      <c r="CC467" s="146"/>
      <c r="CH467" s="148"/>
      <c r="CI467" s="146"/>
    </row>
    <row r="468">
      <c r="C468" s="146"/>
      <c r="I468" s="163"/>
      <c r="J468" s="163"/>
      <c r="K468" s="163"/>
      <c r="Q468" s="148"/>
      <c r="AF468" s="148"/>
      <c r="AG468" s="146"/>
      <c r="AK468" s="148"/>
      <c r="AL468" s="146"/>
      <c r="AO468" s="163"/>
      <c r="AP468" s="163"/>
      <c r="AS468" s="148"/>
      <c r="AT468" s="146"/>
      <c r="BE468" s="148"/>
      <c r="BF468" s="146"/>
      <c r="BL468" s="148"/>
      <c r="BM468" s="146"/>
      <c r="BP468" s="148"/>
      <c r="BQ468" s="146"/>
      <c r="BV468" s="148"/>
      <c r="BW468" s="146"/>
      <c r="CC468" s="146"/>
      <c r="CH468" s="148"/>
      <c r="CI468" s="146"/>
    </row>
    <row r="469">
      <c r="C469" s="146"/>
      <c r="I469" s="163"/>
      <c r="J469" s="163"/>
      <c r="K469" s="163"/>
      <c r="Q469" s="148"/>
      <c r="AF469" s="148"/>
      <c r="AG469" s="146"/>
      <c r="AK469" s="148"/>
      <c r="AL469" s="146"/>
      <c r="AO469" s="163"/>
      <c r="AP469" s="163"/>
      <c r="AS469" s="148"/>
      <c r="AT469" s="146"/>
      <c r="BE469" s="148"/>
      <c r="BF469" s="146"/>
      <c r="BL469" s="148"/>
      <c r="BM469" s="146"/>
      <c r="BP469" s="148"/>
      <c r="BQ469" s="146"/>
      <c r="BV469" s="148"/>
      <c r="BW469" s="146"/>
      <c r="CC469" s="146"/>
      <c r="CH469" s="148"/>
      <c r="CI469" s="146"/>
    </row>
    <row r="470">
      <c r="C470" s="146"/>
      <c r="I470" s="163"/>
      <c r="J470" s="163"/>
      <c r="K470" s="163"/>
      <c r="Q470" s="148"/>
      <c r="AF470" s="148"/>
      <c r="AG470" s="146"/>
      <c r="AK470" s="148"/>
      <c r="AL470" s="146"/>
      <c r="AO470" s="163"/>
      <c r="AP470" s="163"/>
      <c r="AS470" s="148"/>
      <c r="AT470" s="146"/>
      <c r="BE470" s="148"/>
      <c r="BF470" s="146"/>
      <c r="BL470" s="148"/>
      <c r="BM470" s="146"/>
      <c r="BP470" s="148"/>
      <c r="BQ470" s="146"/>
      <c r="BV470" s="148"/>
      <c r="BW470" s="146"/>
      <c r="CC470" s="146"/>
      <c r="CH470" s="148"/>
      <c r="CI470" s="146"/>
    </row>
    <row r="471">
      <c r="C471" s="146"/>
      <c r="I471" s="163"/>
      <c r="J471" s="163"/>
      <c r="K471" s="163"/>
      <c r="Q471" s="148"/>
      <c r="AF471" s="148"/>
      <c r="AG471" s="146"/>
      <c r="AK471" s="148"/>
      <c r="AL471" s="146"/>
      <c r="AO471" s="163"/>
      <c r="AP471" s="163"/>
      <c r="AS471" s="148"/>
      <c r="AT471" s="146"/>
      <c r="BE471" s="148"/>
      <c r="BF471" s="146"/>
      <c r="BL471" s="148"/>
      <c r="BM471" s="146"/>
      <c r="BP471" s="148"/>
      <c r="BQ471" s="146"/>
      <c r="BV471" s="148"/>
      <c r="BW471" s="146"/>
      <c r="CC471" s="146"/>
      <c r="CH471" s="148"/>
      <c r="CI471" s="146"/>
    </row>
    <row r="472">
      <c r="C472" s="146"/>
      <c r="I472" s="163"/>
      <c r="J472" s="163"/>
      <c r="K472" s="163"/>
      <c r="Q472" s="148"/>
      <c r="AF472" s="148"/>
      <c r="AG472" s="146"/>
      <c r="AK472" s="148"/>
      <c r="AL472" s="146"/>
      <c r="AO472" s="163"/>
      <c r="AP472" s="163"/>
      <c r="AS472" s="148"/>
      <c r="AT472" s="146"/>
      <c r="BE472" s="148"/>
      <c r="BF472" s="146"/>
      <c r="BL472" s="148"/>
      <c r="BM472" s="146"/>
      <c r="BP472" s="148"/>
      <c r="BQ472" s="146"/>
      <c r="BV472" s="148"/>
      <c r="BW472" s="146"/>
      <c r="CC472" s="146"/>
      <c r="CH472" s="148"/>
      <c r="CI472" s="146"/>
    </row>
    <row r="473">
      <c r="C473" s="146"/>
      <c r="I473" s="163"/>
      <c r="J473" s="163"/>
      <c r="K473" s="163"/>
      <c r="Q473" s="148"/>
      <c r="AF473" s="148"/>
      <c r="AG473" s="146"/>
      <c r="AK473" s="148"/>
      <c r="AL473" s="146"/>
      <c r="AO473" s="163"/>
      <c r="AP473" s="163"/>
      <c r="AS473" s="148"/>
      <c r="AT473" s="146"/>
      <c r="BE473" s="148"/>
      <c r="BF473" s="146"/>
      <c r="BL473" s="148"/>
      <c r="BM473" s="146"/>
      <c r="BP473" s="148"/>
      <c r="BQ473" s="146"/>
      <c r="BV473" s="148"/>
      <c r="BW473" s="146"/>
      <c r="CC473" s="146"/>
      <c r="CH473" s="148"/>
      <c r="CI473" s="146"/>
    </row>
    <row r="474">
      <c r="C474" s="146"/>
      <c r="I474" s="163"/>
      <c r="J474" s="163"/>
      <c r="K474" s="163"/>
      <c r="Q474" s="148"/>
      <c r="AF474" s="148"/>
      <c r="AG474" s="146"/>
      <c r="AK474" s="148"/>
      <c r="AL474" s="146"/>
      <c r="AO474" s="163"/>
      <c r="AP474" s="163"/>
      <c r="AS474" s="148"/>
      <c r="AT474" s="146"/>
      <c r="BE474" s="148"/>
      <c r="BF474" s="146"/>
      <c r="BL474" s="148"/>
      <c r="BM474" s="146"/>
      <c r="BP474" s="148"/>
      <c r="BQ474" s="146"/>
      <c r="BV474" s="148"/>
      <c r="BW474" s="146"/>
      <c r="CC474" s="146"/>
      <c r="CH474" s="148"/>
      <c r="CI474" s="146"/>
    </row>
    <row r="475">
      <c r="C475" s="146"/>
      <c r="I475" s="163"/>
      <c r="J475" s="163"/>
      <c r="K475" s="163"/>
      <c r="Q475" s="148"/>
      <c r="AF475" s="148"/>
      <c r="AG475" s="146"/>
      <c r="AK475" s="148"/>
      <c r="AL475" s="146"/>
      <c r="AO475" s="163"/>
      <c r="AP475" s="163"/>
      <c r="AS475" s="148"/>
      <c r="AT475" s="146"/>
      <c r="BE475" s="148"/>
      <c r="BF475" s="146"/>
      <c r="BL475" s="148"/>
      <c r="BM475" s="146"/>
      <c r="BP475" s="148"/>
      <c r="BQ475" s="146"/>
      <c r="BV475" s="148"/>
      <c r="BW475" s="146"/>
      <c r="CC475" s="146"/>
      <c r="CH475" s="148"/>
      <c r="CI475" s="146"/>
    </row>
    <row r="476">
      <c r="C476" s="146"/>
      <c r="I476" s="163"/>
      <c r="J476" s="163"/>
      <c r="K476" s="163"/>
      <c r="Q476" s="148"/>
      <c r="AF476" s="148"/>
      <c r="AG476" s="146"/>
      <c r="AK476" s="148"/>
      <c r="AL476" s="146"/>
      <c r="AO476" s="163"/>
      <c r="AP476" s="163"/>
      <c r="AS476" s="148"/>
      <c r="AT476" s="146"/>
      <c r="BE476" s="148"/>
      <c r="BF476" s="146"/>
      <c r="BL476" s="148"/>
      <c r="BM476" s="146"/>
      <c r="BP476" s="148"/>
      <c r="BQ476" s="146"/>
      <c r="BV476" s="148"/>
      <c r="BW476" s="146"/>
      <c r="CC476" s="146"/>
      <c r="CH476" s="148"/>
      <c r="CI476" s="146"/>
    </row>
    <row r="477">
      <c r="C477" s="146"/>
      <c r="I477" s="163"/>
      <c r="J477" s="163"/>
      <c r="K477" s="163"/>
      <c r="Q477" s="148"/>
      <c r="AF477" s="148"/>
      <c r="AG477" s="146"/>
      <c r="AK477" s="148"/>
      <c r="AL477" s="146"/>
      <c r="AO477" s="163"/>
      <c r="AP477" s="163"/>
      <c r="AS477" s="148"/>
      <c r="AT477" s="146"/>
      <c r="BE477" s="148"/>
      <c r="BF477" s="146"/>
      <c r="BL477" s="148"/>
      <c r="BM477" s="146"/>
      <c r="BP477" s="148"/>
      <c r="BQ477" s="146"/>
      <c r="BV477" s="148"/>
      <c r="BW477" s="146"/>
      <c r="CC477" s="146"/>
      <c r="CH477" s="148"/>
      <c r="CI477" s="146"/>
    </row>
    <row r="478">
      <c r="C478" s="146"/>
      <c r="I478" s="163"/>
      <c r="J478" s="163"/>
      <c r="K478" s="163"/>
      <c r="Q478" s="148"/>
      <c r="AF478" s="148"/>
      <c r="AG478" s="146"/>
      <c r="AK478" s="148"/>
      <c r="AL478" s="146"/>
      <c r="AO478" s="163"/>
      <c r="AP478" s="163"/>
      <c r="AS478" s="148"/>
      <c r="AT478" s="146"/>
      <c r="BE478" s="148"/>
      <c r="BF478" s="146"/>
      <c r="BL478" s="148"/>
      <c r="BM478" s="146"/>
      <c r="BP478" s="148"/>
      <c r="BQ478" s="146"/>
      <c r="BV478" s="148"/>
      <c r="BW478" s="146"/>
      <c r="CC478" s="146"/>
      <c r="CH478" s="148"/>
      <c r="CI478" s="146"/>
    </row>
    <row r="479">
      <c r="C479" s="146"/>
      <c r="I479" s="163"/>
      <c r="J479" s="163"/>
      <c r="K479" s="163"/>
      <c r="Q479" s="148"/>
      <c r="AF479" s="148"/>
      <c r="AG479" s="146"/>
      <c r="AK479" s="148"/>
      <c r="AL479" s="146"/>
      <c r="AO479" s="163"/>
      <c r="AP479" s="163"/>
      <c r="AS479" s="148"/>
      <c r="AT479" s="146"/>
      <c r="BE479" s="148"/>
      <c r="BF479" s="146"/>
      <c r="BL479" s="148"/>
      <c r="BM479" s="146"/>
      <c r="BP479" s="148"/>
      <c r="BQ479" s="146"/>
      <c r="BV479" s="148"/>
      <c r="BW479" s="146"/>
      <c r="CC479" s="146"/>
      <c r="CH479" s="148"/>
      <c r="CI479" s="146"/>
    </row>
    <row r="480">
      <c r="C480" s="146"/>
      <c r="I480" s="163"/>
      <c r="J480" s="163"/>
      <c r="K480" s="163"/>
      <c r="Q480" s="148"/>
      <c r="AF480" s="148"/>
      <c r="AG480" s="146"/>
      <c r="AK480" s="148"/>
      <c r="AL480" s="146"/>
      <c r="AO480" s="163"/>
      <c r="AP480" s="163"/>
      <c r="AS480" s="148"/>
      <c r="AT480" s="146"/>
      <c r="BE480" s="148"/>
      <c r="BF480" s="146"/>
      <c r="BL480" s="148"/>
      <c r="BM480" s="146"/>
      <c r="BP480" s="148"/>
      <c r="BQ480" s="146"/>
      <c r="BV480" s="148"/>
      <c r="BW480" s="146"/>
      <c r="CC480" s="146"/>
      <c r="CH480" s="148"/>
      <c r="CI480" s="146"/>
    </row>
    <row r="481">
      <c r="C481" s="146"/>
      <c r="I481" s="163"/>
      <c r="J481" s="163"/>
      <c r="K481" s="163"/>
      <c r="Q481" s="148"/>
      <c r="AF481" s="148"/>
      <c r="AG481" s="146"/>
      <c r="AK481" s="148"/>
      <c r="AL481" s="146"/>
      <c r="AO481" s="163"/>
      <c r="AP481" s="163"/>
      <c r="AS481" s="148"/>
      <c r="AT481" s="146"/>
      <c r="BE481" s="148"/>
      <c r="BF481" s="146"/>
      <c r="BL481" s="148"/>
      <c r="BM481" s="146"/>
      <c r="BP481" s="148"/>
      <c r="BQ481" s="146"/>
      <c r="BV481" s="148"/>
      <c r="BW481" s="146"/>
      <c r="CC481" s="146"/>
      <c r="CH481" s="148"/>
      <c r="CI481" s="146"/>
    </row>
    <row r="482">
      <c r="C482" s="146"/>
      <c r="I482" s="163"/>
      <c r="J482" s="163"/>
      <c r="K482" s="163"/>
      <c r="Q482" s="148"/>
      <c r="AF482" s="148"/>
      <c r="AG482" s="146"/>
      <c r="AK482" s="148"/>
      <c r="AL482" s="146"/>
      <c r="AO482" s="163"/>
      <c r="AP482" s="163"/>
      <c r="AS482" s="148"/>
      <c r="AT482" s="146"/>
      <c r="BE482" s="148"/>
      <c r="BF482" s="146"/>
      <c r="BL482" s="148"/>
      <c r="BM482" s="146"/>
      <c r="BP482" s="148"/>
      <c r="BQ482" s="146"/>
      <c r="BV482" s="148"/>
      <c r="BW482" s="146"/>
      <c r="CC482" s="146"/>
      <c r="CH482" s="148"/>
      <c r="CI482" s="146"/>
    </row>
    <row r="483">
      <c r="C483" s="146"/>
      <c r="I483" s="163"/>
      <c r="J483" s="163"/>
      <c r="K483" s="163"/>
      <c r="Q483" s="148"/>
      <c r="AF483" s="148"/>
      <c r="AG483" s="146"/>
      <c r="AK483" s="148"/>
      <c r="AL483" s="146"/>
      <c r="AO483" s="163"/>
      <c r="AP483" s="163"/>
      <c r="AS483" s="148"/>
      <c r="AT483" s="146"/>
      <c r="BE483" s="148"/>
      <c r="BF483" s="146"/>
      <c r="BL483" s="148"/>
      <c r="BM483" s="146"/>
      <c r="BP483" s="148"/>
      <c r="BQ483" s="146"/>
      <c r="BV483" s="148"/>
      <c r="BW483" s="146"/>
      <c r="CC483" s="146"/>
      <c r="CH483" s="148"/>
      <c r="CI483" s="146"/>
    </row>
    <row r="484">
      <c r="C484" s="146"/>
      <c r="I484" s="163"/>
      <c r="J484" s="163"/>
      <c r="K484" s="163"/>
      <c r="Q484" s="148"/>
      <c r="AF484" s="148"/>
      <c r="AG484" s="146"/>
      <c r="AK484" s="148"/>
      <c r="AL484" s="146"/>
      <c r="AO484" s="163"/>
      <c r="AP484" s="163"/>
      <c r="AS484" s="148"/>
      <c r="AT484" s="146"/>
      <c r="BE484" s="148"/>
      <c r="BF484" s="146"/>
      <c r="BL484" s="148"/>
      <c r="BM484" s="146"/>
      <c r="BP484" s="148"/>
      <c r="BQ484" s="146"/>
      <c r="BV484" s="148"/>
      <c r="BW484" s="146"/>
      <c r="CC484" s="146"/>
      <c r="CH484" s="148"/>
      <c r="CI484" s="146"/>
    </row>
    <row r="485">
      <c r="C485" s="146"/>
      <c r="I485" s="163"/>
      <c r="J485" s="163"/>
      <c r="K485" s="163"/>
      <c r="Q485" s="148"/>
      <c r="AF485" s="148"/>
      <c r="AG485" s="146"/>
      <c r="AK485" s="148"/>
      <c r="AL485" s="146"/>
      <c r="AO485" s="163"/>
      <c r="AP485" s="163"/>
      <c r="AS485" s="148"/>
      <c r="AT485" s="146"/>
      <c r="BE485" s="148"/>
      <c r="BF485" s="146"/>
      <c r="BL485" s="148"/>
      <c r="BM485" s="146"/>
      <c r="BP485" s="148"/>
      <c r="BQ485" s="146"/>
      <c r="BV485" s="148"/>
      <c r="BW485" s="146"/>
      <c r="CC485" s="146"/>
      <c r="CH485" s="148"/>
      <c r="CI485" s="146"/>
    </row>
    <row r="486">
      <c r="C486" s="146"/>
      <c r="I486" s="163"/>
      <c r="J486" s="163"/>
      <c r="K486" s="163"/>
      <c r="Q486" s="148"/>
      <c r="AF486" s="148"/>
      <c r="AG486" s="146"/>
      <c r="AK486" s="148"/>
      <c r="AL486" s="146"/>
      <c r="AO486" s="163"/>
      <c r="AP486" s="163"/>
      <c r="AS486" s="148"/>
      <c r="AT486" s="146"/>
      <c r="BE486" s="148"/>
      <c r="BF486" s="146"/>
      <c r="BL486" s="148"/>
      <c r="BM486" s="146"/>
      <c r="BP486" s="148"/>
      <c r="BQ486" s="146"/>
      <c r="BV486" s="148"/>
      <c r="BW486" s="146"/>
      <c r="CC486" s="146"/>
      <c r="CH486" s="148"/>
      <c r="CI486" s="146"/>
    </row>
    <row r="487">
      <c r="C487" s="146"/>
      <c r="I487" s="163"/>
      <c r="J487" s="163"/>
      <c r="K487" s="163"/>
      <c r="Q487" s="148"/>
      <c r="AF487" s="148"/>
      <c r="AG487" s="146"/>
      <c r="AK487" s="148"/>
      <c r="AL487" s="146"/>
      <c r="AO487" s="163"/>
      <c r="AP487" s="163"/>
      <c r="AS487" s="148"/>
      <c r="AT487" s="146"/>
      <c r="BE487" s="148"/>
      <c r="BF487" s="146"/>
      <c r="BL487" s="148"/>
      <c r="BM487" s="146"/>
      <c r="BP487" s="148"/>
      <c r="BQ487" s="146"/>
      <c r="BV487" s="148"/>
      <c r="BW487" s="146"/>
      <c r="CC487" s="146"/>
      <c r="CH487" s="148"/>
      <c r="CI487" s="146"/>
    </row>
    <row r="488">
      <c r="C488" s="146"/>
      <c r="I488" s="163"/>
      <c r="J488" s="163"/>
      <c r="K488" s="163"/>
      <c r="Q488" s="148"/>
      <c r="AF488" s="148"/>
      <c r="AG488" s="146"/>
      <c r="AK488" s="148"/>
      <c r="AL488" s="146"/>
      <c r="AO488" s="163"/>
      <c r="AP488" s="163"/>
      <c r="AS488" s="148"/>
      <c r="AT488" s="146"/>
      <c r="BE488" s="148"/>
      <c r="BF488" s="146"/>
      <c r="BL488" s="148"/>
      <c r="BM488" s="146"/>
      <c r="BP488" s="148"/>
      <c r="BQ488" s="146"/>
      <c r="BV488" s="148"/>
      <c r="BW488" s="146"/>
      <c r="CC488" s="146"/>
      <c r="CH488" s="148"/>
      <c r="CI488" s="146"/>
    </row>
    <row r="489">
      <c r="C489" s="146"/>
      <c r="I489" s="163"/>
      <c r="J489" s="163"/>
      <c r="K489" s="163"/>
      <c r="Q489" s="148"/>
      <c r="AF489" s="148"/>
      <c r="AG489" s="146"/>
      <c r="AK489" s="148"/>
      <c r="AL489" s="146"/>
      <c r="AO489" s="163"/>
      <c r="AP489" s="163"/>
      <c r="AS489" s="148"/>
      <c r="AT489" s="146"/>
      <c r="BE489" s="148"/>
      <c r="BF489" s="146"/>
      <c r="BL489" s="148"/>
      <c r="BM489" s="146"/>
      <c r="BP489" s="148"/>
      <c r="BQ489" s="146"/>
      <c r="BV489" s="148"/>
      <c r="BW489" s="146"/>
      <c r="CC489" s="146"/>
      <c r="CH489" s="148"/>
      <c r="CI489" s="146"/>
    </row>
    <row r="490">
      <c r="C490" s="146"/>
      <c r="I490" s="163"/>
      <c r="J490" s="163"/>
      <c r="K490" s="163"/>
      <c r="Q490" s="148"/>
      <c r="AF490" s="148"/>
      <c r="AG490" s="146"/>
      <c r="AK490" s="148"/>
      <c r="AL490" s="146"/>
      <c r="AO490" s="163"/>
      <c r="AP490" s="163"/>
      <c r="AS490" s="148"/>
      <c r="AT490" s="146"/>
      <c r="BE490" s="148"/>
      <c r="BF490" s="146"/>
      <c r="BL490" s="148"/>
      <c r="BM490" s="146"/>
      <c r="BP490" s="148"/>
      <c r="BQ490" s="146"/>
      <c r="BV490" s="148"/>
      <c r="BW490" s="146"/>
      <c r="CC490" s="146"/>
      <c r="CH490" s="148"/>
      <c r="CI490" s="146"/>
    </row>
    <row r="491">
      <c r="C491" s="146"/>
      <c r="I491" s="163"/>
      <c r="J491" s="163"/>
      <c r="K491" s="163"/>
      <c r="Q491" s="148"/>
      <c r="AF491" s="148"/>
      <c r="AG491" s="146"/>
      <c r="AK491" s="148"/>
      <c r="AL491" s="146"/>
      <c r="AO491" s="163"/>
      <c r="AP491" s="163"/>
      <c r="AS491" s="148"/>
      <c r="AT491" s="146"/>
      <c r="BE491" s="148"/>
      <c r="BF491" s="146"/>
      <c r="BL491" s="148"/>
      <c r="BM491" s="146"/>
      <c r="BP491" s="148"/>
      <c r="BQ491" s="146"/>
      <c r="BV491" s="148"/>
      <c r="BW491" s="146"/>
      <c r="CC491" s="146"/>
      <c r="CH491" s="148"/>
      <c r="CI491" s="146"/>
    </row>
    <row r="492">
      <c r="C492" s="146"/>
      <c r="I492" s="163"/>
      <c r="J492" s="163"/>
      <c r="K492" s="163"/>
      <c r="Q492" s="148"/>
      <c r="AF492" s="148"/>
      <c r="AG492" s="146"/>
      <c r="AK492" s="148"/>
      <c r="AL492" s="146"/>
      <c r="AO492" s="163"/>
      <c r="AP492" s="163"/>
      <c r="AS492" s="148"/>
      <c r="AT492" s="146"/>
      <c r="BE492" s="148"/>
      <c r="BF492" s="146"/>
      <c r="BL492" s="148"/>
      <c r="BM492" s="146"/>
      <c r="BP492" s="148"/>
      <c r="BQ492" s="146"/>
      <c r="BV492" s="148"/>
      <c r="BW492" s="146"/>
      <c r="CC492" s="146"/>
      <c r="CH492" s="148"/>
      <c r="CI492" s="146"/>
    </row>
    <row r="493">
      <c r="C493" s="146"/>
      <c r="I493" s="163"/>
      <c r="J493" s="163"/>
      <c r="K493" s="163"/>
      <c r="Q493" s="148"/>
      <c r="AF493" s="148"/>
      <c r="AG493" s="146"/>
      <c r="AK493" s="148"/>
      <c r="AL493" s="146"/>
      <c r="AO493" s="163"/>
      <c r="AP493" s="163"/>
      <c r="AS493" s="148"/>
      <c r="AT493" s="146"/>
      <c r="BE493" s="148"/>
      <c r="BF493" s="146"/>
      <c r="BL493" s="148"/>
      <c r="BM493" s="146"/>
      <c r="BP493" s="148"/>
      <c r="BQ493" s="146"/>
      <c r="BV493" s="148"/>
      <c r="BW493" s="146"/>
      <c r="CC493" s="146"/>
      <c r="CH493" s="148"/>
      <c r="CI493" s="146"/>
    </row>
    <row r="494">
      <c r="C494" s="146"/>
      <c r="I494" s="163"/>
      <c r="J494" s="163"/>
      <c r="K494" s="163"/>
      <c r="Q494" s="148"/>
      <c r="AF494" s="148"/>
      <c r="AG494" s="146"/>
      <c r="AK494" s="148"/>
      <c r="AL494" s="146"/>
      <c r="AO494" s="163"/>
      <c r="AP494" s="163"/>
      <c r="AS494" s="148"/>
      <c r="AT494" s="146"/>
      <c r="BE494" s="148"/>
      <c r="BF494" s="146"/>
      <c r="BL494" s="148"/>
      <c r="BM494" s="146"/>
      <c r="BP494" s="148"/>
      <c r="BQ494" s="146"/>
      <c r="BV494" s="148"/>
      <c r="BW494" s="146"/>
      <c r="CC494" s="146"/>
      <c r="CH494" s="148"/>
      <c r="CI494" s="146"/>
    </row>
    <row r="495">
      <c r="C495" s="146"/>
      <c r="I495" s="163"/>
      <c r="J495" s="163"/>
      <c r="K495" s="163"/>
      <c r="Q495" s="148"/>
      <c r="AF495" s="148"/>
      <c r="AG495" s="146"/>
      <c r="AK495" s="148"/>
      <c r="AL495" s="146"/>
      <c r="AO495" s="163"/>
      <c r="AP495" s="163"/>
      <c r="AS495" s="148"/>
      <c r="AT495" s="146"/>
      <c r="BE495" s="148"/>
      <c r="BF495" s="146"/>
      <c r="BL495" s="148"/>
      <c r="BM495" s="146"/>
      <c r="BP495" s="148"/>
      <c r="BQ495" s="146"/>
      <c r="BV495" s="148"/>
      <c r="BW495" s="146"/>
      <c r="CC495" s="146"/>
      <c r="CH495" s="148"/>
      <c r="CI495" s="146"/>
    </row>
    <row r="496">
      <c r="C496" s="146"/>
      <c r="I496" s="163"/>
      <c r="J496" s="163"/>
      <c r="K496" s="163"/>
      <c r="Q496" s="148"/>
      <c r="AF496" s="148"/>
      <c r="AG496" s="146"/>
      <c r="AK496" s="148"/>
      <c r="AL496" s="146"/>
      <c r="AO496" s="163"/>
      <c r="AP496" s="163"/>
      <c r="AS496" s="148"/>
      <c r="AT496" s="146"/>
      <c r="BE496" s="148"/>
      <c r="BF496" s="146"/>
      <c r="BL496" s="148"/>
      <c r="BM496" s="146"/>
      <c r="BP496" s="148"/>
      <c r="BQ496" s="146"/>
      <c r="BV496" s="148"/>
      <c r="BW496" s="146"/>
      <c r="CC496" s="146"/>
      <c r="CH496" s="148"/>
      <c r="CI496" s="146"/>
    </row>
    <row r="497">
      <c r="C497" s="146"/>
      <c r="I497" s="163"/>
      <c r="J497" s="163"/>
      <c r="K497" s="163"/>
      <c r="Q497" s="148"/>
      <c r="AF497" s="148"/>
      <c r="AG497" s="146"/>
      <c r="AK497" s="148"/>
      <c r="AL497" s="146"/>
      <c r="AO497" s="163"/>
      <c r="AP497" s="163"/>
      <c r="AS497" s="148"/>
      <c r="AT497" s="146"/>
      <c r="BE497" s="148"/>
      <c r="BF497" s="146"/>
      <c r="BL497" s="148"/>
      <c r="BM497" s="146"/>
      <c r="BP497" s="148"/>
      <c r="BQ497" s="146"/>
      <c r="BV497" s="148"/>
      <c r="BW497" s="146"/>
      <c r="CC497" s="146"/>
      <c r="CH497" s="148"/>
      <c r="CI497" s="146"/>
    </row>
    <row r="498">
      <c r="C498" s="146"/>
      <c r="I498" s="163"/>
      <c r="J498" s="163"/>
      <c r="K498" s="163"/>
      <c r="Q498" s="148"/>
      <c r="AF498" s="148"/>
      <c r="AG498" s="146"/>
      <c r="AK498" s="148"/>
      <c r="AL498" s="146"/>
      <c r="AO498" s="163"/>
      <c r="AP498" s="163"/>
      <c r="AS498" s="148"/>
      <c r="AT498" s="146"/>
      <c r="BE498" s="148"/>
      <c r="BF498" s="146"/>
      <c r="BL498" s="148"/>
      <c r="BM498" s="146"/>
      <c r="BP498" s="148"/>
      <c r="BQ498" s="146"/>
      <c r="BV498" s="148"/>
      <c r="BW498" s="146"/>
      <c r="CC498" s="146"/>
      <c r="CH498" s="148"/>
      <c r="CI498" s="146"/>
    </row>
    <row r="499">
      <c r="C499" s="146"/>
      <c r="I499" s="163"/>
      <c r="J499" s="163"/>
      <c r="K499" s="163"/>
      <c r="Q499" s="148"/>
      <c r="AF499" s="148"/>
      <c r="AG499" s="146"/>
      <c r="AK499" s="148"/>
      <c r="AL499" s="146"/>
      <c r="AO499" s="163"/>
      <c r="AP499" s="163"/>
      <c r="AS499" s="148"/>
      <c r="AT499" s="146"/>
      <c r="BE499" s="148"/>
      <c r="BF499" s="146"/>
      <c r="BL499" s="148"/>
      <c r="BM499" s="146"/>
      <c r="BP499" s="148"/>
      <c r="BQ499" s="146"/>
      <c r="BV499" s="148"/>
      <c r="BW499" s="146"/>
      <c r="CC499" s="146"/>
      <c r="CH499" s="148"/>
      <c r="CI499" s="146"/>
    </row>
    <row r="500">
      <c r="C500" s="146"/>
      <c r="I500" s="163"/>
      <c r="J500" s="163"/>
      <c r="K500" s="163"/>
      <c r="Q500" s="148"/>
      <c r="AF500" s="148"/>
      <c r="AG500" s="146"/>
      <c r="AK500" s="148"/>
      <c r="AL500" s="146"/>
      <c r="AO500" s="163"/>
      <c r="AP500" s="163"/>
      <c r="AS500" s="148"/>
      <c r="AT500" s="146"/>
      <c r="BE500" s="148"/>
      <c r="BF500" s="146"/>
      <c r="BL500" s="148"/>
      <c r="BM500" s="146"/>
      <c r="BP500" s="148"/>
      <c r="BQ500" s="146"/>
      <c r="BV500" s="148"/>
      <c r="BW500" s="146"/>
      <c r="CC500" s="146"/>
      <c r="CH500" s="148"/>
      <c r="CI500" s="146"/>
    </row>
    <row r="501">
      <c r="C501" s="146"/>
      <c r="I501" s="163"/>
      <c r="J501" s="163"/>
      <c r="K501" s="163"/>
      <c r="Q501" s="148"/>
      <c r="AF501" s="148"/>
      <c r="AG501" s="146"/>
      <c r="AK501" s="148"/>
      <c r="AL501" s="146"/>
      <c r="AO501" s="163"/>
      <c r="AP501" s="163"/>
      <c r="AS501" s="148"/>
      <c r="AT501" s="146"/>
      <c r="BE501" s="148"/>
      <c r="BF501" s="146"/>
      <c r="BL501" s="148"/>
      <c r="BM501" s="146"/>
      <c r="BP501" s="148"/>
      <c r="BQ501" s="146"/>
      <c r="BV501" s="148"/>
      <c r="BW501" s="146"/>
      <c r="CC501" s="146"/>
      <c r="CH501" s="148"/>
      <c r="CI501" s="146"/>
    </row>
    <row r="502">
      <c r="C502" s="146"/>
      <c r="I502" s="163"/>
      <c r="J502" s="163"/>
      <c r="K502" s="163"/>
      <c r="Q502" s="148"/>
      <c r="AF502" s="148"/>
      <c r="AG502" s="146"/>
      <c r="AK502" s="148"/>
      <c r="AL502" s="146"/>
      <c r="AO502" s="163"/>
      <c r="AP502" s="163"/>
      <c r="AS502" s="148"/>
      <c r="AT502" s="146"/>
      <c r="BE502" s="148"/>
      <c r="BF502" s="146"/>
      <c r="BL502" s="148"/>
      <c r="BM502" s="146"/>
      <c r="BP502" s="148"/>
      <c r="BQ502" s="146"/>
      <c r="BV502" s="148"/>
      <c r="BW502" s="146"/>
      <c r="CC502" s="146"/>
      <c r="CH502" s="148"/>
      <c r="CI502" s="146"/>
    </row>
    <row r="503">
      <c r="C503" s="146"/>
      <c r="I503" s="163"/>
      <c r="J503" s="163"/>
      <c r="K503" s="163"/>
      <c r="Q503" s="148"/>
      <c r="AF503" s="148"/>
      <c r="AG503" s="146"/>
      <c r="AK503" s="148"/>
      <c r="AL503" s="146"/>
      <c r="AO503" s="163"/>
      <c r="AP503" s="163"/>
      <c r="AS503" s="148"/>
      <c r="AT503" s="146"/>
      <c r="BE503" s="148"/>
      <c r="BF503" s="146"/>
      <c r="BL503" s="148"/>
      <c r="BM503" s="146"/>
      <c r="BP503" s="148"/>
      <c r="BQ503" s="146"/>
      <c r="BV503" s="148"/>
      <c r="BW503" s="146"/>
      <c r="CC503" s="146"/>
      <c r="CH503" s="148"/>
      <c r="CI503" s="146"/>
    </row>
    <row r="504">
      <c r="C504" s="146"/>
      <c r="I504" s="163"/>
      <c r="J504" s="163"/>
      <c r="K504" s="163"/>
      <c r="Q504" s="148"/>
      <c r="AF504" s="148"/>
      <c r="AG504" s="146"/>
      <c r="AK504" s="148"/>
      <c r="AL504" s="146"/>
      <c r="AO504" s="163"/>
      <c r="AP504" s="163"/>
      <c r="AS504" s="148"/>
      <c r="AT504" s="146"/>
      <c r="BE504" s="148"/>
      <c r="BF504" s="146"/>
      <c r="BL504" s="148"/>
      <c r="BM504" s="146"/>
      <c r="BP504" s="148"/>
      <c r="BQ504" s="146"/>
      <c r="BV504" s="148"/>
      <c r="BW504" s="146"/>
      <c r="CC504" s="146"/>
      <c r="CH504" s="148"/>
      <c r="CI504" s="146"/>
    </row>
    <row r="505">
      <c r="C505" s="146"/>
      <c r="I505" s="163"/>
      <c r="J505" s="163"/>
      <c r="K505" s="163"/>
      <c r="Q505" s="148"/>
      <c r="AF505" s="148"/>
      <c r="AG505" s="146"/>
      <c r="AK505" s="148"/>
      <c r="AL505" s="146"/>
      <c r="AO505" s="163"/>
      <c r="AP505" s="163"/>
      <c r="AS505" s="148"/>
      <c r="AT505" s="146"/>
      <c r="BE505" s="148"/>
      <c r="BF505" s="146"/>
      <c r="BL505" s="148"/>
      <c r="BM505" s="146"/>
      <c r="BP505" s="148"/>
      <c r="BQ505" s="146"/>
      <c r="BV505" s="148"/>
      <c r="BW505" s="146"/>
      <c r="CC505" s="146"/>
      <c r="CH505" s="148"/>
      <c r="CI505" s="146"/>
    </row>
    <row r="506">
      <c r="C506" s="146"/>
      <c r="I506" s="163"/>
      <c r="J506" s="163"/>
      <c r="K506" s="163"/>
      <c r="Q506" s="148"/>
      <c r="AF506" s="148"/>
      <c r="AG506" s="146"/>
      <c r="AK506" s="148"/>
      <c r="AL506" s="146"/>
      <c r="AO506" s="163"/>
      <c r="AP506" s="163"/>
      <c r="AS506" s="148"/>
      <c r="AT506" s="146"/>
      <c r="BE506" s="148"/>
      <c r="BF506" s="146"/>
      <c r="BL506" s="148"/>
      <c r="BM506" s="146"/>
      <c r="BP506" s="148"/>
      <c r="BQ506" s="146"/>
      <c r="BV506" s="148"/>
      <c r="BW506" s="146"/>
      <c r="CC506" s="146"/>
      <c r="CH506" s="148"/>
      <c r="CI506" s="146"/>
    </row>
    <row r="507">
      <c r="C507" s="146"/>
      <c r="I507" s="163"/>
      <c r="J507" s="163"/>
      <c r="K507" s="163"/>
      <c r="Q507" s="148"/>
      <c r="AF507" s="148"/>
      <c r="AG507" s="146"/>
      <c r="AK507" s="148"/>
      <c r="AL507" s="146"/>
      <c r="AO507" s="163"/>
      <c r="AP507" s="163"/>
      <c r="AS507" s="148"/>
      <c r="AT507" s="146"/>
      <c r="BE507" s="148"/>
      <c r="BF507" s="146"/>
      <c r="BL507" s="148"/>
      <c r="BM507" s="146"/>
      <c r="BP507" s="148"/>
      <c r="BQ507" s="146"/>
      <c r="BV507" s="148"/>
      <c r="BW507" s="146"/>
      <c r="CC507" s="146"/>
      <c r="CH507" s="148"/>
      <c r="CI507" s="146"/>
    </row>
    <row r="508">
      <c r="C508" s="146"/>
      <c r="I508" s="163"/>
      <c r="J508" s="163"/>
      <c r="K508" s="163"/>
      <c r="Q508" s="148"/>
      <c r="AF508" s="148"/>
      <c r="AG508" s="146"/>
      <c r="AK508" s="148"/>
      <c r="AL508" s="146"/>
      <c r="AO508" s="163"/>
      <c r="AP508" s="163"/>
      <c r="AS508" s="148"/>
      <c r="AT508" s="146"/>
      <c r="BE508" s="148"/>
      <c r="BF508" s="146"/>
      <c r="BL508" s="148"/>
      <c r="BM508" s="146"/>
      <c r="BP508" s="148"/>
      <c r="BQ508" s="146"/>
      <c r="BV508" s="148"/>
      <c r="BW508" s="146"/>
      <c r="CC508" s="146"/>
      <c r="CH508" s="148"/>
      <c r="CI508" s="146"/>
    </row>
    <row r="509">
      <c r="C509" s="146"/>
      <c r="I509" s="163"/>
      <c r="J509" s="163"/>
      <c r="K509" s="163"/>
      <c r="Q509" s="148"/>
      <c r="AF509" s="148"/>
      <c r="AG509" s="146"/>
      <c r="AK509" s="148"/>
      <c r="AL509" s="146"/>
      <c r="AO509" s="163"/>
      <c r="AP509" s="163"/>
      <c r="AS509" s="148"/>
      <c r="AT509" s="146"/>
      <c r="BE509" s="148"/>
      <c r="BF509" s="146"/>
      <c r="BL509" s="148"/>
      <c r="BM509" s="146"/>
      <c r="BP509" s="148"/>
      <c r="BQ509" s="146"/>
      <c r="BV509" s="148"/>
      <c r="BW509" s="146"/>
      <c r="CC509" s="146"/>
      <c r="CH509" s="148"/>
      <c r="CI509" s="146"/>
    </row>
    <row r="510">
      <c r="C510" s="146"/>
      <c r="I510" s="163"/>
      <c r="J510" s="163"/>
      <c r="K510" s="163"/>
      <c r="Q510" s="148"/>
      <c r="AF510" s="148"/>
      <c r="AG510" s="146"/>
      <c r="AK510" s="148"/>
      <c r="AL510" s="146"/>
      <c r="AO510" s="163"/>
      <c r="AP510" s="163"/>
      <c r="AS510" s="148"/>
      <c r="AT510" s="146"/>
      <c r="BE510" s="148"/>
      <c r="BF510" s="146"/>
      <c r="BL510" s="148"/>
      <c r="BM510" s="146"/>
      <c r="BP510" s="148"/>
      <c r="BQ510" s="146"/>
      <c r="BV510" s="148"/>
      <c r="BW510" s="146"/>
      <c r="CC510" s="146"/>
      <c r="CH510" s="148"/>
      <c r="CI510" s="146"/>
    </row>
    <row r="511">
      <c r="C511" s="146"/>
      <c r="I511" s="163"/>
      <c r="J511" s="163"/>
      <c r="K511" s="163"/>
      <c r="Q511" s="148"/>
      <c r="AF511" s="148"/>
      <c r="AG511" s="146"/>
      <c r="AK511" s="148"/>
      <c r="AL511" s="146"/>
      <c r="AO511" s="163"/>
      <c r="AP511" s="163"/>
      <c r="AS511" s="148"/>
      <c r="AT511" s="146"/>
      <c r="BE511" s="148"/>
      <c r="BF511" s="146"/>
      <c r="BL511" s="148"/>
      <c r="BM511" s="146"/>
      <c r="BP511" s="148"/>
      <c r="BQ511" s="146"/>
      <c r="BV511" s="148"/>
      <c r="BW511" s="146"/>
      <c r="CC511" s="146"/>
      <c r="CH511" s="148"/>
      <c r="CI511" s="146"/>
    </row>
    <row r="512">
      <c r="C512" s="146"/>
      <c r="I512" s="163"/>
      <c r="J512" s="163"/>
      <c r="K512" s="163"/>
      <c r="Q512" s="148"/>
      <c r="AF512" s="148"/>
      <c r="AG512" s="146"/>
      <c r="AK512" s="148"/>
      <c r="AL512" s="146"/>
      <c r="AO512" s="163"/>
      <c r="AP512" s="163"/>
      <c r="AS512" s="148"/>
      <c r="AT512" s="146"/>
      <c r="BE512" s="148"/>
      <c r="BF512" s="146"/>
      <c r="BL512" s="148"/>
      <c r="BM512" s="146"/>
      <c r="BP512" s="148"/>
      <c r="BQ512" s="146"/>
      <c r="BV512" s="148"/>
      <c r="BW512" s="146"/>
      <c r="CC512" s="146"/>
      <c r="CH512" s="148"/>
      <c r="CI512" s="146"/>
    </row>
    <row r="513">
      <c r="C513" s="146"/>
      <c r="I513" s="163"/>
      <c r="J513" s="163"/>
      <c r="K513" s="163"/>
      <c r="Q513" s="148"/>
      <c r="AF513" s="148"/>
      <c r="AG513" s="146"/>
      <c r="AK513" s="148"/>
      <c r="AL513" s="146"/>
      <c r="AO513" s="163"/>
      <c r="AP513" s="163"/>
      <c r="AS513" s="148"/>
      <c r="AT513" s="146"/>
      <c r="BE513" s="148"/>
      <c r="BF513" s="146"/>
      <c r="BL513" s="148"/>
      <c r="BM513" s="146"/>
      <c r="BP513" s="148"/>
      <c r="BQ513" s="146"/>
      <c r="BV513" s="148"/>
      <c r="BW513" s="146"/>
      <c r="CC513" s="146"/>
      <c r="CH513" s="148"/>
      <c r="CI513" s="146"/>
    </row>
    <row r="514">
      <c r="C514" s="146"/>
      <c r="I514" s="163"/>
      <c r="J514" s="163"/>
      <c r="K514" s="163"/>
      <c r="Q514" s="148"/>
      <c r="AF514" s="148"/>
      <c r="AG514" s="146"/>
      <c r="AK514" s="148"/>
      <c r="AL514" s="146"/>
      <c r="AO514" s="163"/>
      <c r="AP514" s="163"/>
      <c r="AS514" s="148"/>
      <c r="AT514" s="146"/>
      <c r="BE514" s="148"/>
      <c r="BF514" s="146"/>
      <c r="BL514" s="148"/>
      <c r="BM514" s="146"/>
      <c r="BP514" s="148"/>
      <c r="BQ514" s="146"/>
      <c r="BV514" s="148"/>
      <c r="BW514" s="146"/>
      <c r="CC514" s="146"/>
      <c r="CH514" s="148"/>
      <c r="CI514" s="146"/>
    </row>
    <row r="515">
      <c r="C515" s="146"/>
      <c r="I515" s="163"/>
      <c r="J515" s="163"/>
      <c r="K515" s="163"/>
      <c r="Q515" s="148"/>
      <c r="AF515" s="148"/>
      <c r="AG515" s="146"/>
      <c r="AK515" s="148"/>
      <c r="AL515" s="146"/>
      <c r="AO515" s="163"/>
      <c r="AP515" s="163"/>
      <c r="AS515" s="148"/>
      <c r="AT515" s="146"/>
      <c r="BE515" s="148"/>
      <c r="BF515" s="146"/>
      <c r="BL515" s="148"/>
      <c r="BM515" s="146"/>
      <c r="BP515" s="148"/>
      <c r="BQ515" s="146"/>
      <c r="BV515" s="148"/>
      <c r="BW515" s="146"/>
      <c r="CC515" s="146"/>
      <c r="CH515" s="148"/>
      <c r="CI515" s="146"/>
    </row>
    <row r="516">
      <c r="C516" s="146"/>
      <c r="I516" s="163"/>
      <c r="J516" s="163"/>
      <c r="K516" s="163"/>
      <c r="Q516" s="148"/>
      <c r="AF516" s="148"/>
      <c r="AG516" s="146"/>
      <c r="AK516" s="148"/>
      <c r="AL516" s="146"/>
      <c r="AO516" s="163"/>
      <c r="AP516" s="163"/>
      <c r="AS516" s="148"/>
      <c r="AT516" s="146"/>
      <c r="BE516" s="148"/>
      <c r="BF516" s="146"/>
      <c r="BL516" s="148"/>
      <c r="BM516" s="146"/>
      <c r="BP516" s="148"/>
      <c r="BQ516" s="146"/>
      <c r="BV516" s="148"/>
      <c r="BW516" s="146"/>
      <c r="CC516" s="146"/>
      <c r="CH516" s="148"/>
      <c r="CI516" s="146"/>
    </row>
    <row r="517">
      <c r="C517" s="146"/>
      <c r="I517" s="163"/>
      <c r="J517" s="163"/>
      <c r="K517" s="163"/>
      <c r="Q517" s="148"/>
      <c r="AF517" s="148"/>
      <c r="AG517" s="146"/>
      <c r="AK517" s="148"/>
      <c r="AL517" s="146"/>
      <c r="AO517" s="163"/>
      <c r="AP517" s="163"/>
      <c r="AS517" s="148"/>
      <c r="AT517" s="146"/>
      <c r="BE517" s="148"/>
      <c r="BF517" s="146"/>
      <c r="BL517" s="148"/>
      <c r="BM517" s="146"/>
      <c r="BP517" s="148"/>
      <c r="BQ517" s="146"/>
      <c r="BV517" s="148"/>
      <c r="BW517" s="146"/>
      <c r="CC517" s="146"/>
      <c r="CH517" s="148"/>
      <c r="CI517" s="146"/>
    </row>
    <row r="518">
      <c r="C518" s="146"/>
      <c r="I518" s="163"/>
      <c r="J518" s="163"/>
      <c r="K518" s="163"/>
      <c r="Q518" s="148"/>
      <c r="AF518" s="148"/>
      <c r="AG518" s="146"/>
      <c r="AK518" s="148"/>
      <c r="AL518" s="146"/>
      <c r="AO518" s="163"/>
      <c r="AP518" s="163"/>
      <c r="AS518" s="148"/>
      <c r="AT518" s="146"/>
      <c r="BE518" s="148"/>
      <c r="BF518" s="146"/>
      <c r="BL518" s="148"/>
      <c r="BM518" s="146"/>
      <c r="BP518" s="148"/>
      <c r="BQ518" s="146"/>
      <c r="BV518" s="148"/>
      <c r="BW518" s="146"/>
      <c r="CC518" s="146"/>
      <c r="CH518" s="148"/>
      <c r="CI518" s="146"/>
    </row>
    <row r="519">
      <c r="C519" s="146"/>
      <c r="I519" s="163"/>
      <c r="J519" s="163"/>
      <c r="K519" s="163"/>
      <c r="Q519" s="148"/>
      <c r="AF519" s="148"/>
      <c r="AG519" s="146"/>
      <c r="AK519" s="148"/>
      <c r="AL519" s="146"/>
      <c r="AO519" s="163"/>
      <c r="AP519" s="163"/>
      <c r="AS519" s="148"/>
      <c r="AT519" s="146"/>
      <c r="BE519" s="148"/>
      <c r="BF519" s="146"/>
      <c r="BL519" s="148"/>
      <c r="BM519" s="146"/>
      <c r="BP519" s="148"/>
      <c r="BQ519" s="146"/>
      <c r="BV519" s="148"/>
      <c r="BW519" s="146"/>
      <c r="CC519" s="146"/>
      <c r="CH519" s="148"/>
      <c r="CI519" s="146"/>
    </row>
    <row r="520">
      <c r="C520" s="146"/>
      <c r="I520" s="163"/>
      <c r="J520" s="163"/>
      <c r="K520" s="163"/>
      <c r="Q520" s="148"/>
      <c r="AF520" s="148"/>
      <c r="AG520" s="146"/>
      <c r="AK520" s="148"/>
      <c r="AL520" s="146"/>
      <c r="AO520" s="163"/>
      <c r="AP520" s="163"/>
      <c r="AS520" s="148"/>
      <c r="AT520" s="146"/>
      <c r="BE520" s="148"/>
      <c r="BF520" s="146"/>
      <c r="BL520" s="148"/>
      <c r="BM520" s="146"/>
      <c r="BP520" s="148"/>
      <c r="BQ520" s="146"/>
      <c r="BV520" s="148"/>
      <c r="BW520" s="146"/>
      <c r="CC520" s="146"/>
      <c r="CH520" s="148"/>
      <c r="CI520" s="146"/>
    </row>
    <row r="521">
      <c r="C521" s="146"/>
      <c r="I521" s="163"/>
      <c r="J521" s="163"/>
      <c r="K521" s="163"/>
      <c r="Q521" s="148"/>
      <c r="AF521" s="148"/>
      <c r="AG521" s="146"/>
      <c r="AK521" s="148"/>
      <c r="AL521" s="146"/>
      <c r="AO521" s="163"/>
      <c r="AP521" s="163"/>
      <c r="AS521" s="148"/>
      <c r="AT521" s="146"/>
      <c r="BE521" s="148"/>
      <c r="BF521" s="146"/>
      <c r="BL521" s="148"/>
      <c r="BM521" s="146"/>
      <c r="BP521" s="148"/>
      <c r="BQ521" s="146"/>
      <c r="BV521" s="148"/>
      <c r="BW521" s="146"/>
      <c r="CC521" s="146"/>
      <c r="CH521" s="148"/>
      <c r="CI521" s="146"/>
    </row>
    <row r="522">
      <c r="C522" s="146"/>
      <c r="I522" s="163"/>
      <c r="J522" s="163"/>
      <c r="K522" s="163"/>
      <c r="Q522" s="148"/>
      <c r="AF522" s="148"/>
      <c r="AG522" s="146"/>
      <c r="AK522" s="148"/>
      <c r="AL522" s="146"/>
      <c r="AO522" s="163"/>
      <c r="AP522" s="163"/>
      <c r="AS522" s="148"/>
      <c r="AT522" s="146"/>
      <c r="BE522" s="148"/>
      <c r="BF522" s="146"/>
      <c r="BL522" s="148"/>
      <c r="BM522" s="146"/>
      <c r="BP522" s="148"/>
      <c r="BQ522" s="146"/>
      <c r="BV522" s="148"/>
      <c r="BW522" s="146"/>
      <c r="CC522" s="146"/>
      <c r="CH522" s="148"/>
      <c r="CI522" s="146"/>
    </row>
    <row r="523">
      <c r="C523" s="146"/>
      <c r="I523" s="163"/>
      <c r="J523" s="163"/>
      <c r="K523" s="163"/>
      <c r="Q523" s="148"/>
      <c r="AF523" s="148"/>
      <c r="AG523" s="146"/>
      <c r="AK523" s="148"/>
      <c r="AL523" s="146"/>
      <c r="AO523" s="163"/>
      <c r="AP523" s="163"/>
      <c r="AS523" s="148"/>
      <c r="AT523" s="146"/>
      <c r="BE523" s="148"/>
      <c r="BF523" s="146"/>
      <c r="BL523" s="148"/>
      <c r="BM523" s="146"/>
      <c r="BP523" s="148"/>
      <c r="BQ523" s="146"/>
      <c r="BV523" s="148"/>
      <c r="BW523" s="146"/>
      <c r="CC523" s="146"/>
      <c r="CH523" s="148"/>
      <c r="CI523" s="146"/>
    </row>
    <row r="524">
      <c r="C524" s="146"/>
      <c r="I524" s="163"/>
      <c r="J524" s="163"/>
      <c r="K524" s="163"/>
      <c r="Q524" s="148"/>
      <c r="AF524" s="148"/>
      <c r="AG524" s="146"/>
      <c r="AK524" s="148"/>
      <c r="AL524" s="146"/>
      <c r="AO524" s="163"/>
      <c r="AP524" s="163"/>
      <c r="AS524" s="148"/>
      <c r="AT524" s="146"/>
      <c r="BE524" s="148"/>
      <c r="BF524" s="146"/>
      <c r="BL524" s="148"/>
      <c r="BM524" s="146"/>
      <c r="BP524" s="148"/>
      <c r="BQ524" s="146"/>
      <c r="BV524" s="148"/>
      <c r="BW524" s="146"/>
      <c r="CC524" s="146"/>
      <c r="CH524" s="148"/>
      <c r="CI524" s="146"/>
    </row>
    <row r="525">
      <c r="C525" s="146"/>
      <c r="I525" s="163"/>
      <c r="J525" s="163"/>
      <c r="K525" s="163"/>
      <c r="Q525" s="148"/>
      <c r="AF525" s="148"/>
      <c r="AG525" s="146"/>
      <c r="AK525" s="148"/>
      <c r="AL525" s="146"/>
      <c r="AO525" s="163"/>
      <c r="AP525" s="163"/>
      <c r="AS525" s="148"/>
      <c r="AT525" s="146"/>
      <c r="BE525" s="148"/>
      <c r="BF525" s="146"/>
      <c r="BL525" s="148"/>
      <c r="BM525" s="146"/>
      <c r="BP525" s="148"/>
      <c r="BQ525" s="146"/>
      <c r="BV525" s="148"/>
      <c r="BW525" s="146"/>
      <c r="CC525" s="146"/>
      <c r="CH525" s="148"/>
      <c r="CI525" s="146"/>
    </row>
    <row r="526">
      <c r="C526" s="146"/>
      <c r="I526" s="163"/>
      <c r="J526" s="163"/>
      <c r="K526" s="163"/>
      <c r="Q526" s="148"/>
      <c r="AF526" s="148"/>
      <c r="AG526" s="146"/>
      <c r="AK526" s="148"/>
      <c r="AL526" s="146"/>
      <c r="AO526" s="163"/>
      <c r="AP526" s="163"/>
      <c r="AS526" s="148"/>
      <c r="AT526" s="146"/>
      <c r="BE526" s="148"/>
      <c r="BF526" s="146"/>
      <c r="BL526" s="148"/>
      <c r="BM526" s="146"/>
      <c r="BP526" s="148"/>
      <c r="BQ526" s="146"/>
      <c r="BV526" s="148"/>
      <c r="BW526" s="146"/>
      <c r="CC526" s="146"/>
      <c r="CH526" s="148"/>
      <c r="CI526" s="146"/>
    </row>
    <row r="527">
      <c r="C527" s="146"/>
      <c r="I527" s="163"/>
      <c r="J527" s="163"/>
      <c r="K527" s="163"/>
      <c r="Q527" s="148"/>
      <c r="AF527" s="148"/>
      <c r="AG527" s="146"/>
      <c r="AK527" s="148"/>
      <c r="AL527" s="146"/>
      <c r="AO527" s="163"/>
      <c r="AP527" s="163"/>
      <c r="AS527" s="148"/>
      <c r="AT527" s="146"/>
      <c r="BE527" s="148"/>
      <c r="BF527" s="146"/>
      <c r="BL527" s="148"/>
      <c r="BM527" s="146"/>
      <c r="BP527" s="148"/>
      <c r="BQ527" s="146"/>
      <c r="BV527" s="148"/>
      <c r="BW527" s="146"/>
      <c r="CC527" s="146"/>
      <c r="CH527" s="148"/>
      <c r="CI527" s="146"/>
    </row>
    <row r="528">
      <c r="C528" s="146"/>
      <c r="I528" s="163"/>
      <c r="J528" s="163"/>
      <c r="K528" s="163"/>
      <c r="Q528" s="148"/>
      <c r="AF528" s="148"/>
      <c r="AG528" s="146"/>
      <c r="AK528" s="148"/>
      <c r="AL528" s="146"/>
      <c r="AO528" s="163"/>
      <c r="AP528" s="163"/>
      <c r="AS528" s="148"/>
      <c r="AT528" s="146"/>
      <c r="BE528" s="148"/>
      <c r="BF528" s="146"/>
      <c r="BL528" s="148"/>
      <c r="BM528" s="146"/>
      <c r="BP528" s="148"/>
      <c r="BQ528" s="146"/>
      <c r="BV528" s="148"/>
      <c r="BW528" s="146"/>
      <c r="CC528" s="146"/>
      <c r="CH528" s="148"/>
      <c r="CI528" s="146"/>
    </row>
    <row r="529">
      <c r="C529" s="146"/>
      <c r="I529" s="163"/>
      <c r="J529" s="163"/>
      <c r="K529" s="163"/>
      <c r="Q529" s="148"/>
      <c r="AF529" s="148"/>
      <c r="AG529" s="146"/>
      <c r="AK529" s="148"/>
      <c r="AL529" s="146"/>
      <c r="AO529" s="163"/>
      <c r="AP529" s="163"/>
      <c r="AS529" s="148"/>
      <c r="AT529" s="146"/>
      <c r="BE529" s="148"/>
      <c r="BF529" s="146"/>
      <c r="BL529" s="148"/>
      <c r="BM529" s="146"/>
      <c r="BP529" s="148"/>
      <c r="BQ529" s="146"/>
      <c r="BV529" s="148"/>
      <c r="BW529" s="146"/>
      <c r="CC529" s="146"/>
      <c r="CH529" s="148"/>
      <c r="CI529" s="146"/>
    </row>
    <row r="530">
      <c r="C530" s="146"/>
      <c r="I530" s="163"/>
      <c r="J530" s="163"/>
      <c r="K530" s="163"/>
      <c r="Q530" s="148"/>
      <c r="AF530" s="148"/>
      <c r="AG530" s="146"/>
      <c r="AK530" s="148"/>
      <c r="AL530" s="146"/>
      <c r="AO530" s="163"/>
      <c r="AP530" s="163"/>
      <c r="AS530" s="148"/>
      <c r="AT530" s="146"/>
      <c r="BE530" s="148"/>
      <c r="BF530" s="146"/>
      <c r="BL530" s="148"/>
      <c r="BM530" s="146"/>
      <c r="BP530" s="148"/>
      <c r="BQ530" s="146"/>
      <c r="BV530" s="148"/>
      <c r="BW530" s="146"/>
      <c r="CC530" s="146"/>
      <c r="CH530" s="148"/>
      <c r="CI530" s="146"/>
    </row>
    <row r="531">
      <c r="C531" s="146"/>
      <c r="I531" s="163"/>
      <c r="J531" s="163"/>
      <c r="K531" s="163"/>
      <c r="Q531" s="148"/>
      <c r="AF531" s="148"/>
      <c r="AG531" s="146"/>
      <c r="AK531" s="148"/>
      <c r="AL531" s="146"/>
      <c r="AO531" s="163"/>
      <c r="AP531" s="163"/>
      <c r="AS531" s="148"/>
      <c r="AT531" s="146"/>
      <c r="BE531" s="148"/>
      <c r="BF531" s="146"/>
      <c r="BL531" s="148"/>
      <c r="BM531" s="146"/>
      <c r="BP531" s="148"/>
      <c r="BQ531" s="146"/>
      <c r="BV531" s="148"/>
      <c r="BW531" s="146"/>
      <c r="CC531" s="146"/>
      <c r="CH531" s="148"/>
      <c r="CI531" s="146"/>
    </row>
    <row r="532">
      <c r="C532" s="146"/>
      <c r="I532" s="163"/>
      <c r="J532" s="163"/>
      <c r="K532" s="163"/>
      <c r="Q532" s="148"/>
      <c r="AF532" s="148"/>
      <c r="AG532" s="146"/>
      <c r="AK532" s="148"/>
      <c r="AL532" s="146"/>
      <c r="AO532" s="163"/>
      <c r="AP532" s="163"/>
      <c r="AS532" s="148"/>
      <c r="AT532" s="146"/>
      <c r="BE532" s="148"/>
      <c r="BF532" s="146"/>
      <c r="BL532" s="148"/>
      <c r="BM532" s="146"/>
      <c r="BP532" s="148"/>
      <c r="BQ532" s="146"/>
      <c r="BV532" s="148"/>
      <c r="BW532" s="146"/>
      <c r="CC532" s="146"/>
      <c r="CH532" s="148"/>
      <c r="CI532" s="146"/>
    </row>
    <row r="533">
      <c r="C533" s="146"/>
      <c r="I533" s="163"/>
      <c r="J533" s="163"/>
      <c r="K533" s="163"/>
      <c r="Q533" s="148"/>
      <c r="AF533" s="148"/>
      <c r="AG533" s="146"/>
      <c r="AK533" s="148"/>
      <c r="AL533" s="146"/>
      <c r="AO533" s="163"/>
      <c r="AP533" s="163"/>
      <c r="AS533" s="148"/>
      <c r="AT533" s="146"/>
      <c r="BE533" s="148"/>
      <c r="BF533" s="146"/>
      <c r="BL533" s="148"/>
      <c r="BM533" s="146"/>
      <c r="BP533" s="148"/>
      <c r="BQ533" s="146"/>
      <c r="BV533" s="148"/>
      <c r="BW533" s="146"/>
      <c r="CC533" s="146"/>
      <c r="CH533" s="148"/>
      <c r="CI533" s="146"/>
    </row>
    <row r="534">
      <c r="C534" s="146"/>
      <c r="I534" s="163"/>
      <c r="J534" s="163"/>
      <c r="K534" s="163"/>
      <c r="Q534" s="148"/>
      <c r="AF534" s="148"/>
      <c r="AG534" s="146"/>
      <c r="AK534" s="148"/>
      <c r="AL534" s="146"/>
      <c r="AO534" s="163"/>
      <c r="AP534" s="163"/>
      <c r="AS534" s="148"/>
      <c r="AT534" s="146"/>
      <c r="BE534" s="148"/>
      <c r="BF534" s="146"/>
      <c r="BL534" s="148"/>
      <c r="BM534" s="146"/>
      <c r="BP534" s="148"/>
      <c r="BQ534" s="146"/>
      <c r="BV534" s="148"/>
      <c r="BW534" s="146"/>
      <c r="CC534" s="146"/>
      <c r="CH534" s="148"/>
      <c r="CI534" s="146"/>
    </row>
    <row r="535">
      <c r="C535" s="146"/>
      <c r="I535" s="163"/>
      <c r="J535" s="163"/>
      <c r="K535" s="163"/>
      <c r="Q535" s="148"/>
      <c r="AF535" s="148"/>
      <c r="AG535" s="146"/>
      <c r="AK535" s="148"/>
      <c r="AL535" s="146"/>
      <c r="AO535" s="163"/>
      <c r="AP535" s="163"/>
      <c r="AS535" s="148"/>
      <c r="AT535" s="146"/>
      <c r="BE535" s="148"/>
      <c r="BF535" s="146"/>
      <c r="BL535" s="148"/>
      <c r="BM535" s="146"/>
      <c r="BP535" s="148"/>
      <c r="BQ535" s="146"/>
      <c r="BV535" s="148"/>
      <c r="BW535" s="146"/>
      <c r="CC535" s="146"/>
      <c r="CH535" s="148"/>
      <c r="CI535" s="146"/>
    </row>
    <row r="536">
      <c r="C536" s="146"/>
      <c r="I536" s="163"/>
      <c r="J536" s="163"/>
      <c r="K536" s="163"/>
      <c r="Q536" s="148"/>
      <c r="AF536" s="148"/>
      <c r="AG536" s="146"/>
      <c r="AK536" s="148"/>
      <c r="AL536" s="146"/>
      <c r="AO536" s="163"/>
      <c r="AP536" s="163"/>
      <c r="AS536" s="148"/>
      <c r="AT536" s="146"/>
      <c r="BE536" s="148"/>
      <c r="BF536" s="146"/>
      <c r="BL536" s="148"/>
      <c r="BM536" s="146"/>
      <c r="BP536" s="148"/>
      <c r="BQ536" s="146"/>
      <c r="BV536" s="148"/>
      <c r="BW536" s="146"/>
      <c r="CC536" s="146"/>
      <c r="CH536" s="148"/>
      <c r="CI536" s="146"/>
    </row>
    <row r="537">
      <c r="C537" s="146"/>
      <c r="I537" s="163"/>
      <c r="J537" s="163"/>
      <c r="K537" s="163"/>
      <c r="Q537" s="148"/>
      <c r="AF537" s="148"/>
      <c r="AG537" s="146"/>
      <c r="AK537" s="148"/>
      <c r="AL537" s="146"/>
      <c r="AO537" s="163"/>
      <c r="AP537" s="163"/>
      <c r="AS537" s="148"/>
      <c r="AT537" s="146"/>
      <c r="BE537" s="148"/>
      <c r="BF537" s="146"/>
      <c r="BL537" s="148"/>
      <c r="BM537" s="146"/>
      <c r="BP537" s="148"/>
      <c r="BQ537" s="146"/>
      <c r="BV537" s="148"/>
      <c r="BW537" s="146"/>
      <c r="CC537" s="146"/>
      <c r="CH537" s="148"/>
      <c r="CI537" s="146"/>
    </row>
    <row r="538">
      <c r="C538" s="146"/>
      <c r="I538" s="163"/>
      <c r="J538" s="163"/>
      <c r="K538" s="163"/>
      <c r="Q538" s="148"/>
      <c r="AF538" s="148"/>
      <c r="AG538" s="146"/>
      <c r="AK538" s="148"/>
      <c r="AL538" s="146"/>
      <c r="AO538" s="163"/>
      <c r="AP538" s="163"/>
      <c r="AS538" s="148"/>
      <c r="AT538" s="146"/>
      <c r="BE538" s="148"/>
      <c r="BF538" s="146"/>
      <c r="BL538" s="148"/>
      <c r="BM538" s="146"/>
      <c r="BP538" s="148"/>
      <c r="BQ538" s="146"/>
      <c r="BV538" s="148"/>
      <c r="BW538" s="146"/>
      <c r="CC538" s="146"/>
      <c r="CH538" s="148"/>
      <c r="CI538" s="146"/>
    </row>
    <row r="539">
      <c r="C539" s="146"/>
      <c r="I539" s="163"/>
      <c r="J539" s="163"/>
      <c r="K539" s="163"/>
      <c r="Q539" s="148"/>
      <c r="AF539" s="148"/>
      <c r="AG539" s="146"/>
      <c r="AK539" s="148"/>
      <c r="AL539" s="146"/>
      <c r="AO539" s="163"/>
      <c r="AP539" s="163"/>
      <c r="AS539" s="148"/>
      <c r="AT539" s="146"/>
      <c r="BE539" s="148"/>
      <c r="BF539" s="146"/>
      <c r="BL539" s="148"/>
      <c r="BM539" s="146"/>
      <c r="BP539" s="148"/>
      <c r="BQ539" s="146"/>
      <c r="BV539" s="148"/>
      <c r="BW539" s="146"/>
      <c r="CC539" s="146"/>
      <c r="CH539" s="148"/>
      <c r="CI539" s="146"/>
    </row>
    <row r="540">
      <c r="C540" s="146"/>
      <c r="I540" s="163"/>
      <c r="J540" s="163"/>
      <c r="K540" s="163"/>
      <c r="Q540" s="148"/>
      <c r="AF540" s="148"/>
      <c r="AG540" s="146"/>
      <c r="AK540" s="148"/>
      <c r="AL540" s="146"/>
      <c r="AO540" s="163"/>
      <c r="AP540" s="163"/>
      <c r="AS540" s="148"/>
      <c r="AT540" s="146"/>
      <c r="BE540" s="148"/>
      <c r="BF540" s="146"/>
      <c r="BL540" s="148"/>
      <c r="BM540" s="146"/>
      <c r="BP540" s="148"/>
      <c r="BQ540" s="146"/>
      <c r="BV540" s="148"/>
      <c r="BW540" s="146"/>
      <c r="CC540" s="146"/>
      <c r="CH540" s="148"/>
      <c r="CI540" s="146"/>
    </row>
    <row r="541">
      <c r="C541" s="146"/>
      <c r="I541" s="163"/>
      <c r="J541" s="163"/>
      <c r="K541" s="163"/>
      <c r="Q541" s="148"/>
      <c r="AF541" s="148"/>
      <c r="AG541" s="146"/>
      <c r="AK541" s="148"/>
      <c r="AL541" s="146"/>
      <c r="AO541" s="163"/>
      <c r="AP541" s="163"/>
      <c r="AS541" s="148"/>
      <c r="AT541" s="146"/>
      <c r="BE541" s="148"/>
      <c r="BF541" s="146"/>
      <c r="BL541" s="148"/>
      <c r="BM541" s="146"/>
      <c r="BP541" s="148"/>
      <c r="BQ541" s="146"/>
      <c r="BV541" s="148"/>
      <c r="BW541" s="146"/>
      <c r="CC541" s="146"/>
      <c r="CH541" s="148"/>
      <c r="CI541" s="146"/>
    </row>
    <row r="542">
      <c r="C542" s="146"/>
      <c r="I542" s="163"/>
      <c r="J542" s="163"/>
      <c r="K542" s="163"/>
      <c r="Q542" s="148"/>
      <c r="AF542" s="148"/>
      <c r="AG542" s="146"/>
      <c r="AK542" s="148"/>
      <c r="AL542" s="146"/>
      <c r="AO542" s="163"/>
      <c r="AP542" s="163"/>
      <c r="AS542" s="148"/>
      <c r="AT542" s="146"/>
      <c r="BE542" s="148"/>
      <c r="BF542" s="146"/>
      <c r="BL542" s="148"/>
      <c r="BM542" s="146"/>
      <c r="BP542" s="148"/>
      <c r="BQ542" s="146"/>
      <c r="BV542" s="148"/>
      <c r="BW542" s="146"/>
      <c r="CC542" s="146"/>
      <c r="CH542" s="148"/>
      <c r="CI542" s="146"/>
    </row>
    <row r="543">
      <c r="C543" s="146"/>
      <c r="I543" s="163"/>
      <c r="J543" s="163"/>
      <c r="K543" s="163"/>
      <c r="Q543" s="148"/>
      <c r="AF543" s="148"/>
      <c r="AG543" s="146"/>
      <c r="AK543" s="148"/>
      <c r="AL543" s="146"/>
      <c r="AO543" s="163"/>
      <c r="AP543" s="163"/>
      <c r="AS543" s="148"/>
      <c r="AT543" s="146"/>
      <c r="BE543" s="148"/>
      <c r="BF543" s="146"/>
      <c r="BL543" s="148"/>
      <c r="BM543" s="146"/>
      <c r="BP543" s="148"/>
      <c r="BQ543" s="146"/>
      <c r="BV543" s="148"/>
      <c r="BW543" s="146"/>
      <c r="CC543" s="146"/>
      <c r="CH543" s="148"/>
      <c r="CI543" s="146"/>
    </row>
    <row r="544">
      <c r="C544" s="146"/>
      <c r="I544" s="163"/>
      <c r="J544" s="163"/>
      <c r="K544" s="163"/>
      <c r="Q544" s="148"/>
      <c r="AF544" s="148"/>
      <c r="AG544" s="146"/>
      <c r="AK544" s="148"/>
      <c r="AL544" s="146"/>
      <c r="AO544" s="163"/>
      <c r="AP544" s="163"/>
      <c r="AS544" s="148"/>
      <c r="AT544" s="146"/>
      <c r="BE544" s="148"/>
      <c r="BF544" s="146"/>
      <c r="BL544" s="148"/>
      <c r="BM544" s="146"/>
      <c r="BP544" s="148"/>
      <c r="BQ544" s="146"/>
      <c r="BV544" s="148"/>
      <c r="BW544" s="146"/>
      <c r="CC544" s="146"/>
      <c r="CH544" s="148"/>
      <c r="CI544" s="146"/>
    </row>
    <row r="545">
      <c r="C545" s="146"/>
      <c r="I545" s="163"/>
      <c r="J545" s="163"/>
      <c r="K545" s="163"/>
      <c r="Q545" s="148"/>
      <c r="AF545" s="148"/>
      <c r="AG545" s="146"/>
      <c r="AK545" s="148"/>
      <c r="AL545" s="146"/>
      <c r="AO545" s="163"/>
      <c r="AP545" s="163"/>
      <c r="AS545" s="148"/>
      <c r="AT545" s="146"/>
      <c r="BE545" s="148"/>
      <c r="BF545" s="146"/>
      <c r="BL545" s="148"/>
      <c r="BM545" s="146"/>
      <c r="BP545" s="148"/>
      <c r="BQ545" s="146"/>
      <c r="BV545" s="148"/>
      <c r="BW545" s="146"/>
      <c r="CC545" s="146"/>
      <c r="CH545" s="148"/>
      <c r="CI545" s="146"/>
    </row>
    <row r="546">
      <c r="C546" s="146"/>
      <c r="I546" s="163"/>
      <c r="J546" s="163"/>
      <c r="K546" s="163"/>
      <c r="Q546" s="148"/>
      <c r="AF546" s="148"/>
      <c r="AG546" s="146"/>
      <c r="AK546" s="148"/>
      <c r="AL546" s="146"/>
      <c r="AO546" s="163"/>
      <c r="AP546" s="163"/>
      <c r="AS546" s="148"/>
      <c r="AT546" s="146"/>
      <c r="BE546" s="148"/>
      <c r="BF546" s="146"/>
      <c r="BL546" s="148"/>
      <c r="BM546" s="146"/>
      <c r="BP546" s="148"/>
      <c r="BQ546" s="146"/>
      <c r="BV546" s="148"/>
      <c r="BW546" s="146"/>
      <c r="CC546" s="146"/>
      <c r="CH546" s="148"/>
      <c r="CI546" s="146"/>
    </row>
    <row r="547">
      <c r="C547" s="146"/>
      <c r="I547" s="163"/>
      <c r="J547" s="163"/>
      <c r="K547" s="163"/>
      <c r="Q547" s="148"/>
      <c r="AF547" s="148"/>
      <c r="AG547" s="146"/>
      <c r="AK547" s="148"/>
      <c r="AL547" s="146"/>
      <c r="AO547" s="163"/>
      <c r="AP547" s="163"/>
      <c r="AS547" s="148"/>
      <c r="AT547" s="146"/>
      <c r="BE547" s="148"/>
      <c r="BF547" s="146"/>
      <c r="BL547" s="148"/>
      <c r="BM547" s="146"/>
      <c r="BP547" s="148"/>
      <c r="BQ547" s="146"/>
      <c r="BV547" s="148"/>
      <c r="BW547" s="146"/>
      <c r="CC547" s="146"/>
      <c r="CH547" s="148"/>
      <c r="CI547" s="146"/>
    </row>
    <row r="548">
      <c r="C548" s="146"/>
      <c r="I548" s="163"/>
      <c r="J548" s="163"/>
      <c r="K548" s="163"/>
      <c r="Q548" s="148"/>
      <c r="AF548" s="148"/>
      <c r="AG548" s="146"/>
      <c r="AK548" s="148"/>
      <c r="AL548" s="146"/>
      <c r="AO548" s="163"/>
      <c r="AP548" s="163"/>
      <c r="AS548" s="148"/>
      <c r="AT548" s="146"/>
      <c r="BE548" s="148"/>
      <c r="BF548" s="146"/>
      <c r="BL548" s="148"/>
      <c r="BM548" s="146"/>
      <c r="BP548" s="148"/>
      <c r="BQ548" s="146"/>
      <c r="BV548" s="148"/>
      <c r="BW548" s="146"/>
      <c r="CC548" s="146"/>
      <c r="CH548" s="148"/>
      <c r="CI548" s="146"/>
    </row>
    <row r="549">
      <c r="C549" s="146"/>
      <c r="I549" s="163"/>
      <c r="J549" s="163"/>
      <c r="K549" s="163"/>
      <c r="Q549" s="148"/>
      <c r="AF549" s="148"/>
      <c r="AG549" s="146"/>
      <c r="AK549" s="148"/>
      <c r="AL549" s="146"/>
      <c r="AO549" s="163"/>
      <c r="AP549" s="163"/>
      <c r="AS549" s="148"/>
      <c r="AT549" s="146"/>
      <c r="BE549" s="148"/>
      <c r="BF549" s="146"/>
      <c r="BL549" s="148"/>
      <c r="BM549" s="146"/>
      <c r="BP549" s="148"/>
      <c r="BQ549" s="146"/>
      <c r="BV549" s="148"/>
      <c r="BW549" s="146"/>
      <c r="CC549" s="146"/>
      <c r="CH549" s="148"/>
      <c r="CI549" s="146"/>
    </row>
    <row r="550">
      <c r="C550" s="146"/>
      <c r="I550" s="163"/>
      <c r="J550" s="163"/>
      <c r="K550" s="163"/>
      <c r="Q550" s="148"/>
      <c r="AF550" s="148"/>
      <c r="AG550" s="146"/>
      <c r="AK550" s="148"/>
      <c r="AL550" s="146"/>
      <c r="AO550" s="163"/>
      <c r="AP550" s="163"/>
      <c r="AS550" s="148"/>
      <c r="AT550" s="146"/>
      <c r="BE550" s="148"/>
      <c r="BF550" s="146"/>
      <c r="BL550" s="148"/>
      <c r="BM550" s="146"/>
      <c r="BP550" s="148"/>
      <c r="BQ550" s="146"/>
      <c r="BV550" s="148"/>
      <c r="BW550" s="146"/>
      <c r="CC550" s="146"/>
      <c r="CH550" s="148"/>
      <c r="CI550" s="146"/>
    </row>
    <row r="551">
      <c r="C551" s="146"/>
      <c r="I551" s="163"/>
      <c r="J551" s="163"/>
      <c r="K551" s="163"/>
      <c r="Q551" s="148"/>
      <c r="AF551" s="148"/>
      <c r="AG551" s="146"/>
      <c r="AK551" s="148"/>
      <c r="AL551" s="146"/>
      <c r="AO551" s="163"/>
      <c r="AP551" s="163"/>
      <c r="AS551" s="148"/>
      <c r="AT551" s="146"/>
      <c r="BE551" s="148"/>
      <c r="BF551" s="146"/>
      <c r="BL551" s="148"/>
      <c r="BM551" s="146"/>
      <c r="BP551" s="148"/>
      <c r="BQ551" s="146"/>
      <c r="BV551" s="148"/>
      <c r="BW551" s="146"/>
      <c r="CC551" s="146"/>
      <c r="CH551" s="148"/>
      <c r="CI551" s="146"/>
    </row>
    <row r="552">
      <c r="C552" s="146"/>
      <c r="I552" s="163"/>
      <c r="J552" s="163"/>
      <c r="K552" s="163"/>
      <c r="Q552" s="148"/>
      <c r="AF552" s="148"/>
      <c r="AG552" s="146"/>
      <c r="AK552" s="148"/>
      <c r="AL552" s="146"/>
      <c r="AO552" s="163"/>
      <c r="AP552" s="163"/>
      <c r="AS552" s="148"/>
      <c r="AT552" s="146"/>
      <c r="BE552" s="148"/>
      <c r="BF552" s="146"/>
      <c r="BL552" s="148"/>
      <c r="BM552" s="146"/>
      <c r="BP552" s="148"/>
      <c r="BQ552" s="146"/>
      <c r="BV552" s="148"/>
      <c r="BW552" s="146"/>
      <c r="CC552" s="146"/>
      <c r="CH552" s="148"/>
      <c r="CI552" s="146"/>
    </row>
    <row r="553">
      <c r="C553" s="146"/>
      <c r="I553" s="163"/>
      <c r="J553" s="163"/>
      <c r="K553" s="163"/>
      <c r="Q553" s="148"/>
      <c r="AF553" s="148"/>
      <c r="AG553" s="146"/>
      <c r="AK553" s="148"/>
      <c r="AL553" s="146"/>
      <c r="AO553" s="163"/>
      <c r="AP553" s="163"/>
      <c r="AS553" s="148"/>
      <c r="AT553" s="146"/>
      <c r="BE553" s="148"/>
      <c r="BF553" s="146"/>
      <c r="BL553" s="148"/>
      <c r="BM553" s="146"/>
      <c r="BP553" s="148"/>
      <c r="BQ553" s="146"/>
      <c r="BV553" s="148"/>
      <c r="BW553" s="146"/>
      <c r="CC553" s="146"/>
      <c r="CH553" s="148"/>
      <c r="CI553" s="146"/>
    </row>
    <row r="554">
      <c r="C554" s="146"/>
      <c r="I554" s="163"/>
      <c r="J554" s="163"/>
      <c r="K554" s="163"/>
      <c r="Q554" s="148"/>
      <c r="AF554" s="148"/>
      <c r="AG554" s="146"/>
      <c r="AK554" s="148"/>
      <c r="AL554" s="146"/>
      <c r="AO554" s="163"/>
      <c r="AP554" s="163"/>
      <c r="AS554" s="148"/>
      <c r="AT554" s="146"/>
      <c r="BE554" s="148"/>
      <c r="BF554" s="146"/>
      <c r="BL554" s="148"/>
      <c r="BM554" s="146"/>
      <c r="BP554" s="148"/>
      <c r="BQ554" s="146"/>
      <c r="BV554" s="148"/>
      <c r="BW554" s="146"/>
      <c r="CC554" s="146"/>
      <c r="CH554" s="148"/>
      <c r="CI554" s="146"/>
    </row>
    <row r="555">
      <c r="C555" s="146"/>
      <c r="I555" s="163"/>
      <c r="J555" s="163"/>
      <c r="K555" s="163"/>
      <c r="Q555" s="148"/>
      <c r="AF555" s="148"/>
      <c r="AG555" s="146"/>
      <c r="AK555" s="148"/>
      <c r="AL555" s="146"/>
      <c r="AO555" s="163"/>
      <c r="AP555" s="163"/>
      <c r="AS555" s="148"/>
      <c r="AT555" s="146"/>
      <c r="BE555" s="148"/>
      <c r="BF555" s="146"/>
      <c r="BL555" s="148"/>
      <c r="BM555" s="146"/>
      <c r="BP555" s="148"/>
      <c r="BQ555" s="146"/>
      <c r="BV555" s="148"/>
      <c r="BW555" s="146"/>
      <c r="CC555" s="146"/>
      <c r="CH555" s="148"/>
      <c r="CI555" s="146"/>
    </row>
    <row r="556">
      <c r="C556" s="146"/>
      <c r="I556" s="163"/>
      <c r="J556" s="163"/>
      <c r="K556" s="163"/>
      <c r="Q556" s="148"/>
      <c r="AF556" s="148"/>
      <c r="AG556" s="146"/>
      <c r="AK556" s="148"/>
      <c r="AL556" s="146"/>
      <c r="AO556" s="163"/>
      <c r="AP556" s="163"/>
      <c r="AS556" s="148"/>
      <c r="AT556" s="146"/>
      <c r="BE556" s="148"/>
      <c r="BF556" s="146"/>
      <c r="BL556" s="148"/>
      <c r="BM556" s="146"/>
      <c r="BP556" s="148"/>
      <c r="BQ556" s="146"/>
      <c r="BV556" s="148"/>
      <c r="BW556" s="146"/>
      <c r="CC556" s="146"/>
      <c r="CH556" s="148"/>
      <c r="CI556" s="146"/>
    </row>
    <row r="557">
      <c r="C557" s="146"/>
      <c r="I557" s="163"/>
      <c r="J557" s="163"/>
      <c r="K557" s="163"/>
      <c r="Q557" s="148"/>
      <c r="AF557" s="148"/>
      <c r="AG557" s="146"/>
      <c r="AK557" s="148"/>
      <c r="AL557" s="146"/>
      <c r="AO557" s="163"/>
      <c r="AP557" s="163"/>
      <c r="AS557" s="148"/>
      <c r="AT557" s="146"/>
      <c r="BE557" s="148"/>
      <c r="BF557" s="146"/>
      <c r="BL557" s="148"/>
      <c r="BM557" s="146"/>
      <c r="BP557" s="148"/>
      <c r="BQ557" s="146"/>
      <c r="BV557" s="148"/>
      <c r="BW557" s="146"/>
      <c r="CC557" s="146"/>
      <c r="CH557" s="148"/>
      <c r="CI557" s="146"/>
    </row>
    <row r="558">
      <c r="C558" s="146"/>
      <c r="I558" s="163"/>
      <c r="J558" s="163"/>
      <c r="K558" s="163"/>
      <c r="Q558" s="148"/>
      <c r="AF558" s="148"/>
      <c r="AG558" s="146"/>
      <c r="AK558" s="148"/>
      <c r="AL558" s="146"/>
      <c r="AO558" s="163"/>
      <c r="AP558" s="163"/>
      <c r="AS558" s="148"/>
      <c r="AT558" s="146"/>
      <c r="BE558" s="148"/>
      <c r="BF558" s="146"/>
      <c r="BL558" s="148"/>
      <c r="BM558" s="146"/>
      <c r="BP558" s="148"/>
      <c r="BQ558" s="146"/>
      <c r="BV558" s="148"/>
      <c r="BW558" s="146"/>
      <c r="CC558" s="146"/>
      <c r="CH558" s="148"/>
      <c r="CI558" s="146"/>
    </row>
    <row r="559">
      <c r="C559" s="146"/>
      <c r="I559" s="163"/>
      <c r="J559" s="163"/>
      <c r="K559" s="163"/>
      <c r="Q559" s="148"/>
      <c r="AF559" s="148"/>
      <c r="AG559" s="146"/>
      <c r="AK559" s="148"/>
      <c r="AL559" s="146"/>
      <c r="AO559" s="163"/>
      <c r="AP559" s="163"/>
      <c r="AS559" s="148"/>
      <c r="AT559" s="146"/>
      <c r="BE559" s="148"/>
      <c r="BF559" s="146"/>
      <c r="BL559" s="148"/>
      <c r="BM559" s="146"/>
      <c r="BP559" s="148"/>
      <c r="BQ559" s="146"/>
      <c r="BV559" s="148"/>
      <c r="BW559" s="146"/>
      <c r="CC559" s="146"/>
      <c r="CH559" s="148"/>
      <c r="CI559" s="146"/>
    </row>
    <row r="560">
      <c r="C560" s="146"/>
      <c r="I560" s="163"/>
      <c r="J560" s="163"/>
      <c r="K560" s="163"/>
      <c r="Q560" s="148"/>
      <c r="AF560" s="148"/>
      <c r="AG560" s="146"/>
      <c r="AK560" s="148"/>
      <c r="AL560" s="146"/>
      <c r="AO560" s="163"/>
      <c r="AP560" s="163"/>
      <c r="AS560" s="148"/>
      <c r="AT560" s="146"/>
      <c r="BE560" s="148"/>
      <c r="BF560" s="146"/>
      <c r="BL560" s="148"/>
      <c r="BM560" s="146"/>
      <c r="BP560" s="148"/>
      <c r="BQ560" s="146"/>
      <c r="BV560" s="148"/>
      <c r="BW560" s="146"/>
      <c r="CC560" s="146"/>
      <c r="CH560" s="148"/>
      <c r="CI560" s="146"/>
    </row>
    <row r="561">
      <c r="C561" s="146"/>
      <c r="I561" s="163"/>
      <c r="J561" s="163"/>
      <c r="K561" s="163"/>
      <c r="Q561" s="148"/>
      <c r="AF561" s="148"/>
      <c r="AG561" s="146"/>
      <c r="AK561" s="148"/>
      <c r="AL561" s="146"/>
      <c r="AO561" s="163"/>
      <c r="AP561" s="163"/>
      <c r="AS561" s="148"/>
      <c r="AT561" s="146"/>
      <c r="BE561" s="148"/>
      <c r="BF561" s="146"/>
      <c r="BL561" s="148"/>
      <c r="BM561" s="146"/>
      <c r="BP561" s="148"/>
      <c r="BQ561" s="146"/>
      <c r="BV561" s="148"/>
      <c r="BW561" s="146"/>
      <c r="CC561" s="146"/>
      <c r="CH561" s="148"/>
      <c r="CI561" s="146"/>
    </row>
    <row r="562">
      <c r="C562" s="146"/>
      <c r="I562" s="163"/>
      <c r="J562" s="163"/>
      <c r="K562" s="163"/>
      <c r="Q562" s="148"/>
      <c r="AF562" s="148"/>
      <c r="AG562" s="146"/>
      <c r="AK562" s="148"/>
      <c r="AL562" s="146"/>
      <c r="AO562" s="163"/>
      <c r="AP562" s="163"/>
      <c r="AS562" s="148"/>
      <c r="AT562" s="146"/>
      <c r="BE562" s="148"/>
      <c r="BF562" s="146"/>
      <c r="BL562" s="148"/>
      <c r="BM562" s="146"/>
      <c r="BP562" s="148"/>
      <c r="BQ562" s="146"/>
      <c r="BV562" s="148"/>
      <c r="BW562" s="146"/>
      <c r="CC562" s="146"/>
      <c r="CH562" s="148"/>
      <c r="CI562" s="146"/>
    </row>
    <row r="563">
      <c r="C563" s="146"/>
      <c r="I563" s="163"/>
      <c r="J563" s="163"/>
      <c r="K563" s="163"/>
      <c r="Q563" s="148"/>
      <c r="AF563" s="148"/>
      <c r="AG563" s="146"/>
      <c r="AK563" s="148"/>
      <c r="AL563" s="146"/>
      <c r="AO563" s="163"/>
      <c r="AP563" s="163"/>
      <c r="AS563" s="148"/>
      <c r="AT563" s="146"/>
      <c r="BE563" s="148"/>
      <c r="BF563" s="146"/>
      <c r="BL563" s="148"/>
      <c r="BM563" s="146"/>
      <c r="BP563" s="148"/>
      <c r="BQ563" s="146"/>
      <c r="BV563" s="148"/>
      <c r="BW563" s="146"/>
      <c r="CC563" s="146"/>
      <c r="CH563" s="148"/>
      <c r="CI563" s="146"/>
    </row>
    <row r="564">
      <c r="C564" s="146"/>
      <c r="I564" s="163"/>
      <c r="J564" s="163"/>
      <c r="K564" s="163"/>
      <c r="Q564" s="148"/>
      <c r="AF564" s="148"/>
      <c r="AG564" s="146"/>
      <c r="AK564" s="148"/>
      <c r="AL564" s="146"/>
      <c r="AO564" s="163"/>
      <c r="AP564" s="163"/>
      <c r="AS564" s="148"/>
      <c r="AT564" s="146"/>
      <c r="BE564" s="148"/>
      <c r="BF564" s="146"/>
      <c r="BL564" s="148"/>
      <c r="BM564" s="146"/>
      <c r="BP564" s="148"/>
      <c r="BQ564" s="146"/>
      <c r="BV564" s="148"/>
      <c r="BW564" s="146"/>
      <c r="CC564" s="146"/>
      <c r="CH564" s="148"/>
      <c r="CI564" s="146"/>
    </row>
    <row r="565">
      <c r="C565" s="146"/>
      <c r="I565" s="163"/>
      <c r="J565" s="163"/>
      <c r="K565" s="163"/>
      <c r="Q565" s="148"/>
      <c r="AF565" s="148"/>
      <c r="AG565" s="146"/>
      <c r="AK565" s="148"/>
      <c r="AL565" s="146"/>
      <c r="AO565" s="163"/>
      <c r="AP565" s="163"/>
      <c r="AS565" s="148"/>
      <c r="AT565" s="146"/>
      <c r="BE565" s="148"/>
      <c r="BF565" s="146"/>
      <c r="BL565" s="148"/>
      <c r="BM565" s="146"/>
      <c r="BP565" s="148"/>
      <c r="BQ565" s="146"/>
      <c r="BV565" s="148"/>
      <c r="BW565" s="146"/>
      <c r="CC565" s="146"/>
      <c r="CH565" s="148"/>
      <c r="CI565" s="146"/>
    </row>
    <row r="566">
      <c r="C566" s="146"/>
      <c r="I566" s="163"/>
      <c r="J566" s="163"/>
      <c r="K566" s="163"/>
      <c r="Q566" s="148"/>
      <c r="AF566" s="148"/>
      <c r="AG566" s="146"/>
      <c r="AK566" s="148"/>
      <c r="AL566" s="146"/>
      <c r="AO566" s="163"/>
      <c r="AP566" s="163"/>
      <c r="AS566" s="148"/>
      <c r="AT566" s="146"/>
      <c r="BE566" s="148"/>
      <c r="BF566" s="146"/>
      <c r="BL566" s="148"/>
      <c r="BM566" s="146"/>
      <c r="BP566" s="148"/>
      <c r="BQ566" s="146"/>
      <c r="BV566" s="148"/>
      <c r="BW566" s="146"/>
      <c r="CC566" s="146"/>
      <c r="CH566" s="148"/>
      <c r="CI566" s="146"/>
    </row>
    <row r="567">
      <c r="C567" s="146"/>
      <c r="I567" s="163"/>
      <c r="J567" s="163"/>
      <c r="K567" s="163"/>
      <c r="Q567" s="148"/>
      <c r="AF567" s="148"/>
      <c r="AG567" s="146"/>
      <c r="AK567" s="148"/>
      <c r="AL567" s="146"/>
      <c r="AO567" s="163"/>
      <c r="AP567" s="163"/>
      <c r="AS567" s="148"/>
      <c r="AT567" s="146"/>
      <c r="BE567" s="148"/>
      <c r="BF567" s="146"/>
      <c r="BL567" s="148"/>
      <c r="BM567" s="146"/>
      <c r="BP567" s="148"/>
      <c r="BQ567" s="146"/>
      <c r="BV567" s="148"/>
      <c r="BW567" s="146"/>
      <c r="CC567" s="146"/>
      <c r="CH567" s="148"/>
      <c r="CI567" s="146"/>
    </row>
    <row r="568">
      <c r="C568" s="146"/>
      <c r="I568" s="163"/>
      <c r="J568" s="163"/>
      <c r="K568" s="163"/>
      <c r="Q568" s="148"/>
      <c r="AF568" s="148"/>
      <c r="AG568" s="146"/>
      <c r="AK568" s="148"/>
      <c r="AL568" s="146"/>
      <c r="AO568" s="163"/>
      <c r="AP568" s="163"/>
      <c r="AS568" s="148"/>
      <c r="AT568" s="146"/>
      <c r="BE568" s="148"/>
      <c r="BF568" s="146"/>
      <c r="BL568" s="148"/>
      <c r="BM568" s="146"/>
      <c r="BP568" s="148"/>
      <c r="BQ568" s="146"/>
      <c r="BV568" s="148"/>
      <c r="BW568" s="146"/>
      <c r="CC568" s="146"/>
      <c r="CH568" s="148"/>
      <c r="CI568" s="146"/>
    </row>
    <row r="569">
      <c r="C569" s="146"/>
      <c r="I569" s="163"/>
      <c r="J569" s="163"/>
      <c r="K569" s="163"/>
      <c r="Q569" s="148"/>
      <c r="AF569" s="148"/>
      <c r="AG569" s="146"/>
      <c r="AK569" s="148"/>
      <c r="AL569" s="146"/>
      <c r="AO569" s="163"/>
      <c r="AP569" s="163"/>
      <c r="AS569" s="148"/>
      <c r="AT569" s="146"/>
      <c r="BE569" s="148"/>
      <c r="BF569" s="146"/>
      <c r="BL569" s="148"/>
      <c r="BM569" s="146"/>
      <c r="BP569" s="148"/>
      <c r="BQ569" s="146"/>
      <c r="BV569" s="148"/>
      <c r="BW569" s="146"/>
      <c r="CC569" s="146"/>
      <c r="CH569" s="148"/>
      <c r="CI569" s="146"/>
    </row>
    <row r="570">
      <c r="C570" s="146"/>
      <c r="I570" s="163"/>
      <c r="J570" s="163"/>
      <c r="K570" s="163"/>
      <c r="Q570" s="148"/>
      <c r="AF570" s="148"/>
      <c r="AG570" s="146"/>
      <c r="AK570" s="148"/>
      <c r="AL570" s="146"/>
      <c r="AO570" s="163"/>
      <c r="AP570" s="163"/>
      <c r="AS570" s="148"/>
      <c r="AT570" s="146"/>
      <c r="BE570" s="148"/>
      <c r="BF570" s="146"/>
      <c r="BL570" s="148"/>
      <c r="BM570" s="146"/>
      <c r="BP570" s="148"/>
      <c r="BQ570" s="146"/>
      <c r="BV570" s="148"/>
      <c r="BW570" s="146"/>
      <c r="CC570" s="146"/>
      <c r="CH570" s="148"/>
      <c r="CI570" s="146"/>
    </row>
    <row r="571">
      <c r="C571" s="146"/>
      <c r="I571" s="163"/>
      <c r="J571" s="163"/>
      <c r="K571" s="163"/>
      <c r="Q571" s="148"/>
      <c r="AF571" s="148"/>
      <c r="AG571" s="146"/>
      <c r="AK571" s="148"/>
      <c r="AL571" s="146"/>
      <c r="AO571" s="163"/>
      <c r="AP571" s="163"/>
      <c r="AS571" s="148"/>
      <c r="AT571" s="146"/>
      <c r="BE571" s="148"/>
      <c r="BF571" s="146"/>
      <c r="BL571" s="148"/>
      <c r="BM571" s="146"/>
      <c r="BP571" s="148"/>
      <c r="BQ571" s="146"/>
      <c r="BV571" s="148"/>
      <c r="BW571" s="146"/>
      <c r="CC571" s="146"/>
      <c r="CH571" s="148"/>
      <c r="CI571" s="146"/>
    </row>
    <row r="572">
      <c r="C572" s="146"/>
      <c r="I572" s="163"/>
      <c r="J572" s="163"/>
      <c r="K572" s="163"/>
      <c r="Q572" s="148"/>
      <c r="AF572" s="148"/>
      <c r="AG572" s="146"/>
      <c r="AK572" s="148"/>
      <c r="AL572" s="146"/>
      <c r="AO572" s="163"/>
      <c r="AP572" s="163"/>
      <c r="AS572" s="148"/>
      <c r="AT572" s="146"/>
      <c r="BE572" s="148"/>
      <c r="BF572" s="146"/>
      <c r="BL572" s="148"/>
      <c r="BM572" s="146"/>
      <c r="BP572" s="148"/>
      <c r="BQ572" s="146"/>
      <c r="BV572" s="148"/>
      <c r="BW572" s="146"/>
      <c r="CC572" s="146"/>
      <c r="CH572" s="148"/>
      <c r="CI572" s="146"/>
    </row>
    <row r="573">
      <c r="C573" s="146"/>
      <c r="I573" s="163"/>
      <c r="J573" s="163"/>
      <c r="K573" s="163"/>
      <c r="Q573" s="148"/>
      <c r="AF573" s="148"/>
      <c r="AG573" s="146"/>
      <c r="AK573" s="148"/>
      <c r="AL573" s="146"/>
      <c r="AO573" s="163"/>
      <c r="AP573" s="163"/>
      <c r="AS573" s="148"/>
      <c r="AT573" s="146"/>
      <c r="BE573" s="148"/>
      <c r="BF573" s="146"/>
      <c r="BL573" s="148"/>
      <c r="BM573" s="146"/>
      <c r="BP573" s="148"/>
      <c r="BQ573" s="146"/>
      <c r="BV573" s="148"/>
      <c r="BW573" s="146"/>
      <c r="CC573" s="146"/>
      <c r="CH573" s="148"/>
      <c r="CI573" s="146"/>
    </row>
    <row r="574">
      <c r="C574" s="146"/>
      <c r="I574" s="163"/>
      <c r="J574" s="163"/>
      <c r="K574" s="163"/>
      <c r="Q574" s="148"/>
      <c r="AF574" s="148"/>
      <c r="AG574" s="146"/>
      <c r="AK574" s="148"/>
      <c r="AL574" s="146"/>
      <c r="AO574" s="163"/>
      <c r="AP574" s="163"/>
      <c r="AS574" s="148"/>
      <c r="AT574" s="146"/>
      <c r="BE574" s="148"/>
      <c r="BF574" s="146"/>
      <c r="BL574" s="148"/>
      <c r="BM574" s="146"/>
      <c r="BP574" s="148"/>
      <c r="BQ574" s="146"/>
      <c r="BV574" s="148"/>
      <c r="BW574" s="146"/>
      <c r="CC574" s="146"/>
      <c r="CH574" s="148"/>
      <c r="CI574" s="146"/>
    </row>
    <row r="575">
      <c r="C575" s="146"/>
      <c r="I575" s="163"/>
      <c r="J575" s="163"/>
      <c r="K575" s="163"/>
      <c r="Q575" s="148"/>
      <c r="AF575" s="148"/>
      <c r="AG575" s="146"/>
      <c r="AK575" s="148"/>
      <c r="AL575" s="146"/>
      <c r="AO575" s="163"/>
      <c r="AP575" s="163"/>
      <c r="AS575" s="148"/>
      <c r="AT575" s="146"/>
      <c r="BE575" s="148"/>
      <c r="BF575" s="146"/>
      <c r="BL575" s="148"/>
      <c r="BM575" s="146"/>
      <c r="BP575" s="148"/>
      <c r="BQ575" s="146"/>
      <c r="BV575" s="148"/>
      <c r="BW575" s="146"/>
      <c r="CC575" s="146"/>
      <c r="CH575" s="148"/>
      <c r="CI575" s="146"/>
    </row>
    <row r="576">
      <c r="C576" s="146"/>
      <c r="I576" s="163"/>
      <c r="J576" s="163"/>
      <c r="K576" s="163"/>
      <c r="Q576" s="148"/>
      <c r="AF576" s="148"/>
      <c r="AG576" s="146"/>
      <c r="AK576" s="148"/>
      <c r="AL576" s="146"/>
      <c r="AO576" s="163"/>
      <c r="AP576" s="163"/>
      <c r="AS576" s="148"/>
      <c r="AT576" s="146"/>
      <c r="BE576" s="148"/>
      <c r="BF576" s="146"/>
      <c r="BL576" s="148"/>
      <c r="BM576" s="146"/>
      <c r="BP576" s="148"/>
      <c r="BQ576" s="146"/>
      <c r="BV576" s="148"/>
      <c r="BW576" s="146"/>
      <c r="CC576" s="146"/>
      <c r="CH576" s="148"/>
      <c r="CI576" s="146"/>
    </row>
    <row r="577">
      <c r="C577" s="146"/>
      <c r="I577" s="163"/>
      <c r="J577" s="163"/>
      <c r="K577" s="163"/>
      <c r="Q577" s="148"/>
      <c r="AF577" s="148"/>
      <c r="AG577" s="146"/>
      <c r="AK577" s="148"/>
      <c r="AL577" s="146"/>
      <c r="AO577" s="163"/>
      <c r="AP577" s="163"/>
      <c r="AS577" s="148"/>
      <c r="AT577" s="146"/>
      <c r="BE577" s="148"/>
      <c r="BF577" s="146"/>
      <c r="BL577" s="148"/>
      <c r="BM577" s="146"/>
      <c r="BP577" s="148"/>
      <c r="BQ577" s="146"/>
      <c r="BV577" s="148"/>
      <c r="BW577" s="146"/>
      <c r="CC577" s="146"/>
      <c r="CH577" s="148"/>
      <c r="CI577" s="146"/>
    </row>
    <row r="578">
      <c r="C578" s="146"/>
      <c r="I578" s="163"/>
      <c r="J578" s="163"/>
      <c r="K578" s="163"/>
      <c r="Q578" s="148"/>
      <c r="AF578" s="148"/>
      <c r="AG578" s="146"/>
      <c r="AK578" s="148"/>
      <c r="AL578" s="146"/>
      <c r="AO578" s="163"/>
      <c r="AP578" s="163"/>
      <c r="AS578" s="148"/>
      <c r="AT578" s="146"/>
      <c r="BE578" s="148"/>
      <c r="BF578" s="146"/>
      <c r="BL578" s="148"/>
      <c r="BM578" s="146"/>
      <c r="BP578" s="148"/>
      <c r="BQ578" s="146"/>
      <c r="BV578" s="148"/>
      <c r="BW578" s="146"/>
      <c r="CC578" s="146"/>
      <c r="CH578" s="148"/>
      <c r="CI578" s="146"/>
    </row>
    <row r="579">
      <c r="C579" s="146"/>
      <c r="I579" s="163"/>
      <c r="J579" s="163"/>
      <c r="K579" s="163"/>
      <c r="Q579" s="148"/>
      <c r="AF579" s="148"/>
      <c r="AG579" s="146"/>
      <c r="AK579" s="148"/>
      <c r="AL579" s="146"/>
      <c r="AO579" s="163"/>
      <c r="AP579" s="163"/>
      <c r="AS579" s="148"/>
      <c r="AT579" s="146"/>
      <c r="BE579" s="148"/>
      <c r="BF579" s="146"/>
      <c r="BL579" s="148"/>
      <c r="BM579" s="146"/>
      <c r="BP579" s="148"/>
      <c r="BQ579" s="146"/>
      <c r="BV579" s="148"/>
      <c r="BW579" s="146"/>
      <c r="CC579" s="146"/>
      <c r="CH579" s="148"/>
      <c r="CI579" s="146"/>
    </row>
    <row r="580">
      <c r="C580" s="146"/>
      <c r="I580" s="163"/>
      <c r="J580" s="163"/>
      <c r="K580" s="163"/>
      <c r="Q580" s="148"/>
      <c r="AF580" s="148"/>
      <c r="AG580" s="146"/>
      <c r="AK580" s="148"/>
      <c r="AL580" s="146"/>
      <c r="AO580" s="163"/>
      <c r="AP580" s="163"/>
      <c r="AS580" s="148"/>
      <c r="AT580" s="146"/>
      <c r="BE580" s="148"/>
      <c r="BF580" s="146"/>
      <c r="BL580" s="148"/>
      <c r="BM580" s="146"/>
      <c r="BP580" s="148"/>
      <c r="BQ580" s="146"/>
      <c r="BV580" s="148"/>
      <c r="BW580" s="146"/>
      <c r="CC580" s="146"/>
      <c r="CH580" s="148"/>
      <c r="CI580" s="146"/>
    </row>
    <row r="581">
      <c r="C581" s="146"/>
      <c r="I581" s="163"/>
      <c r="J581" s="163"/>
      <c r="K581" s="163"/>
      <c r="Q581" s="148"/>
      <c r="AF581" s="148"/>
      <c r="AG581" s="146"/>
      <c r="AK581" s="148"/>
      <c r="AL581" s="146"/>
      <c r="AO581" s="163"/>
      <c r="AP581" s="163"/>
      <c r="AS581" s="148"/>
      <c r="AT581" s="146"/>
      <c r="BE581" s="148"/>
      <c r="BF581" s="146"/>
      <c r="BL581" s="148"/>
      <c r="BM581" s="146"/>
      <c r="BP581" s="148"/>
      <c r="BQ581" s="146"/>
      <c r="BV581" s="148"/>
      <c r="BW581" s="146"/>
      <c r="CC581" s="146"/>
      <c r="CH581" s="148"/>
      <c r="CI581" s="146"/>
    </row>
    <row r="582">
      <c r="C582" s="146"/>
      <c r="I582" s="163"/>
      <c r="J582" s="163"/>
      <c r="K582" s="163"/>
      <c r="Q582" s="148"/>
      <c r="AF582" s="148"/>
      <c r="AG582" s="146"/>
      <c r="AK582" s="148"/>
      <c r="AL582" s="146"/>
      <c r="AO582" s="163"/>
      <c r="AP582" s="163"/>
      <c r="AS582" s="148"/>
      <c r="AT582" s="146"/>
      <c r="BE582" s="148"/>
      <c r="BF582" s="146"/>
      <c r="BL582" s="148"/>
      <c r="BM582" s="146"/>
      <c r="BP582" s="148"/>
      <c r="BQ582" s="146"/>
      <c r="BV582" s="148"/>
      <c r="BW582" s="146"/>
      <c r="CC582" s="146"/>
      <c r="CH582" s="148"/>
      <c r="CI582" s="146"/>
    </row>
    <row r="583">
      <c r="C583" s="146"/>
      <c r="I583" s="163"/>
      <c r="J583" s="163"/>
      <c r="K583" s="163"/>
      <c r="Q583" s="148"/>
      <c r="AF583" s="148"/>
      <c r="AG583" s="146"/>
      <c r="AK583" s="148"/>
      <c r="AL583" s="146"/>
      <c r="AO583" s="163"/>
      <c r="AP583" s="163"/>
      <c r="AS583" s="148"/>
      <c r="AT583" s="146"/>
      <c r="BE583" s="148"/>
      <c r="BF583" s="146"/>
      <c r="BL583" s="148"/>
      <c r="BM583" s="146"/>
      <c r="BP583" s="148"/>
      <c r="BQ583" s="146"/>
      <c r="BV583" s="148"/>
      <c r="BW583" s="146"/>
      <c r="CC583" s="146"/>
      <c r="CH583" s="148"/>
      <c r="CI583" s="146"/>
    </row>
    <row r="584">
      <c r="C584" s="146"/>
      <c r="I584" s="163"/>
      <c r="J584" s="163"/>
      <c r="K584" s="163"/>
      <c r="Q584" s="148"/>
      <c r="AF584" s="148"/>
      <c r="AG584" s="146"/>
      <c r="AK584" s="148"/>
      <c r="AL584" s="146"/>
      <c r="AO584" s="163"/>
      <c r="AP584" s="163"/>
      <c r="AS584" s="148"/>
      <c r="AT584" s="146"/>
      <c r="BE584" s="148"/>
      <c r="BF584" s="146"/>
      <c r="BL584" s="148"/>
      <c r="BM584" s="146"/>
      <c r="BP584" s="148"/>
      <c r="BQ584" s="146"/>
      <c r="BV584" s="148"/>
      <c r="BW584" s="146"/>
      <c r="CC584" s="146"/>
      <c r="CH584" s="148"/>
      <c r="CI584" s="146"/>
    </row>
    <row r="585">
      <c r="C585" s="146"/>
      <c r="I585" s="163"/>
      <c r="J585" s="163"/>
      <c r="K585" s="163"/>
      <c r="Q585" s="148"/>
      <c r="AF585" s="148"/>
      <c r="AG585" s="146"/>
      <c r="AK585" s="148"/>
      <c r="AL585" s="146"/>
      <c r="AO585" s="163"/>
      <c r="AP585" s="163"/>
      <c r="AS585" s="148"/>
      <c r="AT585" s="146"/>
      <c r="BE585" s="148"/>
      <c r="BF585" s="146"/>
      <c r="BL585" s="148"/>
      <c r="BM585" s="146"/>
      <c r="BP585" s="148"/>
      <c r="BQ585" s="146"/>
      <c r="BV585" s="148"/>
      <c r="BW585" s="146"/>
      <c r="CC585" s="146"/>
      <c r="CH585" s="148"/>
      <c r="CI585" s="146"/>
    </row>
    <row r="586">
      <c r="C586" s="146"/>
      <c r="I586" s="163"/>
      <c r="J586" s="163"/>
      <c r="K586" s="163"/>
      <c r="Q586" s="148"/>
      <c r="AF586" s="148"/>
      <c r="AG586" s="146"/>
      <c r="AK586" s="148"/>
      <c r="AL586" s="146"/>
      <c r="AO586" s="163"/>
      <c r="AP586" s="163"/>
      <c r="AS586" s="148"/>
      <c r="AT586" s="146"/>
      <c r="BE586" s="148"/>
      <c r="BF586" s="146"/>
      <c r="BL586" s="148"/>
      <c r="BM586" s="146"/>
      <c r="BP586" s="148"/>
      <c r="BQ586" s="146"/>
      <c r="BV586" s="148"/>
      <c r="BW586" s="146"/>
      <c r="CC586" s="146"/>
      <c r="CH586" s="148"/>
      <c r="CI586" s="146"/>
    </row>
    <row r="587">
      <c r="C587" s="146"/>
      <c r="I587" s="163"/>
      <c r="J587" s="163"/>
      <c r="K587" s="163"/>
      <c r="Q587" s="148"/>
      <c r="AF587" s="148"/>
      <c r="AG587" s="146"/>
      <c r="AK587" s="148"/>
      <c r="AL587" s="146"/>
      <c r="AO587" s="163"/>
      <c r="AP587" s="163"/>
      <c r="AS587" s="148"/>
      <c r="AT587" s="146"/>
      <c r="BE587" s="148"/>
      <c r="BF587" s="146"/>
      <c r="BL587" s="148"/>
      <c r="BM587" s="146"/>
      <c r="BP587" s="148"/>
      <c r="BQ587" s="146"/>
      <c r="BV587" s="148"/>
      <c r="BW587" s="146"/>
      <c r="CC587" s="146"/>
      <c r="CH587" s="148"/>
      <c r="CI587" s="146"/>
    </row>
    <row r="588">
      <c r="C588" s="146"/>
      <c r="I588" s="163"/>
      <c r="J588" s="163"/>
      <c r="K588" s="163"/>
      <c r="Q588" s="148"/>
      <c r="AF588" s="148"/>
      <c r="AG588" s="146"/>
      <c r="AK588" s="148"/>
      <c r="AL588" s="146"/>
      <c r="AO588" s="163"/>
      <c r="AP588" s="163"/>
      <c r="AS588" s="148"/>
      <c r="AT588" s="146"/>
      <c r="BE588" s="148"/>
      <c r="BF588" s="146"/>
      <c r="BL588" s="148"/>
      <c r="BM588" s="146"/>
      <c r="BP588" s="148"/>
      <c r="BQ588" s="146"/>
      <c r="BV588" s="148"/>
      <c r="BW588" s="146"/>
      <c r="CC588" s="146"/>
      <c r="CH588" s="148"/>
      <c r="CI588" s="146"/>
    </row>
    <row r="589">
      <c r="C589" s="146"/>
      <c r="I589" s="163"/>
      <c r="J589" s="163"/>
      <c r="K589" s="163"/>
      <c r="Q589" s="148"/>
      <c r="AF589" s="148"/>
      <c r="AG589" s="146"/>
      <c r="AK589" s="148"/>
      <c r="AL589" s="146"/>
      <c r="AO589" s="163"/>
      <c r="AP589" s="163"/>
      <c r="AS589" s="148"/>
      <c r="AT589" s="146"/>
      <c r="BE589" s="148"/>
      <c r="BF589" s="146"/>
      <c r="BL589" s="148"/>
      <c r="BM589" s="146"/>
      <c r="BP589" s="148"/>
      <c r="BQ589" s="146"/>
      <c r="BV589" s="148"/>
      <c r="BW589" s="146"/>
      <c r="CC589" s="146"/>
      <c r="CH589" s="148"/>
      <c r="CI589" s="146"/>
    </row>
    <row r="590">
      <c r="C590" s="146"/>
      <c r="I590" s="163"/>
      <c r="J590" s="163"/>
      <c r="K590" s="163"/>
      <c r="Q590" s="148"/>
      <c r="AF590" s="148"/>
      <c r="AG590" s="146"/>
      <c r="AK590" s="148"/>
      <c r="AL590" s="146"/>
      <c r="AO590" s="163"/>
      <c r="AP590" s="163"/>
      <c r="AS590" s="148"/>
      <c r="AT590" s="146"/>
      <c r="BE590" s="148"/>
      <c r="BF590" s="146"/>
      <c r="BL590" s="148"/>
      <c r="BM590" s="146"/>
      <c r="BP590" s="148"/>
      <c r="BQ590" s="146"/>
      <c r="BV590" s="148"/>
      <c r="BW590" s="146"/>
      <c r="CC590" s="146"/>
      <c r="CH590" s="148"/>
      <c r="CI590" s="146"/>
    </row>
    <row r="591">
      <c r="C591" s="146"/>
      <c r="I591" s="163"/>
      <c r="J591" s="163"/>
      <c r="K591" s="163"/>
      <c r="Q591" s="148"/>
      <c r="AF591" s="148"/>
      <c r="AG591" s="146"/>
      <c r="AK591" s="148"/>
      <c r="AL591" s="146"/>
      <c r="AO591" s="163"/>
      <c r="AP591" s="163"/>
      <c r="AS591" s="148"/>
      <c r="AT591" s="146"/>
      <c r="BE591" s="148"/>
      <c r="BF591" s="146"/>
      <c r="BL591" s="148"/>
      <c r="BM591" s="146"/>
      <c r="BP591" s="148"/>
      <c r="BQ591" s="146"/>
      <c r="BV591" s="148"/>
      <c r="BW591" s="146"/>
      <c r="CC591" s="146"/>
      <c r="CH591" s="148"/>
      <c r="CI591" s="146"/>
    </row>
    <row r="592">
      <c r="C592" s="146"/>
      <c r="I592" s="163"/>
      <c r="J592" s="163"/>
      <c r="K592" s="163"/>
      <c r="Q592" s="148"/>
      <c r="AF592" s="148"/>
      <c r="AG592" s="146"/>
      <c r="AK592" s="148"/>
      <c r="AL592" s="146"/>
      <c r="AO592" s="163"/>
      <c r="AP592" s="163"/>
      <c r="AS592" s="148"/>
      <c r="AT592" s="146"/>
      <c r="BE592" s="148"/>
      <c r="BF592" s="146"/>
      <c r="BL592" s="148"/>
      <c r="BM592" s="146"/>
      <c r="BP592" s="148"/>
      <c r="BQ592" s="146"/>
      <c r="BV592" s="148"/>
      <c r="BW592" s="146"/>
      <c r="CC592" s="146"/>
      <c r="CH592" s="148"/>
      <c r="CI592" s="146"/>
    </row>
    <row r="593">
      <c r="C593" s="146"/>
      <c r="I593" s="163"/>
      <c r="J593" s="163"/>
      <c r="K593" s="163"/>
      <c r="Q593" s="148"/>
      <c r="AF593" s="148"/>
      <c r="AG593" s="146"/>
      <c r="AK593" s="148"/>
      <c r="AL593" s="146"/>
      <c r="AO593" s="163"/>
      <c r="AP593" s="163"/>
      <c r="AS593" s="148"/>
      <c r="AT593" s="146"/>
      <c r="BE593" s="148"/>
      <c r="BF593" s="146"/>
      <c r="BL593" s="148"/>
      <c r="BM593" s="146"/>
      <c r="BP593" s="148"/>
      <c r="BQ593" s="146"/>
      <c r="BV593" s="148"/>
      <c r="BW593" s="146"/>
      <c r="CC593" s="146"/>
      <c r="CH593" s="148"/>
      <c r="CI593" s="146"/>
    </row>
    <row r="594">
      <c r="C594" s="146"/>
      <c r="I594" s="163"/>
      <c r="J594" s="163"/>
      <c r="K594" s="163"/>
      <c r="Q594" s="148"/>
      <c r="AF594" s="148"/>
      <c r="AG594" s="146"/>
      <c r="AK594" s="148"/>
      <c r="AL594" s="146"/>
      <c r="AO594" s="163"/>
      <c r="AP594" s="163"/>
      <c r="AS594" s="148"/>
      <c r="AT594" s="146"/>
      <c r="BE594" s="148"/>
      <c r="BF594" s="146"/>
      <c r="BL594" s="148"/>
      <c r="BM594" s="146"/>
      <c r="BP594" s="148"/>
      <c r="BQ594" s="146"/>
      <c r="BV594" s="148"/>
      <c r="BW594" s="146"/>
      <c r="CC594" s="146"/>
      <c r="CH594" s="148"/>
      <c r="CI594" s="146"/>
    </row>
    <row r="595">
      <c r="C595" s="146"/>
      <c r="I595" s="163"/>
      <c r="J595" s="163"/>
      <c r="K595" s="163"/>
      <c r="Q595" s="148"/>
      <c r="AF595" s="148"/>
      <c r="AG595" s="146"/>
      <c r="AK595" s="148"/>
      <c r="AL595" s="146"/>
      <c r="AO595" s="163"/>
      <c r="AP595" s="163"/>
      <c r="AS595" s="148"/>
      <c r="AT595" s="146"/>
      <c r="BE595" s="148"/>
      <c r="BF595" s="146"/>
      <c r="BL595" s="148"/>
      <c r="BM595" s="146"/>
      <c r="BP595" s="148"/>
      <c r="BQ595" s="146"/>
      <c r="BV595" s="148"/>
      <c r="BW595" s="146"/>
      <c r="CC595" s="146"/>
      <c r="CH595" s="148"/>
      <c r="CI595" s="146"/>
    </row>
    <row r="596">
      <c r="C596" s="146"/>
      <c r="I596" s="163"/>
      <c r="J596" s="163"/>
      <c r="K596" s="163"/>
      <c r="Q596" s="148"/>
      <c r="AF596" s="148"/>
      <c r="AG596" s="146"/>
      <c r="AK596" s="148"/>
      <c r="AL596" s="146"/>
      <c r="AO596" s="163"/>
      <c r="AP596" s="163"/>
      <c r="AS596" s="148"/>
      <c r="AT596" s="146"/>
      <c r="BE596" s="148"/>
      <c r="BF596" s="146"/>
      <c r="BL596" s="148"/>
      <c r="BM596" s="146"/>
      <c r="BP596" s="148"/>
      <c r="BQ596" s="146"/>
      <c r="BV596" s="148"/>
      <c r="BW596" s="146"/>
      <c r="CC596" s="146"/>
      <c r="CH596" s="148"/>
      <c r="CI596" s="146"/>
    </row>
    <row r="597">
      <c r="C597" s="146"/>
      <c r="I597" s="163"/>
      <c r="J597" s="163"/>
      <c r="K597" s="163"/>
      <c r="Q597" s="148"/>
      <c r="AF597" s="148"/>
      <c r="AG597" s="146"/>
      <c r="AK597" s="148"/>
      <c r="AL597" s="146"/>
      <c r="AO597" s="163"/>
      <c r="AP597" s="163"/>
      <c r="AS597" s="148"/>
      <c r="AT597" s="146"/>
      <c r="BE597" s="148"/>
      <c r="BF597" s="146"/>
      <c r="BL597" s="148"/>
      <c r="BM597" s="146"/>
      <c r="BP597" s="148"/>
      <c r="BQ597" s="146"/>
      <c r="BV597" s="148"/>
      <c r="BW597" s="146"/>
      <c r="CC597" s="146"/>
      <c r="CH597" s="148"/>
      <c r="CI597" s="146"/>
    </row>
    <row r="598">
      <c r="C598" s="146"/>
      <c r="I598" s="163"/>
      <c r="J598" s="163"/>
      <c r="K598" s="163"/>
      <c r="Q598" s="148"/>
      <c r="AF598" s="148"/>
      <c r="AG598" s="146"/>
      <c r="AK598" s="148"/>
      <c r="AL598" s="146"/>
      <c r="AO598" s="163"/>
      <c r="AP598" s="163"/>
      <c r="AS598" s="148"/>
      <c r="AT598" s="146"/>
      <c r="BE598" s="148"/>
      <c r="BF598" s="146"/>
      <c r="BL598" s="148"/>
      <c r="BM598" s="146"/>
      <c r="BP598" s="148"/>
      <c r="BQ598" s="146"/>
      <c r="BV598" s="148"/>
      <c r="BW598" s="146"/>
      <c r="CC598" s="146"/>
      <c r="CH598" s="148"/>
      <c r="CI598" s="146"/>
    </row>
    <row r="599">
      <c r="C599" s="146"/>
      <c r="I599" s="163"/>
      <c r="J599" s="163"/>
      <c r="K599" s="163"/>
      <c r="Q599" s="148"/>
      <c r="AF599" s="148"/>
      <c r="AG599" s="146"/>
      <c r="AK599" s="148"/>
      <c r="AL599" s="146"/>
      <c r="AO599" s="163"/>
      <c r="AP599" s="163"/>
      <c r="AS599" s="148"/>
      <c r="AT599" s="146"/>
      <c r="BE599" s="148"/>
      <c r="BF599" s="146"/>
      <c r="BL599" s="148"/>
      <c r="BM599" s="146"/>
      <c r="BP599" s="148"/>
      <c r="BQ599" s="146"/>
      <c r="BV599" s="148"/>
      <c r="BW599" s="146"/>
      <c r="CC599" s="146"/>
      <c r="CH599" s="148"/>
      <c r="CI599" s="146"/>
    </row>
    <row r="600">
      <c r="C600" s="146"/>
      <c r="I600" s="163"/>
      <c r="J600" s="163"/>
      <c r="K600" s="163"/>
      <c r="Q600" s="148"/>
      <c r="AF600" s="148"/>
      <c r="AG600" s="146"/>
      <c r="AK600" s="148"/>
      <c r="AL600" s="146"/>
      <c r="AO600" s="163"/>
      <c r="AP600" s="163"/>
      <c r="AS600" s="148"/>
      <c r="AT600" s="146"/>
      <c r="BE600" s="148"/>
      <c r="BF600" s="146"/>
      <c r="BL600" s="148"/>
      <c r="BM600" s="146"/>
      <c r="BP600" s="148"/>
      <c r="BQ600" s="146"/>
      <c r="BV600" s="148"/>
      <c r="BW600" s="146"/>
      <c r="CC600" s="146"/>
      <c r="CH600" s="148"/>
      <c r="CI600" s="146"/>
    </row>
    <row r="601">
      <c r="C601" s="146"/>
      <c r="I601" s="163"/>
      <c r="J601" s="163"/>
      <c r="K601" s="163"/>
      <c r="Q601" s="148"/>
      <c r="AF601" s="148"/>
      <c r="AG601" s="146"/>
      <c r="AK601" s="148"/>
      <c r="AL601" s="146"/>
      <c r="AO601" s="163"/>
      <c r="AP601" s="163"/>
      <c r="AS601" s="148"/>
      <c r="AT601" s="146"/>
      <c r="BE601" s="148"/>
      <c r="BF601" s="146"/>
      <c r="BL601" s="148"/>
      <c r="BM601" s="146"/>
      <c r="BP601" s="148"/>
      <c r="BQ601" s="146"/>
      <c r="BV601" s="148"/>
      <c r="BW601" s="146"/>
      <c r="CC601" s="146"/>
      <c r="CH601" s="148"/>
      <c r="CI601" s="146"/>
    </row>
    <row r="602">
      <c r="C602" s="146"/>
      <c r="I602" s="163"/>
      <c r="J602" s="163"/>
      <c r="K602" s="163"/>
      <c r="Q602" s="148"/>
      <c r="AF602" s="148"/>
      <c r="AG602" s="146"/>
      <c r="AK602" s="148"/>
      <c r="AL602" s="146"/>
      <c r="AO602" s="163"/>
      <c r="AP602" s="163"/>
      <c r="AS602" s="148"/>
      <c r="AT602" s="146"/>
      <c r="BE602" s="148"/>
      <c r="BF602" s="146"/>
      <c r="BL602" s="148"/>
      <c r="BM602" s="146"/>
      <c r="BP602" s="148"/>
      <c r="BQ602" s="146"/>
      <c r="BV602" s="148"/>
      <c r="BW602" s="146"/>
      <c r="CC602" s="146"/>
      <c r="CH602" s="148"/>
      <c r="CI602" s="146"/>
    </row>
    <row r="603">
      <c r="C603" s="146"/>
      <c r="I603" s="163"/>
      <c r="J603" s="163"/>
      <c r="K603" s="163"/>
      <c r="Q603" s="148"/>
      <c r="AF603" s="148"/>
      <c r="AG603" s="146"/>
      <c r="AK603" s="148"/>
      <c r="AL603" s="146"/>
      <c r="AO603" s="163"/>
      <c r="AP603" s="163"/>
      <c r="AS603" s="148"/>
      <c r="AT603" s="146"/>
      <c r="BE603" s="148"/>
      <c r="BF603" s="146"/>
      <c r="BL603" s="148"/>
      <c r="BM603" s="146"/>
      <c r="BP603" s="148"/>
      <c r="BQ603" s="146"/>
      <c r="BV603" s="148"/>
      <c r="BW603" s="146"/>
      <c r="CC603" s="146"/>
      <c r="CH603" s="148"/>
      <c r="CI603" s="146"/>
    </row>
    <row r="604">
      <c r="C604" s="146"/>
      <c r="I604" s="163"/>
      <c r="J604" s="163"/>
      <c r="K604" s="163"/>
      <c r="Q604" s="148"/>
      <c r="AF604" s="148"/>
      <c r="AG604" s="146"/>
      <c r="AK604" s="148"/>
      <c r="AL604" s="146"/>
      <c r="AO604" s="163"/>
      <c r="AP604" s="163"/>
      <c r="AS604" s="148"/>
      <c r="AT604" s="146"/>
      <c r="BE604" s="148"/>
      <c r="BF604" s="146"/>
      <c r="BL604" s="148"/>
      <c r="BM604" s="146"/>
      <c r="BP604" s="148"/>
      <c r="BQ604" s="146"/>
      <c r="BV604" s="148"/>
      <c r="BW604" s="146"/>
      <c r="CC604" s="146"/>
      <c r="CH604" s="148"/>
      <c r="CI604" s="146"/>
    </row>
    <row r="605">
      <c r="C605" s="146"/>
      <c r="I605" s="163"/>
      <c r="J605" s="163"/>
      <c r="K605" s="163"/>
      <c r="Q605" s="148"/>
      <c r="AF605" s="148"/>
      <c r="AG605" s="146"/>
      <c r="AK605" s="148"/>
      <c r="AL605" s="146"/>
      <c r="AO605" s="163"/>
      <c r="AP605" s="163"/>
      <c r="AS605" s="148"/>
      <c r="AT605" s="146"/>
      <c r="BE605" s="148"/>
      <c r="BF605" s="146"/>
      <c r="BL605" s="148"/>
      <c r="BM605" s="146"/>
      <c r="BP605" s="148"/>
      <c r="BQ605" s="146"/>
      <c r="BV605" s="148"/>
      <c r="BW605" s="146"/>
      <c r="CC605" s="146"/>
      <c r="CH605" s="148"/>
      <c r="CI605" s="146"/>
    </row>
    <row r="606">
      <c r="C606" s="146"/>
      <c r="I606" s="163"/>
      <c r="J606" s="163"/>
      <c r="K606" s="163"/>
      <c r="Q606" s="148"/>
      <c r="AF606" s="148"/>
      <c r="AG606" s="146"/>
      <c r="AK606" s="148"/>
      <c r="AL606" s="146"/>
      <c r="AO606" s="163"/>
      <c r="AP606" s="163"/>
      <c r="AS606" s="148"/>
      <c r="AT606" s="146"/>
      <c r="BE606" s="148"/>
      <c r="BF606" s="146"/>
      <c r="BL606" s="148"/>
      <c r="BM606" s="146"/>
      <c r="BP606" s="148"/>
      <c r="BQ606" s="146"/>
      <c r="BV606" s="148"/>
      <c r="BW606" s="146"/>
      <c r="CC606" s="146"/>
      <c r="CH606" s="148"/>
      <c r="CI606" s="146"/>
    </row>
    <row r="607">
      <c r="C607" s="146"/>
      <c r="I607" s="163"/>
      <c r="J607" s="163"/>
      <c r="K607" s="163"/>
      <c r="Q607" s="148"/>
      <c r="AF607" s="148"/>
      <c r="AG607" s="146"/>
      <c r="AK607" s="148"/>
      <c r="AL607" s="146"/>
      <c r="AO607" s="163"/>
      <c r="AP607" s="163"/>
      <c r="AS607" s="148"/>
      <c r="AT607" s="146"/>
      <c r="BE607" s="148"/>
      <c r="BF607" s="146"/>
      <c r="BL607" s="148"/>
      <c r="BM607" s="146"/>
      <c r="BP607" s="148"/>
      <c r="BQ607" s="146"/>
      <c r="BV607" s="148"/>
      <c r="BW607" s="146"/>
      <c r="CC607" s="146"/>
      <c r="CH607" s="148"/>
      <c r="CI607" s="146"/>
    </row>
    <row r="608">
      <c r="C608" s="146"/>
      <c r="I608" s="163"/>
      <c r="J608" s="163"/>
      <c r="K608" s="163"/>
      <c r="Q608" s="148"/>
      <c r="AF608" s="148"/>
      <c r="AG608" s="146"/>
      <c r="AK608" s="148"/>
      <c r="AL608" s="146"/>
      <c r="AO608" s="163"/>
      <c r="AP608" s="163"/>
      <c r="AS608" s="148"/>
      <c r="AT608" s="146"/>
      <c r="BE608" s="148"/>
      <c r="BF608" s="146"/>
      <c r="BL608" s="148"/>
      <c r="BM608" s="146"/>
      <c r="BP608" s="148"/>
      <c r="BQ608" s="146"/>
      <c r="BV608" s="148"/>
      <c r="BW608" s="146"/>
      <c r="CC608" s="146"/>
      <c r="CH608" s="148"/>
      <c r="CI608" s="146"/>
    </row>
    <row r="609">
      <c r="C609" s="146"/>
      <c r="I609" s="163"/>
      <c r="J609" s="163"/>
      <c r="K609" s="163"/>
      <c r="Q609" s="148"/>
      <c r="AF609" s="148"/>
      <c r="AG609" s="146"/>
      <c r="AK609" s="148"/>
      <c r="AL609" s="146"/>
      <c r="AO609" s="163"/>
      <c r="AP609" s="163"/>
      <c r="AS609" s="148"/>
      <c r="AT609" s="146"/>
      <c r="BE609" s="148"/>
      <c r="BF609" s="146"/>
      <c r="BL609" s="148"/>
      <c r="BM609" s="146"/>
      <c r="BP609" s="148"/>
      <c r="BQ609" s="146"/>
      <c r="BV609" s="148"/>
      <c r="BW609" s="146"/>
      <c r="CC609" s="146"/>
      <c r="CH609" s="148"/>
      <c r="CI609" s="146"/>
    </row>
    <row r="610">
      <c r="C610" s="146"/>
      <c r="I610" s="163"/>
      <c r="J610" s="163"/>
      <c r="K610" s="163"/>
      <c r="Q610" s="148"/>
      <c r="AF610" s="148"/>
      <c r="AG610" s="146"/>
      <c r="AK610" s="148"/>
      <c r="AL610" s="146"/>
      <c r="AO610" s="163"/>
      <c r="AP610" s="163"/>
      <c r="AS610" s="148"/>
      <c r="AT610" s="146"/>
      <c r="BE610" s="148"/>
      <c r="BF610" s="146"/>
      <c r="BL610" s="148"/>
      <c r="BM610" s="146"/>
      <c r="BP610" s="148"/>
      <c r="BQ610" s="146"/>
      <c r="BV610" s="148"/>
      <c r="BW610" s="146"/>
      <c r="CC610" s="146"/>
      <c r="CH610" s="148"/>
      <c r="CI610" s="146"/>
    </row>
    <row r="611">
      <c r="C611" s="146"/>
      <c r="I611" s="163"/>
      <c r="J611" s="163"/>
      <c r="K611" s="163"/>
      <c r="Q611" s="148"/>
      <c r="AF611" s="148"/>
      <c r="AG611" s="146"/>
      <c r="AK611" s="148"/>
      <c r="AL611" s="146"/>
      <c r="AO611" s="163"/>
      <c r="AP611" s="163"/>
      <c r="AS611" s="148"/>
      <c r="AT611" s="146"/>
      <c r="BE611" s="148"/>
      <c r="BF611" s="146"/>
      <c r="BL611" s="148"/>
      <c r="BM611" s="146"/>
      <c r="BP611" s="148"/>
      <c r="BQ611" s="146"/>
      <c r="BV611" s="148"/>
      <c r="BW611" s="146"/>
      <c r="CC611" s="146"/>
      <c r="CH611" s="148"/>
      <c r="CI611" s="146"/>
    </row>
    <row r="612">
      <c r="C612" s="146"/>
      <c r="I612" s="163"/>
      <c r="J612" s="163"/>
      <c r="K612" s="163"/>
      <c r="Q612" s="148"/>
      <c r="AF612" s="148"/>
      <c r="AG612" s="146"/>
      <c r="AK612" s="148"/>
      <c r="AL612" s="146"/>
      <c r="AO612" s="163"/>
      <c r="AP612" s="163"/>
      <c r="AS612" s="148"/>
      <c r="AT612" s="146"/>
      <c r="BE612" s="148"/>
      <c r="BF612" s="146"/>
      <c r="BL612" s="148"/>
      <c r="BM612" s="146"/>
      <c r="BP612" s="148"/>
      <c r="BQ612" s="146"/>
      <c r="BV612" s="148"/>
      <c r="BW612" s="146"/>
      <c r="CC612" s="146"/>
      <c r="CH612" s="148"/>
      <c r="CI612" s="146"/>
    </row>
    <row r="613">
      <c r="C613" s="146"/>
      <c r="I613" s="163"/>
      <c r="J613" s="163"/>
      <c r="K613" s="163"/>
      <c r="Q613" s="148"/>
      <c r="AF613" s="148"/>
      <c r="AG613" s="146"/>
      <c r="AK613" s="148"/>
      <c r="AL613" s="146"/>
      <c r="AO613" s="163"/>
      <c r="AP613" s="163"/>
      <c r="AS613" s="148"/>
      <c r="AT613" s="146"/>
      <c r="BE613" s="148"/>
      <c r="BF613" s="146"/>
      <c r="BL613" s="148"/>
      <c r="BM613" s="146"/>
      <c r="BP613" s="148"/>
      <c r="BQ613" s="146"/>
      <c r="BV613" s="148"/>
      <c r="BW613" s="146"/>
      <c r="CC613" s="146"/>
      <c r="CH613" s="148"/>
      <c r="CI613" s="146"/>
    </row>
    <row r="614">
      <c r="C614" s="146"/>
      <c r="I614" s="163"/>
      <c r="J614" s="163"/>
      <c r="K614" s="163"/>
      <c r="Q614" s="148"/>
      <c r="AF614" s="148"/>
      <c r="AG614" s="146"/>
      <c r="AK614" s="148"/>
      <c r="AL614" s="146"/>
      <c r="AO614" s="163"/>
      <c r="AP614" s="163"/>
      <c r="AS614" s="148"/>
      <c r="AT614" s="146"/>
      <c r="BE614" s="148"/>
      <c r="BF614" s="146"/>
      <c r="BL614" s="148"/>
      <c r="BM614" s="146"/>
      <c r="BP614" s="148"/>
      <c r="BQ614" s="146"/>
      <c r="BV614" s="148"/>
      <c r="BW614" s="146"/>
      <c r="CC614" s="146"/>
      <c r="CH614" s="148"/>
      <c r="CI614" s="146"/>
    </row>
    <row r="615">
      <c r="C615" s="146"/>
      <c r="I615" s="163"/>
      <c r="J615" s="163"/>
      <c r="K615" s="163"/>
      <c r="Q615" s="148"/>
      <c r="AF615" s="148"/>
      <c r="AG615" s="146"/>
      <c r="AK615" s="148"/>
      <c r="AL615" s="146"/>
      <c r="AO615" s="163"/>
      <c r="AP615" s="163"/>
      <c r="AS615" s="148"/>
      <c r="AT615" s="146"/>
      <c r="BE615" s="148"/>
      <c r="BF615" s="146"/>
      <c r="BL615" s="148"/>
      <c r="BM615" s="146"/>
      <c r="BP615" s="148"/>
      <c r="BQ615" s="146"/>
      <c r="BV615" s="148"/>
      <c r="BW615" s="146"/>
      <c r="CC615" s="146"/>
      <c r="CH615" s="148"/>
      <c r="CI615" s="146"/>
    </row>
    <row r="616">
      <c r="C616" s="146"/>
      <c r="I616" s="163"/>
      <c r="J616" s="163"/>
      <c r="K616" s="163"/>
      <c r="Q616" s="148"/>
      <c r="AF616" s="148"/>
      <c r="AG616" s="146"/>
      <c r="AK616" s="148"/>
      <c r="AL616" s="146"/>
      <c r="AO616" s="163"/>
      <c r="AP616" s="163"/>
      <c r="AS616" s="148"/>
      <c r="AT616" s="146"/>
      <c r="BE616" s="148"/>
      <c r="BF616" s="146"/>
      <c r="BL616" s="148"/>
      <c r="BM616" s="146"/>
      <c r="BP616" s="148"/>
      <c r="BQ616" s="146"/>
      <c r="BV616" s="148"/>
      <c r="BW616" s="146"/>
      <c r="CC616" s="146"/>
      <c r="CH616" s="148"/>
      <c r="CI616" s="146"/>
    </row>
    <row r="617">
      <c r="C617" s="146"/>
      <c r="I617" s="163"/>
      <c r="J617" s="163"/>
      <c r="K617" s="163"/>
      <c r="Q617" s="148"/>
      <c r="AF617" s="148"/>
      <c r="AG617" s="146"/>
      <c r="AK617" s="148"/>
      <c r="AL617" s="146"/>
      <c r="AO617" s="163"/>
      <c r="AP617" s="163"/>
      <c r="AS617" s="148"/>
      <c r="AT617" s="146"/>
      <c r="BE617" s="148"/>
      <c r="BF617" s="146"/>
      <c r="BL617" s="148"/>
      <c r="BM617" s="146"/>
      <c r="BP617" s="148"/>
      <c r="BQ617" s="146"/>
      <c r="BV617" s="148"/>
      <c r="BW617" s="146"/>
      <c r="CC617" s="146"/>
      <c r="CH617" s="148"/>
      <c r="CI617" s="146"/>
    </row>
    <row r="618">
      <c r="C618" s="146"/>
      <c r="I618" s="163"/>
      <c r="J618" s="163"/>
      <c r="K618" s="163"/>
      <c r="Q618" s="148"/>
      <c r="AF618" s="148"/>
      <c r="AG618" s="146"/>
      <c r="AK618" s="148"/>
      <c r="AL618" s="146"/>
      <c r="AO618" s="163"/>
      <c r="AP618" s="163"/>
      <c r="AS618" s="148"/>
      <c r="AT618" s="146"/>
      <c r="BE618" s="148"/>
      <c r="BF618" s="146"/>
      <c r="BL618" s="148"/>
      <c r="BM618" s="146"/>
      <c r="BP618" s="148"/>
      <c r="BQ618" s="146"/>
      <c r="BV618" s="148"/>
      <c r="BW618" s="146"/>
      <c r="CC618" s="146"/>
      <c r="CH618" s="148"/>
      <c r="CI618" s="146"/>
    </row>
    <row r="619">
      <c r="C619" s="146"/>
      <c r="I619" s="163"/>
      <c r="J619" s="163"/>
      <c r="K619" s="163"/>
      <c r="Q619" s="148"/>
      <c r="AF619" s="148"/>
      <c r="AG619" s="146"/>
      <c r="AK619" s="148"/>
      <c r="AL619" s="146"/>
      <c r="AO619" s="163"/>
      <c r="AP619" s="163"/>
      <c r="AS619" s="148"/>
      <c r="AT619" s="146"/>
      <c r="BE619" s="148"/>
      <c r="BF619" s="146"/>
      <c r="BL619" s="148"/>
      <c r="BM619" s="146"/>
      <c r="BP619" s="148"/>
      <c r="BQ619" s="146"/>
      <c r="BV619" s="148"/>
      <c r="BW619" s="146"/>
      <c r="CC619" s="146"/>
      <c r="CH619" s="148"/>
      <c r="CI619" s="146"/>
    </row>
    <row r="620">
      <c r="C620" s="146"/>
      <c r="I620" s="163"/>
      <c r="J620" s="163"/>
      <c r="K620" s="163"/>
      <c r="Q620" s="148"/>
      <c r="AF620" s="148"/>
      <c r="AG620" s="146"/>
      <c r="AK620" s="148"/>
      <c r="AL620" s="146"/>
      <c r="AO620" s="163"/>
      <c r="AP620" s="163"/>
      <c r="AS620" s="148"/>
      <c r="AT620" s="146"/>
      <c r="BE620" s="148"/>
      <c r="BF620" s="146"/>
      <c r="BL620" s="148"/>
      <c r="BM620" s="146"/>
      <c r="BP620" s="148"/>
      <c r="BQ620" s="146"/>
      <c r="BV620" s="148"/>
      <c r="BW620" s="146"/>
      <c r="CC620" s="146"/>
      <c r="CH620" s="148"/>
      <c r="CI620" s="146"/>
    </row>
    <row r="621">
      <c r="C621" s="146"/>
      <c r="I621" s="163"/>
      <c r="J621" s="163"/>
      <c r="K621" s="163"/>
      <c r="Q621" s="148"/>
      <c r="AF621" s="148"/>
      <c r="AG621" s="146"/>
      <c r="AK621" s="148"/>
      <c r="AL621" s="146"/>
      <c r="AO621" s="163"/>
      <c r="AP621" s="163"/>
      <c r="AS621" s="148"/>
      <c r="AT621" s="146"/>
      <c r="BE621" s="148"/>
      <c r="BF621" s="146"/>
      <c r="BL621" s="148"/>
      <c r="BM621" s="146"/>
      <c r="BP621" s="148"/>
      <c r="BQ621" s="146"/>
      <c r="BV621" s="148"/>
      <c r="BW621" s="146"/>
      <c r="CC621" s="146"/>
      <c r="CH621" s="148"/>
      <c r="CI621" s="146"/>
    </row>
    <row r="622">
      <c r="C622" s="146"/>
      <c r="I622" s="163"/>
      <c r="J622" s="163"/>
      <c r="K622" s="163"/>
      <c r="Q622" s="148"/>
      <c r="AF622" s="148"/>
      <c r="AG622" s="146"/>
      <c r="AK622" s="148"/>
      <c r="AL622" s="146"/>
      <c r="AO622" s="163"/>
      <c r="AP622" s="163"/>
      <c r="AS622" s="148"/>
      <c r="AT622" s="146"/>
      <c r="BE622" s="148"/>
      <c r="BF622" s="146"/>
      <c r="BL622" s="148"/>
      <c r="BM622" s="146"/>
      <c r="BP622" s="148"/>
      <c r="BQ622" s="146"/>
      <c r="BV622" s="148"/>
      <c r="BW622" s="146"/>
      <c r="CC622" s="146"/>
      <c r="CH622" s="148"/>
      <c r="CI622" s="146"/>
    </row>
    <row r="623">
      <c r="C623" s="146"/>
      <c r="I623" s="163"/>
      <c r="J623" s="163"/>
      <c r="K623" s="163"/>
      <c r="Q623" s="148"/>
      <c r="AF623" s="148"/>
      <c r="AG623" s="146"/>
      <c r="AK623" s="148"/>
      <c r="AL623" s="146"/>
      <c r="AO623" s="163"/>
      <c r="AP623" s="163"/>
      <c r="AS623" s="148"/>
      <c r="AT623" s="146"/>
      <c r="BE623" s="148"/>
      <c r="BF623" s="146"/>
      <c r="BL623" s="148"/>
      <c r="BM623" s="146"/>
      <c r="BP623" s="148"/>
      <c r="BQ623" s="146"/>
      <c r="BV623" s="148"/>
      <c r="BW623" s="146"/>
      <c r="CC623" s="146"/>
      <c r="CH623" s="148"/>
      <c r="CI623" s="146"/>
    </row>
    <row r="624">
      <c r="C624" s="146"/>
      <c r="I624" s="163"/>
      <c r="J624" s="163"/>
      <c r="K624" s="163"/>
      <c r="Q624" s="148"/>
      <c r="AF624" s="148"/>
      <c r="AG624" s="146"/>
      <c r="AK624" s="148"/>
      <c r="AL624" s="146"/>
      <c r="AO624" s="163"/>
      <c r="AP624" s="163"/>
      <c r="AS624" s="148"/>
      <c r="AT624" s="146"/>
      <c r="BE624" s="148"/>
      <c r="BF624" s="146"/>
      <c r="BL624" s="148"/>
      <c r="BM624" s="146"/>
      <c r="BP624" s="148"/>
      <c r="BQ624" s="146"/>
      <c r="BV624" s="148"/>
      <c r="BW624" s="146"/>
      <c r="CC624" s="146"/>
      <c r="CH624" s="148"/>
      <c r="CI624" s="146"/>
    </row>
    <row r="625">
      <c r="C625" s="146"/>
      <c r="I625" s="163"/>
      <c r="J625" s="163"/>
      <c r="K625" s="163"/>
      <c r="Q625" s="148"/>
      <c r="AF625" s="148"/>
      <c r="AG625" s="146"/>
      <c r="AK625" s="148"/>
      <c r="AL625" s="146"/>
      <c r="AO625" s="163"/>
      <c r="AP625" s="163"/>
      <c r="AS625" s="148"/>
      <c r="AT625" s="146"/>
      <c r="BE625" s="148"/>
      <c r="BF625" s="146"/>
      <c r="BL625" s="148"/>
      <c r="BM625" s="146"/>
      <c r="BP625" s="148"/>
      <c r="BQ625" s="146"/>
      <c r="BV625" s="148"/>
      <c r="BW625" s="146"/>
      <c r="CC625" s="146"/>
      <c r="CH625" s="148"/>
      <c r="CI625" s="146"/>
    </row>
    <row r="626">
      <c r="C626" s="146"/>
      <c r="I626" s="163"/>
      <c r="J626" s="163"/>
      <c r="K626" s="163"/>
      <c r="Q626" s="148"/>
      <c r="AF626" s="148"/>
      <c r="AG626" s="146"/>
      <c r="AK626" s="148"/>
      <c r="AL626" s="146"/>
      <c r="AO626" s="163"/>
      <c r="AP626" s="163"/>
      <c r="AS626" s="148"/>
      <c r="AT626" s="146"/>
      <c r="BE626" s="148"/>
      <c r="BF626" s="146"/>
      <c r="BL626" s="148"/>
      <c r="BM626" s="146"/>
      <c r="BP626" s="148"/>
      <c r="BQ626" s="146"/>
      <c r="BV626" s="148"/>
      <c r="BW626" s="146"/>
      <c r="CC626" s="146"/>
      <c r="CH626" s="148"/>
      <c r="CI626" s="146"/>
    </row>
    <row r="627">
      <c r="C627" s="146"/>
      <c r="I627" s="163"/>
      <c r="J627" s="163"/>
      <c r="K627" s="163"/>
      <c r="Q627" s="148"/>
      <c r="AF627" s="148"/>
      <c r="AG627" s="146"/>
      <c r="AK627" s="148"/>
      <c r="AL627" s="146"/>
      <c r="AO627" s="163"/>
      <c r="AP627" s="163"/>
      <c r="AS627" s="148"/>
      <c r="AT627" s="146"/>
      <c r="BE627" s="148"/>
      <c r="BF627" s="146"/>
      <c r="BL627" s="148"/>
      <c r="BM627" s="146"/>
      <c r="BP627" s="148"/>
      <c r="BQ627" s="146"/>
      <c r="BV627" s="148"/>
      <c r="BW627" s="146"/>
      <c r="CC627" s="146"/>
      <c r="CH627" s="148"/>
      <c r="CI627" s="146"/>
    </row>
    <row r="628">
      <c r="C628" s="146"/>
      <c r="I628" s="163"/>
      <c r="J628" s="163"/>
      <c r="K628" s="163"/>
      <c r="Q628" s="148"/>
      <c r="AF628" s="148"/>
      <c r="AG628" s="146"/>
      <c r="AK628" s="148"/>
      <c r="AL628" s="146"/>
      <c r="AO628" s="163"/>
      <c r="AP628" s="163"/>
      <c r="AS628" s="148"/>
      <c r="AT628" s="146"/>
      <c r="BE628" s="148"/>
      <c r="BF628" s="146"/>
      <c r="BL628" s="148"/>
      <c r="BM628" s="146"/>
      <c r="BP628" s="148"/>
      <c r="BQ628" s="146"/>
      <c r="BV628" s="148"/>
      <c r="BW628" s="146"/>
      <c r="CC628" s="146"/>
      <c r="CH628" s="148"/>
      <c r="CI628" s="146"/>
    </row>
    <row r="629">
      <c r="C629" s="146"/>
      <c r="I629" s="163"/>
      <c r="J629" s="163"/>
      <c r="K629" s="163"/>
      <c r="Q629" s="148"/>
      <c r="AF629" s="148"/>
      <c r="AG629" s="146"/>
      <c r="AK629" s="148"/>
      <c r="AL629" s="146"/>
      <c r="AO629" s="163"/>
      <c r="AP629" s="163"/>
      <c r="AS629" s="148"/>
      <c r="AT629" s="146"/>
      <c r="BE629" s="148"/>
      <c r="BF629" s="146"/>
      <c r="BL629" s="148"/>
      <c r="BM629" s="146"/>
      <c r="BP629" s="148"/>
      <c r="BQ629" s="146"/>
      <c r="BV629" s="148"/>
      <c r="BW629" s="146"/>
      <c r="CC629" s="146"/>
      <c r="CH629" s="148"/>
      <c r="CI629" s="146"/>
    </row>
    <row r="630">
      <c r="C630" s="146"/>
      <c r="I630" s="163"/>
      <c r="J630" s="163"/>
      <c r="K630" s="163"/>
      <c r="Q630" s="148"/>
      <c r="AF630" s="148"/>
      <c r="AG630" s="146"/>
      <c r="AK630" s="148"/>
      <c r="AL630" s="146"/>
      <c r="AO630" s="163"/>
      <c r="AP630" s="163"/>
      <c r="AS630" s="148"/>
      <c r="AT630" s="146"/>
      <c r="BE630" s="148"/>
      <c r="BF630" s="146"/>
      <c r="BL630" s="148"/>
      <c r="BM630" s="146"/>
      <c r="BP630" s="148"/>
      <c r="BQ630" s="146"/>
      <c r="BV630" s="148"/>
      <c r="BW630" s="146"/>
      <c r="CC630" s="146"/>
      <c r="CH630" s="148"/>
      <c r="CI630" s="146"/>
    </row>
    <row r="631">
      <c r="C631" s="146"/>
      <c r="I631" s="163"/>
      <c r="J631" s="163"/>
      <c r="K631" s="163"/>
      <c r="Q631" s="148"/>
      <c r="AF631" s="148"/>
      <c r="AG631" s="146"/>
      <c r="AK631" s="148"/>
      <c r="AL631" s="146"/>
      <c r="AO631" s="163"/>
      <c r="AP631" s="163"/>
      <c r="AS631" s="148"/>
      <c r="AT631" s="146"/>
      <c r="BE631" s="148"/>
      <c r="BF631" s="146"/>
      <c r="BL631" s="148"/>
      <c r="BM631" s="146"/>
      <c r="BP631" s="148"/>
      <c r="BQ631" s="146"/>
      <c r="BV631" s="148"/>
      <c r="BW631" s="146"/>
      <c r="CC631" s="146"/>
      <c r="CH631" s="148"/>
      <c r="CI631" s="146"/>
    </row>
    <row r="632">
      <c r="C632" s="146"/>
      <c r="I632" s="163"/>
      <c r="J632" s="163"/>
      <c r="K632" s="163"/>
      <c r="Q632" s="148"/>
      <c r="AF632" s="148"/>
      <c r="AG632" s="146"/>
      <c r="AK632" s="148"/>
      <c r="AL632" s="146"/>
      <c r="AO632" s="163"/>
      <c r="AP632" s="163"/>
      <c r="AS632" s="148"/>
      <c r="AT632" s="146"/>
      <c r="BE632" s="148"/>
      <c r="BF632" s="146"/>
      <c r="BL632" s="148"/>
      <c r="BM632" s="146"/>
      <c r="BP632" s="148"/>
      <c r="BQ632" s="146"/>
      <c r="BV632" s="148"/>
      <c r="BW632" s="146"/>
      <c r="CC632" s="146"/>
      <c r="CH632" s="148"/>
      <c r="CI632" s="146"/>
    </row>
    <row r="633">
      <c r="C633" s="146"/>
      <c r="I633" s="163"/>
      <c r="J633" s="163"/>
      <c r="K633" s="163"/>
      <c r="Q633" s="148"/>
      <c r="AF633" s="148"/>
      <c r="AG633" s="146"/>
      <c r="AK633" s="148"/>
      <c r="AL633" s="146"/>
      <c r="AO633" s="163"/>
      <c r="AP633" s="163"/>
      <c r="AS633" s="148"/>
      <c r="AT633" s="146"/>
      <c r="BE633" s="148"/>
      <c r="BF633" s="146"/>
      <c r="BL633" s="148"/>
      <c r="BM633" s="146"/>
      <c r="BP633" s="148"/>
      <c r="BQ633" s="146"/>
      <c r="BV633" s="148"/>
      <c r="BW633" s="146"/>
      <c r="CC633" s="146"/>
      <c r="CH633" s="148"/>
      <c r="CI633" s="146"/>
    </row>
    <row r="634">
      <c r="C634" s="146"/>
      <c r="I634" s="163"/>
      <c r="J634" s="163"/>
      <c r="K634" s="163"/>
      <c r="Q634" s="148"/>
      <c r="AF634" s="148"/>
      <c r="AG634" s="146"/>
      <c r="AK634" s="148"/>
      <c r="AL634" s="146"/>
      <c r="AO634" s="163"/>
      <c r="AP634" s="163"/>
      <c r="AS634" s="148"/>
      <c r="AT634" s="146"/>
      <c r="BE634" s="148"/>
      <c r="BF634" s="146"/>
      <c r="BL634" s="148"/>
      <c r="BM634" s="146"/>
      <c r="BP634" s="148"/>
      <c r="BQ634" s="146"/>
      <c r="BV634" s="148"/>
      <c r="BW634" s="146"/>
      <c r="CC634" s="146"/>
      <c r="CH634" s="148"/>
      <c r="CI634" s="146"/>
    </row>
    <row r="635">
      <c r="C635" s="146"/>
      <c r="I635" s="163"/>
      <c r="J635" s="163"/>
      <c r="K635" s="163"/>
      <c r="Q635" s="148"/>
      <c r="AF635" s="148"/>
      <c r="AG635" s="146"/>
      <c r="AK635" s="148"/>
      <c r="AL635" s="146"/>
      <c r="AO635" s="163"/>
      <c r="AP635" s="163"/>
      <c r="AS635" s="148"/>
      <c r="AT635" s="146"/>
      <c r="BE635" s="148"/>
      <c r="BF635" s="146"/>
      <c r="BL635" s="148"/>
      <c r="BM635" s="146"/>
      <c r="BP635" s="148"/>
      <c r="BQ635" s="146"/>
      <c r="BV635" s="148"/>
      <c r="BW635" s="146"/>
      <c r="CC635" s="146"/>
      <c r="CH635" s="148"/>
      <c r="CI635" s="146"/>
    </row>
    <row r="636">
      <c r="C636" s="146"/>
      <c r="I636" s="163"/>
      <c r="J636" s="163"/>
      <c r="K636" s="163"/>
      <c r="Q636" s="148"/>
      <c r="AF636" s="148"/>
      <c r="AG636" s="146"/>
      <c r="AK636" s="148"/>
      <c r="AL636" s="146"/>
      <c r="AO636" s="163"/>
      <c r="AP636" s="163"/>
      <c r="AS636" s="148"/>
      <c r="AT636" s="146"/>
      <c r="BE636" s="148"/>
      <c r="BF636" s="146"/>
      <c r="BL636" s="148"/>
      <c r="BM636" s="146"/>
      <c r="BP636" s="148"/>
      <c r="BQ636" s="146"/>
      <c r="BV636" s="148"/>
      <c r="BW636" s="146"/>
      <c r="CC636" s="146"/>
      <c r="CH636" s="148"/>
      <c r="CI636" s="146"/>
    </row>
    <row r="637">
      <c r="C637" s="146"/>
      <c r="I637" s="163"/>
      <c r="J637" s="163"/>
      <c r="K637" s="163"/>
      <c r="Q637" s="148"/>
      <c r="AF637" s="148"/>
      <c r="AG637" s="146"/>
      <c r="AK637" s="148"/>
      <c r="AL637" s="146"/>
      <c r="AO637" s="163"/>
      <c r="AP637" s="163"/>
      <c r="AS637" s="148"/>
      <c r="AT637" s="146"/>
      <c r="BE637" s="148"/>
      <c r="BF637" s="146"/>
      <c r="BL637" s="148"/>
      <c r="BM637" s="146"/>
      <c r="BP637" s="148"/>
      <c r="BQ637" s="146"/>
      <c r="BV637" s="148"/>
      <c r="BW637" s="146"/>
      <c r="CC637" s="146"/>
      <c r="CH637" s="148"/>
      <c r="CI637" s="146"/>
    </row>
    <row r="638">
      <c r="C638" s="146"/>
      <c r="I638" s="163"/>
      <c r="J638" s="163"/>
      <c r="K638" s="163"/>
      <c r="Q638" s="148"/>
      <c r="AF638" s="148"/>
      <c r="AG638" s="146"/>
      <c r="AK638" s="148"/>
      <c r="AL638" s="146"/>
      <c r="AO638" s="163"/>
      <c r="AP638" s="163"/>
      <c r="AS638" s="148"/>
      <c r="AT638" s="146"/>
      <c r="BE638" s="148"/>
      <c r="BF638" s="146"/>
      <c r="BL638" s="148"/>
      <c r="BM638" s="146"/>
      <c r="BP638" s="148"/>
      <c r="BQ638" s="146"/>
      <c r="BV638" s="148"/>
      <c r="BW638" s="146"/>
      <c r="CC638" s="146"/>
      <c r="CH638" s="148"/>
      <c r="CI638" s="146"/>
    </row>
    <row r="639">
      <c r="C639" s="146"/>
      <c r="I639" s="163"/>
      <c r="J639" s="163"/>
      <c r="K639" s="163"/>
      <c r="Q639" s="148"/>
      <c r="AF639" s="148"/>
      <c r="AG639" s="146"/>
      <c r="AK639" s="148"/>
      <c r="AL639" s="146"/>
      <c r="AO639" s="163"/>
      <c r="AP639" s="163"/>
      <c r="AS639" s="148"/>
      <c r="AT639" s="146"/>
      <c r="BE639" s="148"/>
      <c r="BF639" s="146"/>
      <c r="BL639" s="148"/>
      <c r="BM639" s="146"/>
      <c r="BP639" s="148"/>
      <c r="BQ639" s="146"/>
      <c r="BV639" s="148"/>
      <c r="BW639" s="146"/>
      <c r="CC639" s="146"/>
      <c r="CH639" s="148"/>
      <c r="CI639" s="146"/>
    </row>
    <row r="640">
      <c r="C640" s="146"/>
      <c r="I640" s="163"/>
      <c r="J640" s="163"/>
      <c r="K640" s="163"/>
      <c r="Q640" s="148"/>
      <c r="AF640" s="148"/>
      <c r="AG640" s="146"/>
      <c r="AK640" s="148"/>
      <c r="AL640" s="146"/>
      <c r="AO640" s="163"/>
      <c r="AP640" s="163"/>
      <c r="AS640" s="148"/>
      <c r="AT640" s="146"/>
      <c r="BE640" s="148"/>
      <c r="BF640" s="146"/>
      <c r="BL640" s="148"/>
      <c r="BM640" s="146"/>
      <c r="BP640" s="148"/>
      <c r="BQ640" s="146"/>
      <c r="BV640" s="148"/>
      <c r="BW640" s="146"/>
      <c r="CC640" s="146"/>
      <c r="CH640" s="148"/>
      <c r="CI640" s="146"/>
    </row>
    <row r="641">
      <c r="C641" s="146"/>
      <c r="I641" s="163"/>
      <c r="J641" s="163"/>
      <c r="K641" s="163"/>
      <c r="Q641" s="148"/>
      <c r="AF641" s="148"/>
      <c r="AG641" s="146"/>
      <c r="AK641" s="148"/>
      <c r="AL641" s="146"/>
      <c r="AO641" s="163"/>
      <c r="AP641" s="163"/>
      <c r="AS641" s="148"/>
      <c r="AT641" s="146"/>
      <c r="BE641" s="148"/>
      <c r="BF641" s="146"/>
      <c r="BL641" s="148"/>
      <c r="BM641" s="146"/>
      <c r="BP641" s="148"/>
      <c r="BQ641" s="146"/>
      <c r="BV641" s="148"/>
      <c r="BW641" s="146"/>
      <c r="CC641" s="146"/>
      <c r="CH641" s="148"/>
      <c r="CI641" s="146"/>
    </row>
    <row r="642">
      <c r="C642" s="146"/>
      <c r="I642" s="163"/>
      <c r="J642" s="163"/>
      <c r="K642" s="163"/>
      <c r="Q642" s="148"/>
      <c r="AF642" s="148"/>
      <c r="AG642" s="146"/>
      <c r="AK642" s="148"/>
      <c r="AL642" s="146"/>
      <c r="AO642" s="163"/>
      <c r="AP642" s="163"/>
      <c r="AS642" s="148"/>
      <c r="AT642" s="146"/>
      <c r="BE642" s="148"/>
      <c r="BF642" s="146"/>
      <c r="BL642" s="148"/>
      <c r="BM642" s="146"/>
      <c r="BP642" s="148"/>
      <c r="BQ642" s="146"/>
      <c r="BV642" s="148"/>
      <c r="BW642" s="146"/>
      <c r="CC642" s="146"/>
      <c r="CH642" s="148"/>
      <c r="CI642" s="146"/>
    </row>
    <row r="643">
      <c r="C643" s="146"/>
      <c r="I643" s="163"/>
      <c r="J643" s="163"/>
      <c r="K643" s="163"/>
      <c r="Q643" s="148"/>
      <c r="AF643" s="148"/>
      <c r="AG643" s="146"/>
      <c r="AK643" s="148"/>
      <c r="AL643" s="146"/>
      <c r="AO643" s="163"/>
      <c r="AP643" s="163"/>
      <c r="AS643" s="148"/>
      <c r="AT643" s="146"/>
      <c r="BE643" s="148"/>
      <c r="BF643" s="146"/>
      <c r="BL643" s="148"/>
      <c r="BM643" s="146"/>
      <c r="BP643" s="148"/>
      <c r="BQ643" s="146"/>
      <c r="BV643" s="148"/>
      <c r="BW643" s="146"/>
      <c r="CC643" s="146"/>
      <c r="CH643" s="148"/>
      <c r="CI643" s="146"/>
    </row>
    <row r="644">
      <c r="C644" s="146"/>
      <c r="I644" s="163"/>
      <c r="J644" s="163"/>
      <c r="K644" s="163"/>
      <c r="Q644" s="148"/>
      <c r="AF644" s="148"/>
      <c r="AG644" s="146"/>
      <c r="AK644" s="148"/>
      <c r="AL644" s="146"/>
      <c r="AO644" s="163"/>
      <c r="AP644" s="163"/>
      <c r="AS644" s="148"/>
      <c r="AT644" s="146"/>
      <c r="BE644" s="148"/>
      <c r="BF644" s="146"/>
      <c r="BL644" s="148"/>
      <c r="BM644" s="146"/>
      <c r="BP644" s="148"/>
      <c r="BQ644" s="146"/>
      <c r="BV644" s="148"/>
      <c r="BW644" s="146"/>
      <c r="CC644" s="146"/>
      <c r="CH644" s="148"/>
      <c r="CI644" s="146"/>
    </row>
    <row r="645">
      <c r="C645" s="146"/>
      <c r="I645" s="163"/>
      <c r="J645" s="163"/>
      <c r="K645" s="163"/>
      <c r="Q645" s="148"/>
      <c r="AF645" s="148"/>
      <c r="AG645" s="146"/>
      <c r="AK645" s="148"/>
      <c r="AL645" s="146"/>
      <c r="AO645" s="163"/>
      <c r="AP645" s="163"/>
      <c r="AS645" s="148"/>
      <c r="AT645" s="146"/>
      <c r="BE645" s="148"/>
      <c r="BF645" s="146"/>
      <c r="BL645" s="148"/>
      <c r="BM645" s="146"/>
      <c r="BP645" s="148"/>
      <c r="BQ645" s="146"/>
      <c r="BV645" s="148"/>
      <c r="BW645" s="146"/>
      <c r="CC645" s="146"/>
      <c r="CH645" s="148"/>
      <c r="CI645" s="146"/>
    </row>
    <row r="646">
      <c r="C646" s="146"/>
      <c r="I646" s="163"/>
      <c r="J646" s="163"/>
      <c r="K646" s="163"/>
      <c r="Q646" s="148"/>
      <c r="AF646" s="148"/>
      <c r="AG646" s="146"/>
      <c r="AK646" s="148"/>
      <c r="AL646" s="146"/>
      <c r="AO646" s="163"/>
      <c r="AP646" s="163"/>
      <c r="AS646" s="148"/>
      <c r="AT646" s="146"/>
      <c r="BE646" s="148"/>
      <c r="BF646" s="146"/>
      <c r="BL646" s="148"/>
      <c r="BM646" s="146"/>
      <c r="BP646" s="148"/>
      <c r="BQ646" s="146"/>
      <c r="BV646" s="148"/>
      <c r="BW646" s="146"/>
      <c r="CC646" s="146"/>
      <c r="CH646" s="148"/>
      <c r="CI646" s="146"/>
    </row>
    <row r="647">
      <c r="C647" s="146"/>
      <c r="I647" s="163"/>
      <c r="J647" s="163"/>
      <c r="K647" s="163"/>
      <c r="Q647" s="148"/>
      <c r="AF647" s="148"/>
      <c r="AG647" s="146"/>
      <c r="AK647" s="148"/>
      <c r="AL647" s="146"/>
      <c r="AO647" s="163"/>
      <c r="AP647" s="163"/>
      <c r="AS647" s="148"/>
      <c r="AT647" s="146"/>
      <c r="BE647" s="148"/>
      <c r="BF647" s="146"/>
      <c r="BL647" s="148"/>
      <c r="BM647" s="146"/>
      <c r="BP647" s="148"/>
      <c r="BQ647" s="146"/>
      <c r="BV647" s="148"/>
      <c r="BW647" s="146"/>
      <c r="CC647" s="146"/>
      <c r="CH647" s="148"/>
      <c r="CI647" s="146"/>
    </row>
    <row r="648">
      <c r="C648" s="146"/>
      <c r="I648" s="163"/>
      <c r="J648" s="163"/>
      <c r="K648" s="163"/>
      <c r="Q648" s="148"/>
      <c r="AF648" s="148"/>
      <c r="AG648" s="146"/>
      <c r="AK648" s="148"/>
      <c r="AL648" s="146"/>
      <c r="AO648" s="163"/>
      <c r="AP648" s="163"/>
      <c r="AS648" s="148"/>
      <c r="AT648" s="146"/>
      <c r="BE648" s="148"/>
      <c r="BF648" s="146"/>
      <c r="BL648" s="148"/>
      <c r="BM648" s="146"/>
      <c r="BP648" s="148"/>
      <c r="BQ648" s="146"/>
      <c r="BV648" s="148"/>
      <c r="BW648" s="146"/>
      <c r="CC648" s="146"/>
      <c r="CH648" s="148"/>
      <c r="CI648" s="146"/>
    </row>
    <row r="649">
      <c r="C649" s="146"/>
      <c r="I649" s="163"/>
      <c r="J649" s="163"/>
      <c r="K649" s="163"/>
      <c r="Q649" s="148"/>
      <c r="AF649" s="148"/>
      <c r="AG649" s="146"/>
      <c r="AK649" s="148"/>
      <c r="AL649" s="146"/>
      <c r="AO649" s="163"/>
      <c r="AP649" s="163"/>
      <c r="AS649" s="148"/>
      <c r="AT649" s="146"/>
      <c r="BE649" s="148"/>
      <c r="BF649" s="146"/>
      <c r="BL649" s="148"/>
      <c r="BM649" s="146"/>
      <c r="BP649" s="148"/>
      <c r="BQ649" s="146"/>
      <c r="BV649" s="148"/>
      <c r="BW649" s="146"/>
      <c r="CC649" s="146"/>
      <c r="CH649" s="148"/>
      <c r="CI649" s="146"/>
    </row>
    <row r="650">
      <c r="C650" s="146"/>
      <c r="I650" s="163"/>
      <c r="J650" s="163"/>
      <c r="K650" s="163"/>
      <c r="Q650" s="148"/>
      <c r="AF650" s="148"/>
      <c r="AG650" s="146"/>
      <c r="AK650" s="148"/>
      <c r="AL650" s="146"/>
      <c r="AO650" s="163"/>
      <c r="AP650" s="163"/>
      <c r="AS650" s="148"/>
      <c r="AT650" s="146"/>
      <c r="BE650" s="148"/>
      <c r="BF650" s="146"/>
      <c r="BL650" s="148"/>
      <c r="BM650" s="146"/>
      <c r="BP650" s="148"/>
      <c r="BQ650" s="146"/>
      <c r="BV650" s="148"/>
      <c r="BW650" s="146"/>
      <c r="CC650" s="146"/>
      <c r="CH650" s="148"/>
      <c r="CI650" s="146"/>
    </row>
    <row r="651">
      <c r="C651" s="146"/>
      <c r="I651" s="163"/>
      <c r="J651" s="163"/>
      <c r="K651" s="163"/>
      <c r="Q651" s="148"/>
      <c r="AF651" s="148"/>
      <c r="AG651" s="146"/>
      <c r="AK651" s="148"/>
      <c r="AL651" s="146"/>
      <c r="AO651" s="163"/>
      <c r="AP651" s="163"/>
      <c r="AS651" s="148"/>
      <c r="AT651" s="146"/>
      <c r="BE651" s="148"/>
      <c r="BF651" s="146"/>
      <c r="BL651" s="148"/>
      <c r="BM651" s="146"/>
      <c r="BP651" s="148"/>
      <c r="BQ651" s="146"/>
      <c r="BV651" s="148"/>
      <c r="BW651" s="146"/>
      <c r="CC651" s="146"/>
      <c r="CH651" s="148"/>
      <c r="CI651" s="146"/>
    </row>
    <row r="652">
      <c r="C652" s="146"/>
      <c r="I652" s="163"/>
      <c r="J652" s="163"/>
      <c r="K652" s="163"/>
      <c r="Q652" s="148"/>
      <c r="AF652" s="148"/>
      <c r="AG652" s="146"/>
      <c r="AK652" s="148"/>
      <c r="AL652" s="146"/>
      <c r="AO652" s="163"/>
      <c r="AP652" s="163"/>
      <c r="AS652" s="148"/>
      <c r="AT652" s="146"/>
      <c r="BE652" s="148"/>
      <c r="BF652" s="146"/>
      <c r="BL652" s="148"/>
      <c r="BM652" s="146"/>
      <c r="BP652" s="148"/>
      <c r="BQ652" s="146"/>
      <c r="BV652" s="148"/>
      <c r="BW652" s="146"/>
      <c r="CC652" s="146"/>
      <c r="CH652" s="148"/>
      <c r="CI652" s="146"/>
    </row>
    <row r="653">
      <c r="C653" s="146"/>
      <c r="I653" s="163"/>
      <c r="J653" s="163"/>
      <c r="K653" s="163"/>
      <c r="Q653" s="148"/>
      <c r="AF653" s="148"/>
      <c r="AG653" s="146"/>
      <c r="AK653" s="148"/>
      <c r="AL653" s="146"/>
      <c r="AO653" s="163"/>
      <c r="AP653" s="163"/>
      <c r="AS653" s="148"/>
      <c r="AT653" s="146"/>
      <c r="BE653" s="148"/>
      <c r="BF653" s="146"/>
      <c r="BL653" s="148"/>
      <c r="BM653" s="146"/>
      <c r="BP653" s="148"/>
      <c r="BQ653" s="146"/>
      <c r="BV653" s="148"/>
      <c r="BW653" s="146"/>
      <c r="CC653" s="146"/>
      <c r="CH653" s="148"/>
      <c r="CI653" s="146"/>
    </row>
    <row r="654">
      <c r="C654" s="146"/>
      <c r="I654" s="163"/>
      <c r="J654" s="163"/>
      <c r="K654" s="163"/>
      <c r="Q654" s="148"/>
      <c r="AF654" s="148"/>
      <c r="AG654" s="146"/>
      <c r="AK654" s="148"/>
      <c r="AL654" s="146"/>
      <c r="AO654" s="163"/>
      <c r="AP654" s="163"/>
      <c r="AS654" s="148"/>
      <c r="AT654" s="146"/>
      <c r="BE654" s="148"/>
      <c r="BF654" s="146"/>
      <c r="BL654" s="148"/>
      <c r="BM654" s="146"/>
      <c r="BP654" s="148"/>
      <c r="BQ654" s="146"/>
      <c r="BV654" s="148"/>
      <c r="BW654" s="146"/>
      <c r="CC654" s="146"/>
      <c r="CH654" s="148"/>
      <c r="CI654" s="146"/>
    </row>
    <row r="655">
      <c r="C655" s="146"/>
      <c r="I655" s="163"/>
      <c r="J655" s="163"/>
      <c r="K655" s="163"/>
      <c r="Q655" s="148"/>
      <c r="AF655" s="148"/>
      <c r="AG655" s="146"/>
      <c r="AK655" s="148"/>
      <c r="AL655" s="146"/>
      <c r="AO655" s="163"/>
      <c r="AP655" s="163"/>
      <c r="AS655" s="148"/>
      <c r="AT655" s="146"/>
      <c r="BE655" s="148"/>
      <c r="BF655" s="146"/>
      <c r="BL655" s="148"/>
      <c r="BM655" s="146"/>
      <c r="BP655" s="148"/>
      <c r="BQ655" s="146"/>
      <c r="BV655" s="148"/>
      <c r="BW655" s="146"/>
      <c r="CC655" s="146"/>
      <c r="CH655" s="148"/>
      <c r="CI655" s="146"/>
    </row>
    <row r="656">
      <c r="C656" s="146"/>
      <c r="I656" s="163"/>
      <c r="J656" s="163"/>
      <c r="K656" s="163"/>
      <c r="Q656" s="148"/>
      <c r="AF656" s="148"/>
      <c r="AG656" s="146"/>
      <c r="AK656" s="148"/>
      <c r="AL656" s="146"/>
      <c r="AO656" s="163"/>
      <c r="AP656" s="163"/>
      <c r="AS656" s="148"/>
      <c r="AT656" s="146"/>
      <c r="BE656" s="148"/>
      <c r="BF656" s="146"/>
      <c r="BL656" s="148"/>
      <c r="BM656" s="146"/>
      <c r="BP656" s="148"/>
      <c r="BQ656" s="146"/>
      <c r="BV656" s="148"/>
      <c r="BW656" s="146"/>
      <c r="CC656" s="146"/>
      <c r="CH656" s="148"/>
      <c r="CI656" s="146"/>
    </row>
    <row r="657">
      <c r="C657" s="146"/>
      <c r="I657" s="163"/>
      <c r="J657" s="163"/>
      <c r="K657" s="163"/>
      <c r="Q657" s="148"/>
      <c r="AF657" s="148"/>
      <c r="AG657" s="146"/>
      <c r="AK657" s="148"/>
      <c r="AL657" s="146"/>
      <c r="AO657" s="163"/>
      <c r="AP657" s="163"/>
      <c r="AS657" s="148"/>
      <c r="AT657" s="146"/>
      <c r="BE657" s="148"/>
      <c r="BF657" s="146"/>
      <c r="BL657" s="148"/>
      <c r="BM657" s="146"/>
      <c r="BP657" s="148"/>
      <c r="BQ657" s="146"/>
      <c r="BV657" s="148"/>
      <c r="BW657" s="146"/>
      <c r="CC657" s="146"/>
      <c r="CH657" s="148"/>
      <c r="CI657" s="146"/>
    </row>
    <row r="658">
      <c r="C658" s="146"/>
      <c r="I658" s="163"/>
      <c r="J658" s="163"/>
      <c r="K658" s="163"/>
      <c r="Q658" s="148"/>
      <c r="AF658" s="148"/>
      <c r="AG658" s="146"/>
      <c r="AK658" s="148"/>
      <c r="AL658" s="146"/>
      <c r="AO658" s="163"/>
      <c r="AP658" s="163"/>
      <c r="AS658" s="148"/>
      <c r="AT658" s="146"/>
      <c r="BE658" s="148"/>
      <c r="BF658" s="146"/>
      <c r="BL658" s="148"/>
      <c r="BM658" s="146"/>
      <c r="BP658" s="148"/>
      <c r="BQ658" s="146"/>
      <c r="BV658" s="148"/>
      <c r="BW658" s="146"/>
      <c r="CC658" s="146"/>
      <c r="CH658" s="148"/>
      <c r="CI658" s="146"/>
    </row>
    <row r="659">
      <c r="C659" s="146"/>
      <c r="I659" s="163"/>
      <c r="J659" s="163"/>
      <c r="K659" s="163"/>
      <c r="Q659" s="148"/>
      <c r="AF659" s="148"/>
      <c r="AG659" s="146"/>
      <c r="AK659" s="148"/>
      <c r="AL659" s="146"/>
      <c r="AO659" s="163"/>
      <c r="AP659" s="163"/>
      <c r="AS659" s="148"/>
      <c r="AT659" s="146"/>
      <c r="BE659" s="148"/>
      <c r="BF659" s="146"/>
      <c r="BL659" s="148"/>
      <c r="BM659" s="146"/>
      <c r="BP659" s="148"/>
      <c r="BQ659" s="146"/>
      <c r="BV659" s="148"/>
      <c r="BW659" s="146"/>
      <c r="CC659" s="146"/>
      <c r="CH659" s="148"/>
      <c r="CI659" s="146"/>
    </row>
    <row r="660">
      <c r="C660" s="146"/>
      <c r="I660" s="163"/>
      <c r="J660" s="163"/>
      <c r="K660" s="163"/>
      <c r="Q660" s="148"/>
      <c r="AF660" s="148"/>
      <c r="AG660" s="146"/>
      <c r="AK660" s="148"/>
      <c r="AL660" s="146"/>
      <c r="AO660" s="163"/>
      <c r="AP660" s="163"/>
      <c r="AS660" s="148"/>
      <c r="AT660" s="146"/>
      <c r="BE660" s="148"/>
      <c r="BF660" s="146"/>
      <c r="BL660" s="148"/>
      <c r="BM660" s="146"/>
      <c r="BP660" s="148"/>
      <c r="BQ660" s="146"/>
      <c r="BV660" s="148"/>
      <c r="BW660" s="146"/>
      <c r="CC660" s="146"/>
      <c r="CH660" s="148"/>
      <c r="CI660" s="146"/>
    </row>
    <row r="661">
      <c r="C661" s="146"/>
      <c r="I661" s="163"/>
      <c r="J661" s="163"/>
      <c r="K661" s="163"/>
      <c r="Q661" s="148"/>
      <c r="AF661" s="148"/>
      <c r="AG661" s="146"/>
      <c r="AK661" s="148"/>
      <c r="AL661" s="146"/>
      <c r="AO661" s="163"/>
      <c r="AP661" s="163"/>
      <c r="AS661" s="148"/>
      <c r="AT661" s="146"/>
      <c r="BE661" s="148"/>
      <c r="BF661" s="146"/>
      <c r="BL661" s="148"/>
      <c r="BM661" s="146"/>
      <c r="BP661" s="148"/>
      <c r="BQ661" s="146"/>
      <c r="BV661" s="148"/>
      <c r="BW661" s="146"/>
      <c r="CC661" s="146"/>
      <c r="CH661" s="148"/>
      <c r="CI661" s="146"/>
    </row>
    <row r="662">
      <c r="C662" s="146"/>
      <c r="I662" s="163"/>
      <c r="J662" s="163"/>
      <c r="K662" s="163"/>
      <c r="Q662" s="148"/>
      <c r="AF662" s="148"/>
      <c r="AG662" s="146"/>
      <c r="AK662" s="148"/>
      <c r="AL662" s="146"/>
      <c r="AO662" s="163"/>
      <c r="AP662" s="163"/>
      <c r="AS662" s="148"/>
      <c r="AT662" s="146"/>
      <c r="BE662" s="148"/>
      <c r="BF662" s="146"/>
      <c r="BL662" s="148"/>
      <c r="BM662" s="146"/>
      <c r="BP662" s="148"/>
      <c r="BQ662" s="146"/>
      <c r="BV662" s="148"/>
      <c r="BW662" s="146"/>
      <c r="CC662" s="146"/>
      <c r="CH662" s="148"/>
      <c r="CI662" s="146"/>
    </row>
    <row r="663">
      <c r="C663" s="146"/>
      <c r="I663" s="163"/>
      <c r="J663" s="163"/>
      <c r="K663" s="163"/>
      <c r="Q663" s="148"/>
      <c r="AF663" s="148"/>
      <c r="AG663" s="146"/>
      <c r="AK663" s="148"/>
      <c r="AL663" s="146"/>
      <c r="AO663" s="163"/>
      <c r="AP663" s="163"/>
      <c r="AS663" s="148"/>
      <c r="AT663" s="146"/>
      <c r="BE663" s="148"/>
      <c r="BF663" s="146"/>
      <c r="BL663" s="148"/>
      <c r="BM663" s="146"/>
      <c r="BP663" s="148"/>
      <c r="BQ663" s="146"/>
      <c r="BV663" s="148"/>
      <c r="BW663" s="146"/>
      <c r="CC663" s="146"/>
      <c r="CH663" s="148"/>
      <c r="CI663" s="146"/>
    </row>
    <row r="664">
      <c r="C664" s="146"/>
      <c r="I664" s="163"/>
      <c r="J664" s="163"/>
      <c r="K664" s="163"/>
      <c r="Q664" s="148"/>
      <c r="AF664" s="148"/>
      <c r="AG664" s="146"/>
      <c r="AK664" s="148"/>
      <c r="AL664" s="146"/>
      <c r="AO664" s="163"/>
      <c r="AP664" s="163"/>
      <c r="AS664" s="148"/>
      <c r="AT664" s="146"/>
      <c r="BE664" s="148"/>
      <c r="BF664" s="146"/>
      <c r="BL664" s="148"/>
      <c r="BM664" s="146"/>
      <c r="BP664" s="148"/>
      <c r="BQ664" s="146"/>
      <c r="BV664" s="148"/>
      <c r="BW664" s="146"/>
      <c r="CC664" s="146"/>
      <c r="CH664" s="148"/>
      <c r="CI664" s="146"/>
    </row>
    <row r="665">
      <c r="C665" s="146"/>
      <c r="I665" s="163"/>
      <c r="J665" s="163"/>
      <c r="K665" s="163"/>
      <c r="Q665" s="148"/>
      <c r="AF665" s="148"/>
      <c r="AG665" s="146"/>
      <c r="AK665" s="148"/>
      <c r="AL665" s="146"/>
      <c r="AO665" s="163"/>
      <c r="AP665" s="163"/>
      <c r="AS665" s="148"/>
      <c r="AT665" s="146"/>
      <c r="BE665" s="148"/>
      <c r="BF665" s="146"/>
      <c r="BL665" s="148"/>
      <c r="BM665" s="146"/>
      <c r="BP665" s="148"/>
      <c r="BQ665" s="146"/>
      <c r="BV665" s="148"/>
      <c r="BW665" s="146"/>
      <c r="CC665" s="146"/>
      <c r="CH665" s="148"/>
      <c r="CI665" s="146"/>
    </row>
    <row r="666">
      <c r="C666" s="146"/>
      <c r="I666" s="163"/>
      <c r="J666" s="163"/>
      <c r="K666" s="163"/>
      <c r="Q666" s="148"/>
      <c r="AF666" s="148"/>
      <c r="AG666" s="146"/>
      <c r="AK666" s="148"/>
      <c r="AL666" s="146"/>
      <c r="AO666" s="163"/>
      <c r="AP666" s="163"/>
      <c r="AS666" s="148"/>
      <c r="AT666" s="146"/>
      <c r="BE666" s="148"/>
      <c r="BF666" s="146"/>
      <c r="BL666" s="148"/>
      <c r="BM666" s="146"/>
      <c r="BP666" s="148"/>
      <c r="BQ666" s="146"/>
      <c r="BV666" s="148"/>
      <c r="BW666" s="146"/>
      <c r="CC666" s="146"/>
      <c r="CH666" s="148"/>
      <c r="CI666" s="146"/>
    </row>
    <row r="667">
      <c r="C667" s="146"/>
      <c r="I667" s="163"/>
      <c r="J667" s="163"/>
      <c r="K667" s="163"/>
      <c r="Q667" s="148"/>
      <c r="AF667" s="148"/>
      <c r="AG667" s="146"/>
      <c r="AK667" s="148"/>
      <c r="AL667" s="146"/>
      <c r="AO667" s="163"/>
      <c r="AP667" s="163"/>
      <c r="AS667" s="148"/>
      <c r="AT667" s="146"/>
      <c r="BE667" s="148"/>
      <c r="BF667" s="146"/>
      <c r="BL667" s="148"/>
      <c r="BM667" s="146"/>
      <c r="BP667" s="148"/>
      <c r="BQ667" s="146"/>
      <c r="BV667" s="148"/>
      <c r="BW667" s="146"/>
      <c r="CC667" s="146"/>
      <c r="CH667" s="148"/>
      <c r="CI667" s="146"/>
    </row>
    <row r="668">
      <c r="C668" s="146"/>
      <c r="I668" s="163"/>
      <c r="J668" s="163"/>
      <c r="K668" s="163"/>
      <c r="Q668" s="148"/>
      <c r="AF668" s="148"/>
      <c r="AG668" s="146"/>
      <c r="AK668" s="148"/>
      <c r="AL668" s="146"/>
      <c r="AO668" s="163"/>
      <c r="AP668" s="163"/>
      <c r="AS668" s="148"/>
      <c r="AT668" s="146"/>
      <c r="BE668" s="148"/>
      <c r="BF668" s="146"/>
      <c r="BL668" s="148"/>
      <c r="BM668" s="146"/>
      <c r="BP668" s="148"/>
      <c r="BQ668" s="146"/>
      <c r="BV668" s="148"/>
      <c r="BW668" s="146"/>
      <c r="CC668" s="146"/>
      <c r="CH668" s="148"/>
      <c r="CI668" s="146"/>
    </row>
    <row r="669">
      <c r="C669" s="146"/>
      <c r="I669" s="163"/>
      <c r="J669" s="163"/>
      <c r="K669" s="163"/>
      <c r="Q669" s="148"/>
      <c r="AF669" s="148"/>
      <c r="AG669" s="146"/>
      <c r="AK669" s="148"/>
      <c r="AL669" s="146"/>
      <c r="AO669" s="163"/>
      <c r="AP669" s="163"/>
      <c r="AS669" s="148"/>
      <c r="AT669" s="146"/>
      <c r="BE669" s="148"/>
      <c r="BF669" s="146"/>
      <c r="BL669" s="148"/>
      <c r="BM669" s="146"/>
      <c r="BP669" s="148"/>
      <c r="BQ669" s="146"/>
      <c r="BV669" s="148"/>
      <c r="BW669" s="146"/>
      <c r="CC669" s="146"/>
      <c r="CH669" s="148"/>
      <c r="CI669" s="146"/>
    </row>
    <row r="670">
      <c r="C670" s="146"/>
      <c r="I670" s="163"/>
      <c r="J670" s="163"/>
      <c r="K670" s="163"/>
      <c r="Q670" s="148"/>
      <c r="AF670" s="148"/>
      <c r="AG670" s="146"/>
      <c r="AK670" s="148"/>
      <c r="AL670" s="146"/>
      <c r="AO670" s="163"/>
      <c r="AP670" s="163"/>
      <c r="AS670" s="148"/>
      <c r="AT670" s="146"/>
      <c r="BE670" s="148"/>
      <c r="BF670" s="146"/>
      <c r="BL670" s="148"/>
      <c r="BM670" s="146"/>
      <c r="BP670" s="148"/>
      <c r="BQ670" s="146"/>
      <c r="BV670" s="148"/>
      <c r="BW670" s="146"/>
      <c r="CC670" s="146"/>
      <c r="CH670" s="148"/>
      <c r="CI670" s="146"/>
    </row>
    <row r="671">
      <c r="C671" s="146"/>
      <c r="I671" s="163"/>
      <c r="J671" s="163"/>
      <c r="K671" s="163"/>
      <c r="Q671" s="148"/>
      <c r="AF671" s="148"/>
      <c r="AG671" s="146"/>
      <c r="AK671" s="148"/>
      <c r="AL671" s="146"/>
      <c r="AO671" s="163"/>
      <c r="AP671" s="163"/>
      <c r="AS671" s="148"/>
      <c r="AT671" s="146"/>
      <c r="BE671" s="148"/>
      <c r="BF671" s="146"/>
      <c r="BL671" s="148"/>
      <c r="BM671" s="146"/>
      <c r="BP671" s="148"/>
      <c r="BQ671" s="146"/>
      <c r="BV671" s="148"/>
      <c r="BW671" s="146"/>
      <c r="CC671" s="146"/>
      <c r="CH671" s="148"/>
      <c r="CI671" s="146"/>
    </row>
    <row r="672">
      <c r="C672" s="146"/>
      <c r="I672" s="163"/>
      <c r="J672" s="163"/>
      <c r="K672" s="163"/>
      <c r="Q672" s="148"/>
      <c r="AF672" s="148"/>
      <c r="AG672" s="146"/>
      <c r="AK672" s="148"/>
      <c r="AL672" s="146"/>
      <c r="AO672" s="163"/>
      <c r="AP672" s="163"/>
      <c r="AS672" s="148"/>
      <c r="AT672" s="146"/>
      <c r="BE672" s="148"/>
      <c r="BF672" s="146"/>
      <c r="BL672" s="148"/>
      <c r="BM672" s="146"/>
      <c r="BP672" s="148"/>
      <c r="BQ672" s="146"/>
      <c r="BV672" s="148"/>
      <c r="BW672" s="146"/>
      <c r="CC672" s="146"/>
      <c r="CH672" s="148"/>
      <c r="CI672" s="146"/>
    </row>
    <row r="673">
      <c r="C673" s="146"/>
      <c r="I673" s="163"/>
      <c r="J673" s="163"/>
      <c r="K673" s="163"/>
      <c r="Q673" s="148"/>
      <c r="AF673" s="148"/>
      <c r="AG673" s="146"/>
      <c r="AK673" s="148"/>
      <c r="AL673" s="146"/>
      <c r="AO673" s="163"/>
      <c r="AP673" s="163"/>
      <c r="AS673" s="148"/>
      <c r="AT673" s="146"/>
      <c r="BE673" s="148"/>
      <c r="BF673" s="146"/>
      <c r="BL673" s="148"/>
      <c r="BM673" s="146"/>
      <c r="BP673" s="148"/>
      <c r="BQ673" s="146"/>
      <c r="BV673" s="148"/>
      <c r="BW673" s="146"/>
      <c r="CC673" s="146"/>
      <c r="CH673" s="148"/>
      <c r="CI673" s="146"/>
    </row>
    <row r="674">
      <c r="C674" s="146"/>
      <c r="I674" s="163"/>
      <c r="J674" s="163"/>
      <c r="K674" s="163"/>
      <c r="Q674" s="148"/>
      <c r="AF674" s="148"/>
      <c r="AG674" s="146"/>
      <c r="AK674" s="148"/>
      <c r="AL674" s="146"/>
      <c r="AO674" s="163"/>
      <c r="AP674" s="163"/>
      <c r="AS674" s="148"/>
      <c r="AT674" s="146"/>
      <c r="BE674" s="148"/>
      <c r="BF674" s="146"/>
      <c r="BL674" s="148"/>
      <c r="BM674" s="146"/>
      <c r="BP674" s="148"/>
      <c r="BQ674" s="146"/>
      <c r="BV674" s="148"/>
      <c r="BW674" s="146"/>
      <c r="CC674" s="146"/>
      <c r="CH674" s="148"/>
      <c r="CI674" s="146"/>
    </row>
    <row r="675">
      <c r="C675" s="146"/>
      <c r="I675" s="163"/>
      <c r="J675" s="163"/>
      <c r="K675" s="163"/>
      <c r="Q675" s="148"/>
      <c r="AF675" s="148"/>
      <c r="AG675" s="146"/>
      <c r="AK675" s="148"/>
      <c r="AL675" s="146"/>
      <c r="AO675" s="163"/>
      <c r="AP675" s="163"/>
      <c r="AS675" s="148"/>
      <c r="AT675" s="146"/>
      <c r="BE675" s="148"/>
      <c r="BF675" s="146"/>
      <c r="BL675" s="148"/>
      <c r="BM675" s="146"/>
      <c r="BP675" s="148"/>
      <c r="BQ675" s="146"/>
      <c r="BV675" s="148"/>
      <c r="BW675" s="146"/>
      <c r="CC675" s="146"/>
      <c r="CH675" s="148"/>
      <c r="CI675" s="146"/>
    </row>
    <row r="676">
      <c r="C676" s="146"/>
      <c r="I676" s="163"/>
      <c r="J676" s="163"/>
      <c r="K676" s="163"/>
      <c r="Q676" s="148"/>
      <c r="AF676" s="148"/>
      <c r="AG676" s="146"/>
      <c r="AK676" s="148"/>
      <c r="AL676" s="146"/>
      <c r="AO676" s="163"/>
      <c r="AP676" s="163"/>
      <c r="AS676" s="148"/>
      <c r="AT676" s="146"/>
      <c r="BE676" s="148"/>
      <c r="BF676" s="146"/>
      <c r="BL676" s="148"/>
      <c r="BM676" s="146"/>
      <c r="BP676" s="148"/>
      <c r="BQ676" s="146"/>
      <c r="BV676" s="148"/>
      <c r="BW676" s="146"/>
      <c r="CC676" s="146"/>
      <c r="CH676" s="148"/>
      <c r="CI676" s="146"/>
    </row>
    <row r="677">
      <c r="C677" s="146"/>
      <c r="I677" s="163"/>
      <c r="J677" s="163"/>
      <c r="K677" s="163"/>
      <c r="Q677" s="148"/>
      <c r="AF677" s="148"/>
      <c r="AG677" s="146"/>
      <c r="AK677" s="148"/>
      <c r="AL677" s="146"/>
      <c r="AO677" s="163"/>
      <c r="AP677" s="163"/>
      <c r="AS677" s="148"/>
      <c r="AT677" s="146"/>
      <c r="BE677" s="148"/>
      <c r="BF677" s="146"/>
      <c r="BL677" s="148"/>
      <c r="BM677" s="146"/>
      <c r="BP677" s="148"/>
      <c r="BQ677" s="146"/>
      <c r="BV677" s="148"/>
      <c r="BW677" s="146"/>
      <c r="CC677" s="146"/>
      <c r="CH677" s="148"/>
      <c r="CI677" s="146"/>
    </row>
    <row r="678">
      <c r="C678" s="146"/>
      <c r="I678" s="163"/>
      <c r="J678" s="163"/>
      <c r="K678" s="163"/>
      <c r="Q678" s="148"/>
      <c r="AF678" s="148"/>
      <c r="AG678" s="146"/>
      <c r="AK678" s="148"/>
      <c r="AL678" s="146"/>
      <c r="AO678" s="163"/>
      <c r="AP678" s="163"/>
      <c r="AS678" s="148"/>
      <c r="AT678" s="146"/>
      <c r="BE678" s="148"/>
      <c r="BF678" s="146"/>
      <c r="BL678" s="148"/>
      <c r="BM678" s="146"/>
      <c r="BP678" s="148"/>
      <c r="BQ678" s="146"/>
      <c r="BV678" s="148"/>
      <c r="BW678" s="146"/>
      <c r="CC678" s="146"/>
      <c r="CH678" s="148"/>
      <c r="CI678" s="146"/>
    </row>
    <row r="679">
      <c r="C679" s="146"/>
      <c r="I679" s="163"/>
      <c r="J679" s="163"/>
      <c r="K679" s="163"/>
      <c r="Q679" s="148"/>
      <c r="AF679" s="148"/>
      <c r="AG679" s="146"/>
      <c r="AK679" s="148"/>
      <c r="AL679" s="146"/>
      <c r="AO679" s="163"/>
      <c r="AP679" s="163"/>
      <c r="AS679" s="148"/>
      <c r="AT679" s="146"/>
      <c r="BE679" s="148"/>
      <c r="BF679" s="146"/>
      <c r="BL679" s="148"/>
      <c r="BM679" s="146"/>
      <c r="BP679" s="148"/>
      <c r="BQ679" s="146"/>
      <c r="BV679" s="148"/>
      <c r="BW679" s="146"/>
      <c r="CC679" s="146"/>
      <c r="CH679" s="148"/>
      <c r="CI679" s="146"/>
    </row>
    <row r="680">
      <c r="C680" s="146"/>
      <c r="I680" s="163"/>
      <c r="J680" s="163"/>
      <c r="K680" s="163"/>
      <c r="Q680" s="148"/>
      <c r="AF680" s="148"/>
      <c r="AG680" s="146"/>
      <c r="AK680" s="148"/>
      <c r="AL680" s="146"/>
      <c r="AO680" s="163"/>
      <c r="AP680" s="163"/>
      <c r="AS680" s="148"/>
      <c r="AT680" s="146"/>
      <c r="BE680" s="148"/>
      <c r="BF680" s="146"/>
      <c r="BL680" s="148"/>
      <c r="BM680" s="146"/>
      <c r="BP680" s="148"/>
      <c r="BQ680" s="146"/>
      <c r="BV680" s="148"/>
      <c r="BW680" s="146"/>
      <c r="CC680" s="146"/>
      <c r="CH680" s="148"/>
      <c r="CI680" s="146"/>
    </row>
    <row r="681">
      <c r="C681" s="146"/>
      <c r="I681" s="163"/>
      <c r="J681" s="163"/>
      <c r="K681" s="163"/>
      <c r="Q681" s="148"/>
      <c r="AF681" s="148"/>
      <c r="AG681" s="146"/>
      <c r="AK681" s="148"/>
      <c r="AL681" s="146"/>
      <c r="AO681" s="163"/>
      <c r="AP681" s="163"/>
      <c r="AS681" s="148"/>
      <c r="AT681" s="146"/>
      <c r="BE681" s="148"/>
      <c r="BF681" s="146"/>
      <c r="BL681" s="148"/>
      <c r="BM681" s="146"/>
      <c r="BP681" s="148"/>
      <c r="BQ681" s="146"/>
      <c r="BV681" s="148"/>
      <c r="BW681" s="146"/>
      <c r="CC681" s="146"/>
      <c r="CH681" s="148"/>
      <c r="CI681" s="146"/>
    </row>
    <row r="682">
      <c r="C682" s="146"/>
      <c r="I682" s="163"/>
      <c r="J682" s="163"/>
      <c r="K682" s="163"/>
      <c r="Q682" s="148"/>
      <c r="AF682" s="148"/>
      <c r="AG682" s="146"/>
      <c r="AK682" s="148"/>
      <c r="AL682" s="146"/>
      <c r="AO682" s="163"/>
      <c r="AP682" s="163"/>
      <c r="AS682" s="148"/>
      <c r="AT682" s="146"/>
      <c r="BE682" s="148"/>
      <c r="BF682" s="146"/>
      <c r="BL682" s="148"/>
      <c r="BM682" s="146"/>
      <c r="BP682" s="148"/>
      <c r="BQ682" s="146"/>
      <c r="BV682" s="148"/>
      <c r="BW682" s="146"/>
      <c r="CC682" s="146"/>
      <c r="CH682" s="148"/>
      <c r="CI682" s="146"/>
    </row>
    <row r="683">
      <c r="C683" s="146"/>
      <c r="I683" s="163"/>
      <c r="J683" s="163"/>
      <c r="K683" s="163"/>
      <c r="Q683" s="148"/>
      <c r="AF683" s="148"/>
      <c r="AG683" s="146"/>
      <c r="AK683" s="148"/>
      <c r="AL683" s="146"/>
      <c r="AO683" s="163"/>
      <c r="AP683" s="163"/>
      <c r="AS683" s="148"/>
      <c r="AT683" s="146"/>
      <c r="BE683" s="148"/>
      <c r="BF683" s="146"/>
      <c r="BL683" s="148"/>
      <c r="BM683" s="146"/>
      <c r="BP683" s="148"/>
      <c r="BQ683" s="146"/>
      <c r="BV683" s="148"/>
      <c r="BW683" s="146"/>
      <c r="CC683" s="146"/>
      <c r="CH683" s="148"/>
      <c r="CI683" s="146"/>
    </row>
    <row r="684">
      <c r="C684" s="146"/>
      <c r="I684" s="163"/>
      <c r="J684" s="163"/>
      <c r="K684" s="163"/>
      <c r="Q684" s="148"/>
      <c r="AF684" s="148"/>
      <c r="AG684" s="146"/>
      <c r="AK684" s="148"/>
      <c r="AL684" s="146"/>
      <c r="AO684" s="163"/>
      <c r="AP684" s="163"/>
      <c r="AS684" s="148"/>
      <c r="AT684" s="146"/>
      <c r="BE684" s="148"/>
      <c r="BF684" s="146"/>
      <c r="BL684" s="148"/>
      <c r="BM684" s="146"/>
      <c r="BP684" s="148"/>
      <c r="BQ684" s="146"/>
      <c r="BV684" s="148"/>
      <c r="BW684" s="146"/>
      <c r="CC684" s="146"/>
      <c r="CH684" s="148"/>
      <c r="CI684" s="146"/>
    </row>
    <row r="685">
      <c r="C685" s="146"/>
      <c r="I685" s="163"/>
      <c r="J685" s="163"/>
      <c r="K685" s="163"/>
      <c r="Q685" s="148"/>
      <c r="AF685" s="148"/>
      <c r="AG685" s="146"/>
      <c r="AK685" s="148"/>
      <c r="AL685" s="146"/>
      <c r="AO685" s="163"/>
      <c r="AP685" s="163"/>
      <c r="AS685" s="148"/>
      <c r="AT685" s="146"/>
      <c r="BE685" s="148"/>
      <c r="BF685" s="146"/>
      <c r="BL685" s="148"/>
      <c r="BM685" s="146"/>
      <c r="BP685" s="148"/>
      <c r="BQ685" s="146"/>
      <c r="BV685" s="148"/>
      <c r="BW685" s="146"/>
      <c r="CC685" s="146"/>
      <c r="CH685" s="148"/>
      <c r="CI685" s="146"/>
    </row>
    <row r="686">
      <c r="C686" s="146"/>
      <c r="I686" s="163"/>
      <c r="J686" s="163"/>
      <c r="K686" s="163"/>
      <c r="Q686" s="148"/>
      <c r="AF686" s="148"/>
      <c r="AG686" s="146"/>
      <c r="AK686" s="148"/>
      <c r="AL686" s="146"/>
      <c r="AO686" s="163"/>
      <c r="AP686" s="163"/>
      <c r="AS686" s="148"/>
      <c r="AT686" s="146"/>
      <c r="BE686" s="148"/>
      <c r="BF686" s="146"/>
      <c r="BL686" s="148"/>
      <c r="BM686" s="146"/>
      <c r="BP686" s="148"/>
      <c r="BQ686" s="146"/>
      <c r="BV686" s="148"/>
      <c r="BW686" s="146"/>
      <c r="CC686" s="146"/>
      <c r="CH686" s="148"/>
      <c r="CI686" s="146"/>
    </row>
    <row r="687">
      <c r="C687" s="146"/>
      <c r="I687" s="163"/>
      <c r="J687" s="163"/>
      <c r="K687" s="163"/>
      <c r="Q687" s="148"/>
      <c r="AF687" s="148"/>
      <c r="AG687" s="146"/>
      <c r="AK687" s="148"/>
      <c r="AL687" s="146"/>
      <c r="AO687" s="163"/>
      <c r="AP687" s="163"/>
      <c r="AS687" s="148"/>
      <c r="AT687" s="146"/>
      <c r="BE687" s="148"/>
      <c r="BF687" s="146"/>
      <c r="BL687" s="148"/>
      <c r="BM687" s="146"/>
      <c r="BP687" s="148"/>
      <c r="BQ687" s="146"/>
      <c r="BV687" s="148"/>
      <c r="BW687" s="146"/>
      <c r="CC687" s="146"/>
      <c r="CH687" s="148"/>
      <c r="CI687" s="146"/>
    </row>
    <row r="688">
      <c r="C688" s="146"/>
      <c r="I688" s="163"/>
      <c r="J688" s="163"/>
      <c r="K688" s="163"/>
      <c r="Q688" s="148"/>
      <c r="AF688" s="148"/>
      <c r="AG688" s="146"/>
      <c r="AK688" s="148"/>
      <c r="AL688" s="146"/>
      <c r="AO688" s="163"/>
      <c r="AP688" s="163"/>
      <c r="AS688" s="148"/>
      <c r="AT688" s="146"/>
      <c r="BE688" s="148"/>
      <c r="BF688" s="146"/>
      <c r="BL688" s="148"/>
      <c r="BM688" s="146"/>
      <c r="BP688" s="148"/>
      <c r="BQ688" s="146"/>
      <c r="BV688" s="148"/>
      <c r="BW688" s="146"/>
      <c r="CC688" s="146"/>
      <c r="CH688" s="148"/>
      <c r="CI688" s="146"/>
    </row>
    <row r="689">
      <c r="C689" s="146"/>
      <c r="I689" s="163"/>
      <c r="J689" s="163"/>
      <c r="K689" s="163"/>
      <c r="Q689" s="148"/>
      <c r="AF689" s="148"/>
      <c r="AG689" s="146"/>
      <c r="AK689" s="148"/>
      <c r="AL689" s="146"/>
      <c r="AO689" s="163"/>
      <c r="AP689" s="163"/>
      <c r="AS689" s="148"/>
      <c r="AT689" s="146"/>
      <c r="BE689" s="148"/>
      <c r="BF689" s="146"/>
      <c r="BL689" s="148"/>
      <c r="BM689" s="146"/>
      <c r="BP689" s="148"/>
      <c r="BQ689" s="146"/>
      <c r="BV689" s="148"/>
      <c r="BW689" s="146"/>
      <c r="CC689" s="146"/>
      <c r="CH689" s="148"/>
      <c r="CI689" s="146"/>
    </row>
    <row r="690">
      <c r="C690" s="146"/>
      <c r="I690" s="163"/>
      <c r="J690" s="163"/>
      <c r="K690" s="163"/>
      <c r="Q690" s="148"/>
      <c r="AF690" s="148"/>
      <c r="AG690" s="146"/>
      <c r="AK690" s="148"/>
      <c r="AL690" s="146"/>
      <c r="AO690" s="163"/>
      <c r="AP690" s="163"/>
      <c r="AS690" s="148"/>
      <c r="AT690" s="146"/>
      <c r="BE690" s="148"/>
      <c r="BF690" s="146"/>
      <c r="BL690" s="148"/>
      <c r="BM690" s="146"/>
      <c r="BP690" s="148"/>
      <c r="BQ690" s="146"/>
      <c r="BV690" s="148"/>
      <c r="BW690" s="146"/>
      <c r="CC690" s="146"/>
      <c r="CH690" s="148"/>
      <c r="CI690" s="146"/>
    </row>
    <row r="691">
      <c r="C691" s="146"/>
      <c r="I691" s="163"/>
      <c r="J691" s="163"/>
      <c r="K691" s="163"/>
      <c r="Q691" s="148"/>
      <c r="AF691" s="148"/>
      <c r="AG691" s="146"/>
      <c r="AK691" s="148"/>
      <c r="AL691" s="146"/>
      <c r="AO691" s="163"/>
      <c r="AP691" s="163"/>
      <c r="AS691" s="148"/>
      <c r="AT691" s="146"/>
      <c r="BE691" s="148"/>
      <c r="BF691" s="146"/>
      <c r="BL691" s="148"/>
      <c r="BM691" s="146"/>
      <c r="BP691" s="148"/>
      <c r="BQ691" s="146"/>
      <c r="BV691" s="148"/>
      <c r="BW691" s="146"/>
      <c r="CC691" s="146"/>
      <c r="CH691" s="148"/>
      <c r="CI691" s="146"/>
    </row>
    <row r="692">
      <c r="C692" s="146"/>
      <c r="I692" s="163"/>
      <c r="J692" s="163"/>
      <c r="K692" s="163"/>
      <c r="Q692" s="148"/>
      <c r="AF692" s="148"/>
      <c r="AG692" s="146"/>
      <c r="AK692" s="148"/>
      <c r="AL692" s="146"/>
      <c r="AO692" s="163"/>
      <c r="AP692" s="163"/>
      <c r="AS692" s="148"/>
      <c r="AT692" s="146"/>
      <c r="BE692" s="148"/>
      <c r="BF692" s="146"/>
      <c r="BL692" s="148"/>
      <c r="BM692" s="146"/>
      <c r="BP692" s="148"/>
      <c r="BQ692" s="146"/>
      <c r="BV692" s="148"/>
      <c r="BW692" s="146"/>
      <c r="CC692" s="146"/>
      <c r="CH692" s="148"/>
      <c r="CI692" s="146"/>
    </row>
    <row r="693">
      <c r="C693" s="146"/>
      <c r="I693" s="163"/>
      <c r="J693" s="163"/>
      <c r="K693" s="163"/>
      <c r="Q693" s="148"/>
      <c r="AF693" s="148"/>
      <c r="AG693" s="146"/>
      <c r="AK693" s="148"/>
      <c r="AL693" s="146"/>
      <c r="AO693" s="163"/>
      <c r="AP693" s="163"/>
      <c r="AS693" s="148"/>
      <c r="AT693" s="146"/>
      <c r="BE693" s="148"/>
      <c r="BF693" s="146"/>
      <c r="BL693" s="148"/>
      <c r="BM693" s="146"/>
      <c r="BP693" s="148"/>
      <c r="BQ693" s="146"/>
      <c r="BV693" s="148"/>
      <c r="BW693" s="146"/>
      <c r="CC693" s="146"/>
      <c r="CH693" s="148"/>
      <c r="CI693" s="146"/>
    </row>
    <row r="694">
      <c r="C694" s="146"/>
      <c r="I694" s="163"/>
      <c r="J694" s="163"/>
      <c r="K694" s="163"/>
      <c r="Q694" s="148"/>
      <c r="AF694" s="148"/>
      <c r="AG694" s="146"/>
      <c r="AK694" s="148"/>
      <c r="AL694" s="146"/>
      <c r="AO694" s="163"/>
      <c r="AP694" s="163"/>
      <c r="AS694" s="148"/>
      <c r="AT694" s="146"/>
      <c r="BE694" s="148"/>
      <c r="BF694" s="146"/>
      <c r="BL694" s="148"/>
      <c r="BM694" s="146"/>
      <c r="BP694" s="148"/>
      <c r="BQ694" s="146"/>
      <c r="BV694" s="148"/>
      <c r="BW694" s="146"/>
      <c r="CC694" s="146"/>
      <c r="CH694" s="148"/>
      <c r="CI694" s="146"/>
    </row>
    <row r="695">
      <c r="C695" s="146"/>
      <c r="I695" s="163"/>
      <c r="J695" s="163"/>
      <c r="K695" s="163"/>
      <c r="Q695" s="148"/>
      <c r="AF695" s="148"/>
      <c r="AG695" s="146"/>
      <c r="AK695" s="148"/>
      <c r="AL695" s="146"/>
      <c r="AO695" s="163"/>
      <c r="AP695" s="163"/>
      <c r="AS695" s="148"/>
      <c r="AT695" s="146"/>
      <c r="BE695" s="148"/>
      <c r="BF695" s="146"/>
      <c r="BL695" s="148"/>
      <c r="BM695" s="146"/>
      <c r="BP695" s="148"/>
      <c r="BQ695" s="146"/>
      <c r="BV695" s="148"/>
      <c r="BW695" s="146"/>
      <c r="CC695" s="146"/>
      <c r="CH695" s="148"/>
      <c r="CI695" s="146"/>
    </row>
    <row r="696">
      <c r="C696" s="146"/>
      <c r="I696" s="163"/>
      <c r="J696" s="163"/>
      <c r="K696" s="163"/>
      <c r="Q696" s="148"/>
      <c r="AF696" s="148"/>
      <c r="AG696" s="146"/>
      <c r="AK696" s="148"/>
      <c r="AL696" s="146"/>
      <c r="AO696" s="163"/>
      <c r="AP696" s="163"/>
      <c r="AS696" s="148"/>
      <c r="AT696" s="146"/>
      <c r="BE696" s="148"/>
      <c r="BF696" s="146"/>
      <c r="BL696" s="148"/>
      <c r="BM696" s="146"/>
      <c r="BP696" s="148"/>
      <c r="BQ696" s="146"/>
      <c r="BV696" s="148"/>
      <c r="BW696" s="146"/>
      <c r="CC696" s="146"/>
      <c r="CH696" s="148"/>
      <c r="CI696" s="146"/>
    </row>
    <row r="697">
      <c r="C697" s="146"/>
      <c r="I697" s="163"/>
      <c r="J697" s="163"/>
      <c r="K697" s="163"/>
      <c r="Q697" s="148"/>
      <c r="AF697" s="148"/>
      <c r="AG697" s="146"/>
      <c r="AK697" s="148"/>
      <c r="AL697" s="146"/>
      <c r="AO697" s="163"/>
      <c r="AP697" s="163"/>
      <c r="AS697" s="148"/>
      <c r="AT697" s="146"/>
      <c r="BE697" s="148"/>
      <c r="BF697" s="146"/>
      <c r="BL697" s="148"/>
      <c r="BM697" s="146"/>
      <c r="BP697" s="148"/>
      <c r="BQ697" s="146"/>
      <c r="BV697" s="148"/>
      <c r="BW697" s="146"/>
      <c r="CC697" s="146"/>
      <c r="CH697" s="148"/>
      <c r="CI697" s="146"/>
    </row>
    <row r="698">
      <c r="C698" s="146"/>
      <c r="I698" s="163"/>
      <c r="J698" s="163"/>
      <c r="K698" s="163"/>
      <c r="Q698" s="148"/>
      <c r="AF698" s="148"/>
      <c r="AG698" s="146"/>
      <c r="AK698" s="148"/>
      <c r="AL698" s="146"/>
      <c r="AO698" s="163"/>
      <c r="AP698" s="163"/>
      <c r="AS698" s="148"/>
      <c r="AT698" s="146"/>
      <c r="BE698" s="148"/>
      <c r="BF698" s="146"/>
      <c r="BL698" s="148"/>
      <c r="BM698" s="146"/>
      <c r="BP698" s="148"/>
      <c r="BQ698" s="146"/>
      <c r="BV698" s="148"/>
      <c r="BW698" s="146"/>
      <c r="CC698" s="146"/>
      <c r="CH698" s="148"/>
      <c r="CI698" s="146"/>
    </row>
    <row r="699">
      <c r="C699" s="146"/>
      <c r="I699" s="163"/>
      <c r="J699" s="163"/>
      <c r="K699" s="163"/>
      <c r="Q699" s="148"/>
      <c r="AF699" s="148"/>
      <c r="AG699" s="146"/>
      <c r="AK699" s="148"/>
      <c r="AL699" s="146"/>
      <c r="AO699" s="163"/>
      <c r="AP699" s="163"/>
      <c r="AS699" s="148"/>
      <c r="AT699" s="146"/>
      <c r="BE699" s="148"/>
      <c r="BF699" s="146"/>
      <c r="BL699" s="148"/>
      <c r="BM699" s="146"/>
      <c r="BP699" s="148"/>
      <c r="BQ699" s="146"/>
      <c r="BV699" s="148"/>
      <c r="BW699" s="146"/>
      <c r="CC699" s="146"/>
      <c r="CH699" s="148"/>
      <c r="CI699" s="146"/>
    </row>
    <row r="700">
      <c r="C700" s="146"/>
      <c r="I700" s="163"/>
      <c r="J700" s="163"/>
      <c r="K700" s="163"/>
      <c r="Q700" s="148"/>
      <c r="AF700" s="148"/>
      <c r="AG700" s="146"/>
      <c r="AK700" s="148"/>
      <c r="AL700" s="146"/>
      <c r="AO700" s="163"/>
      <c r="AP700" s="163"/>
      <c r="AS700" s="148"/>
      <c r="AT700" s="146"/>
      <c r="BE700" s="148"/>
      <c r="BF700" s="146"/>
      <c r="BL700" s="148"/>
      <c r="BM700" s="146"/>
      <c r="BP700" s="148"/>
      <c r="BQ700" s="146"/>
      <c r="BV700" s="148"/>
      <c r="BW700" s="146"/>
      <c r="CC700" s="146"/>
      <c r="CH700" s="148"/>
      <c r="CI700" s="146"/>
    </row>
    <row r="701">
      <c r="C701" s="146"/>
      <c r="I701" s="163"/>
      <c r="J701" s="163"/>
      <c r="K701" s="163"/>
      <c r="Q701" s="148"/>
      <c r="AF701" s="148"/>
      <c r="AG701" s="146"/>
      <c r="AK701" s="148"/>
      <c r="AL701" s="146"/>
      <c r="AO701" s="163"/>
      <c r="AP701" s="163"/>
      <c r="AS701" s="148"/>
      <c r="AT701" s="146"/>
      <c r="BE701" s="148"/>
      <c r="BF701" s="146"/>
      <c r="BL701" s="148"/>
      <c r="BM701" s="146"/>
      <c r="BP701" s="148"/>
      <c r="BQ701" s="146"/>
      <c r="BV701" s="148"/>
      <c r="BW701" s="146"/>
      <c r="CC701" s="146"/>
      <c r="CH701" s="148"/>
      <c r="CI701" s="146"/>
    </row>
    <row r="702">
      <c r="C702" s="146"/>
      <c r="I702" s="163"/>
      <c r="J702" s="163"/>
      <c r="K702" s="163"/>
      <c r="Q702" s="148"/>
      <c r="AF702" s="148"/>
      <c r="AG702" s="146"/>
      <c r="AK702" s="148"/>
      <c r="AL702" s="146"/>
      <c r="AO702" s="163"/>
      <c r="AP702" s="163"/>
      <c r="AS702" s="148"/>
      <c r="AT702" s="146"/>
      <c r="BE702" s="148"/>
      <c r="BF702" s="146"/>
      <c r="BL702" s="148"/>
      <c r="BM702" s="146"/>
      <c r="BP702" s="148"/>
      <c r="BQ702" s="146"/>
      <c r="BV702" s="148"/>
      <c r="BW702" s="146"/>
      <c r="CC702" s="146"/>
      <c r="CH702" s="148"/>
      <c r="CI702" s="146"/>
    </row>
    <row r="703">
      <c r="C703" s="146"/>
      <c r="I703" s="163"/>
      <c r="J703" s="163"/>
      <c r="K703" s="163"/>
      <c r="Q703" s="148"/>
      <c r="AF703" s="148"/>
      <c r="AG703" s="146"/>
      <c r="AK703" s="148"/>
      <c r="AL703" s="146"/>
      <c r="AO703" s="163"/>
      <c r="AP703" s="163"/>
      <c r="AS703" s="148"/>
      <c r="AT703" s="146"/>
      <c r="BE703" s="148"/>
      <c r="BF703" s="146"/>
      <c r="BL703" s="148"/>
      <c r="BM703" s="146"/>
      <c r="BP703" s="148"/>
      <c r="BQ703" s="146"/>
      <c r="BV703" s="148"/>
      <c r="BW703" s="146"/>
      <c r="CC703" s="146"/>
      <c r="CH703" s="148"/>
      <c r="CI703" s="146"/>
    </row>
    <row r="704">
      <c r="C704" s="146"/>
      <c r="I704" s="163"/>
      <c r="J704" s="163"/>
      <c r="K704" s="163"/>
      <c r="Q704" s="148"/>
      <c r="AF704" s="148"/>
      <c r="AG704" s="146"/>
      <c r="AK704" s="148"/>
      <c r="AL704" s="146"/>
      <c r="AO704" s="163"/>
      <c r="AP704" s="163"/>
      <c r="AS704" s="148"/>
      <c r="AT704" s="146"/>
      <c r="BE704" s="148"/>
      <c r="BF704" s="146"/>
      <c r="BL704" s="148"/>
      <c r="BM704" s="146"/>
      <c r="BP704" s="148"/>
      <c r="BQ704" s="146"/>
      <c r="BV704" s="148"/>
      <c r="BW704" s="146"/>
      <c r="CC704" s="146"/>
      <c r="CH704" s="148"/>
      <c r="CI704" s="146"/>
    </row>
    <row r="705">
      <c r="C705" s="146"/>
      <c r="I705" s="163"/>
      <c r="J705" s="163"/>
      <c r="K705" s="163"/>
      <c r="Q705" s="148"/>
      <c r="AF705" s="148"/>
      <c r="AG705" s="146"/>
      <c r="AK705" s="148"/>
      <c r="AL705" s="146"/>
      <c r="AO705" s="163"/>
      <c r="AP705" s="163"/>
      <c r="AS705" s="148"/>
      <c r="AT705" s="146"/>
      <c r="BE705" s="148"/>
      <c r="BF705" s="146"/>
      <c r="BL705" s="148"/>
      <c r="BM705" s="146"/>
      <c r="BP705" s="148"/>
      <c r="BQ705" s="146"/>
      <c r="BV705" s="148"/>
      <c r="BW705" s="146"/>
      <c r="CC705" s="146"/>
      <c r="CH705" s="148"/>
      <c r="CI705" s="146"/>
    </row>
    <row r="706">
      <c r="C706" s="146"/>
      <c r="I706" s="163"/>
      <c r="J706" s="163"/>
      <c r="K706" s="163"/>
      <c r="Q706" s="148"/>
      <c r="AF706" s="148"/>
      <c r="AG706" s="146"/>
      <c r="AK706" s="148"/>
      <c r="AL706" s="146"/>
      <c r="AO706" s="163"/>
      <c r="AP706" s="163"/>
      <c r="AS706" s="148"/>
      <c r="AT706" s="146"/>
      <c r="BE706" s="148"/>
      <c r="BF706" s="146"/>
      <c r="BL706" s="148"/>
      <c r="BM706" s="146"/>
      <c r="BP706" s="148"/>
      <c r="BQ706" s="146"/>
      <c r="BV706" s="148"/>
      <c r="BW706" s="146"/>
      <c r="CC706" s="146"/>
      <c r="CH706" s="148"/>
      <c r="CI706" s="146"/>
    </row>
    <row r="707">
      <c r="C707" s="146"/>
      <c r="I707" s="163"/>
      <c r="J707" s="163"/>
      <c r="K707" s="163"/>
      <c r="Q707" s="148"/>
      <c r="AF707" s="148"/>
      <c r="AG707" s="146"/>
      <c r="AK707" s="148"/>
      <c r="AL707" s="146"/>
      <c r="AO707" s="163"/>
      <c r="AP707" s="163"/>
      <c r="AS707" s="148"/>
      <c r="AT707" s="146"/>
      <c r="BE707" s="148"/>
      <c r="BF707" s="146"/>
      <c r="BL707" s="148"/>
      <c r="BM707" s="146"/>
      <c r="BP707" s="148"/>
      <c r="BQ707" s="146"/>
      <c r="BV707" s="148"/>
      <c r="BW707" s="146"/>
      <c r="CC707" s="146"/>
      <c r="CH707" s="148"/>
      <c r="CI707" s="146"/>
    </row>
    <row r="708">
      <c r="C708" s="146"/>
      <c r="I708" s="163"/>
      <c r="J708" s="163"/>
      <c r="K708" s="163"/>
      <c r="Q708" s="148"/>
      <c r="AF708" s="148"/>
      <c r="AG708" s="146"/>
      <c r="AK708" s="148"/>
      <c r="AL708" s="146"/>
      <c r="AO708" s="163"/>
      <c r="AP708" s="163"/>
      <c r="AS708" s="148"/>
      <c r="AT708" s="146"/>
      <c r="BE708" s="148"/>
      <c r="BF708" s="146"/>
      <c r="BL708" s="148"/>
      <c r="BM708" s="146"/>
      <c r="BP708" s="148"/>
      <c r="BQ708" s="146"/>
      <c r="BV708" s="148"/>
      <c r="BW708" s="146"/>
      <c r="CC708" s="146"/>
      <c r="CH708" s="148"/>
      <c r="CI708" s="146"/>
    </row>
    <row r="709">
      <c r="C709" s="146"/>
      <c r="I709" s="163"/>
      <c r="J709" s="163"/>
      <c r="K709" s="163"/>
      <c r="Q709" s="148"/>
      <c r="AF709" s="148"/>
      <c r="AG709" s="146"/>
      <c r="AK709" s="148"/>
      <c r="AL709" s="146"/>
      <c r="AO709" s="163"/>
      <c r="AP709" s="163"/>
      <c r="AS709" s="148"/>
      <c r="AT709" s="146"/>
      <c r="BE709" s="148"/>
      <c r="BF709" s="146"/>
      <c r="BL709" s="148"/>
      <c r="BM709" s="146"/>
      <c r="BP709" s="148"/>
      <c r="BQ709" s="146"/>
      <c r="BV709" s="148"/>
      <c r="BW709" s="146"/>
      <c r="CC709" s="146"/>
      <c r="CH709" s="148"/>
      <c r="CI709" s="146"/>
    </row>
    <row r="710">
      <c r="C710" s="146"/>
      <c r="I710" s="163"/>
      <c r="J710" s="163"/>
      <c r="K710" s="163"/>
      <c r="Q710" s="148"/>
      <c r="AF710" s="148"/>
      <c r="AG710" s="146"/>
      <c r="AK710" s="148"/>
      <c r="AL710" s="146"/>
      <c r="AO710" s="163"/>
      <c r="AP710" s="163"/>
      <c r="AS710" s="148"/>
      <c r="AT710" s="146"/>
      <c r="BE710" s="148"/>
      <c r="BF710" s="146"/>
      <c r="BL710" s="148"/>
      <c r="BM710" s="146"/>
      <c r="BP710" s="148"/>
      <c r="BQ710" s="146"/>
      <c r="BV710" s="148"/>
      <c r="BW710" s="146"/>
      <c r="CC710" s="146"/>
      <c r="CH710" s="148"/>
      <c r="CI710" s="146"/>
    </row>
    <row r="711">
      <c r="C711" s="146"/>
      <c r="I711" s="163"/>
      <c r="J711" s="163"/>
      <c r="K711" s="163"/>
      <c r="Q711" s="148"/>
      <c r="AF711" s="148"/>
      <c r="AG711" s="146"/>
      <c r="AK711" s="148"/>
      <c r="AL711" s="146"/>
      <c r="AO711" s="163"/>
      <c r="AP711" s="163"/>
      <c r="AS711" s="148"/>
      <c r="AT711" s="146"/>
      <c r="BE711" s="148"/>
      <c r="BF711" s="146"/>
      <c r="BL711" s="148"/>
      <c r="BM711" s="146"/>
      <c r="BP711" s="148"/>
      <c r="BQ711" s="146"/>
      <c r="BV711" s="148"/>
      <c r="BW711" s="146"/>
      <c r="CC711" s="146"/>
      <c r="CH711" s="148"/>
      <c r="CI711" s="146"/>
    </row>
    <row r="712">
      <c r="C712" s="146"/>
      <c r="I712" s="163"/>
      <c r="J712" s="163"/>
      <c r="K712" s="163"/>
      <c r="Q712" s="148"/>
      <c r="AF712" s="148"/>
      <c r="AG712" s="146"/>
      <c r="AK712" s="148"/>
      <c r="AL712" s="146"/>
      <c r="AO712" s="163"/>
      <c r="AP712" s="163"/>
      <c r="AS712" s="148"/>
      <c r="AT712" s="146"/>
      <c r="BE712" s="148"/>
      <c r="BF712" s="146"/>
      <c r="BL712" s="148"/>
      <c r="BM712" s="146"/>
      <c r="BP712" s="148"/>
      <c r="BQ712" s="146"/>
      <c r="BV712" s="148"/>
      <c r="BW712" s="146"/>
      <c r="CC712" s="146"/>
      <c r="CH712" s="148"/>
      <c r="CI712" s="146"/>
    </row>
    <row r="713">
      <c r="C713" s="146"/>
      <c r="I713" s="163"/>
      <c r="J713" s="163"/>
      <c r="K713" s="163"/>
      <c r="Q713" s="148"/>
      <c r="AF713" s="148"/>
      <c r="AG713" s="146"/>
      <c r="AK713" s="148"/>
      <c r="AL713" s="146"/>
      <c r="AO713" s="163"/>
      <c r="AP713" s="163"/>
      <c r="AS713" s="148"/>
      <c r="AT713" s="146"/>
      <c r="BE713" s="148"/>
      <c r="BF713" s="146"/>
      <c r="BL713" s="148"/>
      <c r="BM713" s="146"/>
      <c r="BP713" s="148"/>
      <c r="BQ713" s="146"/>
      <c r="BV713" s="148"/>
      <c r="BW713" s="146"/>
      <c r="CC713" s="146"/>
      <c r="CH713" s="148"/>
      <c r="CI713" s="146"/>
    </row>
    <row r="714">
      <c r="C714" s="146"/>
      <c r="I714" s="163"/>
      <c r="J714" s="163"/>
      <c r="K714" s="163"/>
      <c r="Q714" s="148"/>
      <c r="AF714" s="148"/>
      <c r="AG714" s="146"/>
      <c r="AK714" s="148"/>
      <c r="AL714" s="146"/>
      <c r="AO714" s="163"/>
      <c r="AP714" s="163"/>
      <c r="AS714" s="148"/>
      <c r="AT714" s="146"/>
      <c r="BE714" s="148"/>
      <c r="BF714" s="146"/>
      <c r="BL714" s="148"/>
      <c r="BM714" s="146"/>
      <c r="BP714" s="148"/>
      <c r="BQ714" s="146"/>
      <c r="BV714" s="148"/>
      <c r="BW714" s="146"/>
      <c r="CC714" s="146"/>
      <c r="CH714" s="148"/>
      <c r="CI714" s="146"/>
    </row>
    <row r="715">
      <c r="C715" s="146"/>
      <c r="I715" s="163"/>
      <c r="J715" s="163"/>
      <c r="K715" s="163"/>
      <c r="Q715" s="148"/>
      <c r="AF715" s="148"/>
      <c r="AG715" s="146"/>
      <c r="AK715" s="148"/>
      <c r="AL715" s="146"/>
      <c r="AO715" s="163"/>
      <c r="AP715" s="163"/>
      <c r="AS715" s="148"/>
      <c r="AT715" s="146"/>
      <c r="BE715" s="148"/>
      <c r="BF715" s="146"/>
      <c r="BL715" s="148"/>
      <c r="BM715" s="146"/>
      <c r="BP715" s="148"/>
      <c r="BQ715" s="146"/>
      <c r="BV715" s="148"/>
      <c r="BW715" s="146"/>
      <c r="CC715" s="146"/>
      <c r="CH715" s="148"/>
      <c r="CI715" s="146"/>
    </row>
    <row r="716">
      <c r="C716" s="146"/>
      <c r="I716" s="163"/>
      <c r="J716" s="163"/>
      <c r="K716" s="163"/>
      <c r="Q716" s="148"/>
      <c r="AF716" s="148"/>
      <c r="AG716" s="146"/>
      <c r="AK716" s="148"/>
      <c r="AL716" s="146"/>
      <c r="AO716" s="163"/>
      <c r="AP716" s="163"/>
      <c r="AS716" s="148"/>
      <c r="AT716" s="146"/>
      <c r="BE716" s="148"/>
      <c r="BF716" s="146"/>
      <c r="BL716" s="148"/>
      <c r="BM716" s="146"/>
      <c r="BP716" s="148"/>
      <c r="BQ716" s="146"/>
      <c r="BV716" s="148"/>
      <c r="BW716" s="146"/>
      <c r="CC716" s="146"/>
      <c r="CH716" s="148"/>
      <c r="CI716" s="146"/>
    </row>
    <row r="717">
      <c r="C717" s="146"/>
      <c r="I717" s="163"/>
      <c r="J717" s="163"/>
      <c r="K717" s="163"/>
      <c r="Q717" s="148"/>
      <c r="AF717" s="148"/>
      <c r="AG717" s="146"/>
      <c r="AK717" s="148"/>
      <c r="AL717" s="146"/>
      <c r="AO717" s="163"/>
      <c r="AP717" s="163"/>
      <c r="AS717" s="148"/>
      <c r="AT717" s="146"/>
      <c r="BE717" s="148"/>
      <c r="BF717" s="146"/>
      <c r="BL717" s="148"/>
      <c r="BM717" s="146"/>
      <c r="BP717" s="148"/>
      <c r="BQ717" s="146"/>
      <c r="BV717" s="148"/>
      <c r="BW717" s="146"/>
      <c r="CC717" s="146"/>
      <c r="CH717" s="148"/>
      <c r="CI717" s="146"/>
    </row>
    <row r="718">
      <c r="C718" s="146"/>
      <c r="I718" s="163"/>
      <c r="J718" s="163"/>
      <c r="K718" s="163"/>
      <c r="Q718" s="148"/>
      <c r="AF718" s="148"/>
      <c r="AG718" s="146"/>
      <c r="AK718" s="148"/>
      <c r="AL718" s="146"/>
      <c r="AO718" s="163"/>
      <c r="AP718" s="163"/>
      <c r="AS718" s="148"/>
      <c r="AT718" s="146"/>
      <c r="BE718" s="148"/>
      <c r="BF718" s="146"/>
      <c r="BL718" s="148"/>
      <c r="BM718" s="146"/>
      <c r="BP718" s="148"/>
      <c r="BQ718" s="146"/>
      <c r="BV718" s="148"/>
      <c r="BW718" s="146"/>
      <c r="CC718" s="146"/>
      <c r="CH718" s="148"/>
      <c r="CI718" s="146"/>
    </row>
    <row r="719">
      <c r="C719" s="146"/>
      <c r="I719" s="163"/>
      <c r="J719" s="163"/>
      <c r="K719" s="163"/>
      <c r="Q719" s="148"/>
      <c r="AF719" s="148"/>
      <c r="AG719" s="146"/>
      <c r="AK719" s="148"/>
      <c r="AL719" s="146"/>
      <c r="AO719" s="163"/>
      <c r="AP719" s="163"/>
      <c r="AS719" s="148"/>
      <c r="AT719" s="146"/>
      <c r="BE719" s="148"/>
      <c r="BF719" s="146"/>
      <c r="BL719" s="148"/>
      <c r="BM719" s="146"/>
      <c r="BP719" s="148"/>
      <c r="BQ719" s="146"/>
      <c r="BV719" s="148"/>
      <c r="BW719" s="146"/>
      <c r="CC719" s="146"/>
      <c r="CH719" s="148"/>
      <c r="CI719" s="146"/>
    </row>
    <row r="720">
      <c r="C720" s="146"/>
      <c r="I720" s="163"/>
      <c r="J720" s="163"/>
      <c r="K720" s="163"/>
      <c r="Q720" s="148"/>
      <c r="AF720" s="148"/>
      <c r="AG720" s="146"/>
      <c r="AK720" s="148"/>
      <c r="AL720" s="146"/>
      <c r="AO720" s="163"/>
      <c r="AP720" s="163"/>
      <c r="AS720" s="148"/>
      <c r="AT720" s="146"/>
      <c r="BE720" s="148"/>
      <c r="BF720" s="146"/>
      <c r="BL720" s="148"/>
      <c r="BM720" s="146"/>
      <c r="BP720" s="148"/>
      <c r="BQ720" s="146"/>
      <c r="BV720" s="148"/>
      <c r="BW720" s="146"/>
      <c r="CC720" s="146"/>
      <c r="CH720" s="148"/>
      <c r="CI720" s="146"/>
    </row>
    <row r="721">
      <c r="C721" s="146"/>
      <c r="I721" s="163"/>
      <c r="J721" s="163"/>
      <c r="K721" s="163"/>
      <c r="Q721" s="148"/>
      <c r="AF721" s="148"/>
      <c r="AG721" s="146"/>
      <c r="AK721" s="148"/>
      <c r="AL721" s="146"/>
      <c r="AO721" s="163"/>
      <c r="AP721" s="163"/>
      <c r="AS721" s="148"/>
      <c r="AT721" s="146"/>
      <c r="BE721" s="148"/>
      <c r="BF721" s="146"/>
      <c r="BL721" s="148"/>
      <c r="BM721" s="146"/>
      <c r="BP721" s="148"/>
      <c r="BQ721" s="146"/>
      <c r="BV721" s="148"/>
      <c r="BW721" s="146"/>
      <c r="CC721" s="146"/>
      <c r="CH721" s="148"/>
      <c r="CI721" s="146"/>
    </row>
    <row r="722">
      <c r="C722" s="146"/>
      <c r="I722" s="163"/>
      <c r="J722" s="163"/>
      <c r="K722" s="163"/>
      <c r="Q722" s="148"/>
      <c r="AF722" s="148"/>
      <c r="AG722" s="146"/>
      <c r="AK722" s="148"/>
      <c r="AL722" s="146"/>
      <c r="AO722" s="163"/>
      <c r="AP722" s="163"/>
      <c r="AS722" s="148"/>
      <c r="AT722" s="146"/>
      <c r="BE722" s="148"/>
      <c r="BF722" s="146"/>
      <c r="BL722" s="148"/>
      <c r="BM722" s="146"/>
      <c r="BP722" s="148"/>
      <c r="BQ722" s="146"/>
      <c r="BV722" s="148"/>
      <c r="BW722" s="146"/>
      <c r="CC722" s="146"/>
      <c r="CH722" s="148"/>
      <c r="CI722" s="146"/>
    </row>
    <row r="723">
      <c r="C723" s="146"/>
      <c r="I723" s="163"/>
      <c r="J723" s="163"/>
      <c r="K723" s="163"/>
      <c r="Q723" s="148"/>
      <c r="AF723" s="148"/>
      <c r="AG723" s="146"/>
      <c r="AK723" s="148"/>
      <c r="AL723" s="146"/>
      <c r="AO723" s="163"/>
      <c r="AP723" s="163"/>
      <c r="AS723" s="148"/>
      <c r="AT723" s="146"/>
      <c r="BE723" s="148"/>
      <c r="BF723" s="146"/>
      <c r="BL723" s="148"/>
      <c r="BM723" s="146"/>
      <c r="BP723" s="148"/>
      <c r="BQ723" s="146"/>
      <c r="BV723" s="148"/>
      <c r="BW723" s="146"/>
      <c r="CC723" s="146"/>
      <c r="CH723" s="148"/>
      <c r="CI723" s="146"/>
    </row>
    <row r="724">
      <c r="C724" s="146"/>
      <c r="I724" s="163"/>
      <c r="J724" s="163"/>
      <c r="K724" s="163"/>
      <c r="Q724" s="148"/>
      <c r="AF724" s="148"/>
      <c r="AG724" s="146"/>
      <c r="AK724" s="148"/>
      <c r="AL724" s="146"/>
      <c r="AO724" s="163"/>
      <c r="AP724" s="163"/>
      <c r="AS724" s="148"/>
      <c r="AT724" s="146"/>
      <c r="BE724" s="148"/>
      <c r="BF724" s="146"/>
      <c r="BL724" s="148"/>
      <c r="BM724" s="146"/>
      <c r="BP724" s="148"/>
      <c r="BQ724" s="146"/>
      <c r="BV724" s="148"/>
      <c r="BW724" s="146"/>
      <c r="CC724" s="146"/>
      <c r="CH724" s="148"/>
      <c r="CI724" s="146"/>
    </row>
    <row r="725">
      <c r="C725" s="146"/>
      <c r="I725" s="163"/>
      <c r="J725" s="163"/>
      <c r="K725" s="163"/>
      <c r="Q725" s="148"/>
      <c r="AF725" s="148"/>
      <c r="AG725" s="146"/>
      <c r="AK725" s="148"/>
      <c r="AL725" s="146"/>
      <c r="AO725" s="163"/>
      <c r="AP725" s="163"/>
      <c r="AS725" s="148"/>
      <c r="AT725" s="146"/>
      <c r="BE725" s="148"/>
      <c r="BF725" s="146"/>
      <c r="BL725" s="148"/>
      <c r="BM725" s="146"/>
      <c r="BP725" s="148"/>
      <c r="BQ725" s="146"/>
      <c r="BV725" s="148"/>
      <c r="BW725" s="146"/>
      <c r="CC725" s="146"/>
      <c r="CH725" s="148"/>
      <c r="CI725" s="146"/>
    </row>
    <row r="726">
      <c r="C726" s="146"/>
      <c r="I726" s="163"/>
      <c r="J726" s="163"/>
      <c r="K726" s="163"/>
      <c r="Q726" s="148"/>
      <c r="AF726" s="148"/>
      <c r="AG726" s="146"/>
      <c r="AK726" s="148"/>
      <c r="AL726" s="146"/>
      <c r="AO726" s="163"/>
      <c r="AP726" s="163"/>
      <c r="AS726" s="148"/>
      <c r="AT726" s="146"/>
      <c r="BE726" s="148"/>
      <c r="BF726" s="146"/>
      <c r="BL726" s="148"/>
      <c r="BM726" s="146"/>
      <c r="BP726" s="148"/>
      <c r="BQ726" s="146"/>
      <c r="BV726" s="148"/>
      <c r="BW726" s="146"/>
      <c r="CC726" s="146"/>
      <c r="CH726" s="148"/>
      <c r="CI726" s="146"/>
    </row>
    <row r="727">
      <c r="C727" s="146"/>
      <c r="I727" s="163"/>
      <c r="J727" s="163"/>
      <c r="K727" s="163"/>
      <c r="Q727" s="148"/>
      <c r="AF727" s="148"/>
      <c r="AG727" s="146"/>
      <c r="AK727" s="148"/>
      <c r="AL727" s="146"/>
      <c r="AO727" s="163"/>
      <c r="AP727" s="163"/>
      <c r="AS727" s="148"/>
      <c r="AT727" s="146"/>
      <c r="BE727" s="148"/>
      <c r="BF727" s="146"/>
      <c r="BL727" s="148"/>
      <c r="BM727" s="146"/>
      <c r="BP727" s="148"/>
      <c r="BQ727" s="146"/>
      <c r="BV727" s="148"/>
      <c r="BW727" s="146"/>
      <c r="CC727" s="146"/>
      <c r="CH727" s="148"/>
      <c r="CI727" s="146"/>
    </row>
    <row r="728">
      <c r="C728" s="146"/>
      <c r="I728" s="163"/>
      <c r="J728" s="163"/>
      <c r="K728" s="163"/>
      <c r="Q728" s="148"/>
      <c r="AF728" s="148"/>
      <c r="AG728" s="146"/>
      <c r="AK728" s="148"/>
      <c r="AL728" s="146"/>
      <c r="AO728" s="163"/>
      <c r="AP728" s="163"/>
      <c r="AS728" s="148"/>
      <c r="AT728" s="146"/>
      <c r="BE728" s="148"/>
      <c r="BF728" s="146"/>
      <c r="BL728" s="148"/>
      <c r="BM728" s="146"/>
      <c r="BP728" s="148"/>
      <c r="BQ728" s="146"/>
      <c r="BV728" s="148"/>
      <c r="BW728" s="146"/>
      <c r="CC728" s="146"/>
      <c r="CH728" s="148"/>
      <c r="CI728" s="146"/>
    </row>
    <row r="729">
      <c r="C729" s="146"/>
      <c r="I729" s="163"/>
      <c r="J729" s="163"/>
      <c r="K729" s="163"/>
      <c r="Q729" s="148"/>
      <c r="AF729" s="148"/>
      <c r="AG729" s="146"/>
      <c r="AK729" s="148"/>
      <c r="AL729" s="146"/>
      <c r="AO729" s="163"/>
      <c r="AP729" s="163"/>
      <c r="AS729" s="148"/>
      <c r="AT729" s="146"/>
      <c r="BE729" s="148"/>
      <c r="BF729" s="146"/>
      <c r="BL729" s="148"/>
      <c r="BM729" s="146"/>
      <c r="BP729" s="148"/>
      <c r="BQ729" s="146"/>
      <c r="BV729" s="148"/>
      <c r="BW729" s="146"/>
      <c r="CC729" s="146"/>
      <c r="CH729" s="148"/>
      <c r="CI729" s="146"/>
    </row>
    <row r="730">
      <c r="C730" s="146"/>
      <c r="I730" s="163"/>
      <c r="J730" s="163"/>
      <c r="K730" s="163"/>
      <c r="Q730" s="148"/>
      <c r="AF730" s="148"/>
      <c r="AG730" s="146"/>
      <c r="AK730" s="148"/>
      <c r="AL730" s="146"/>
      <c r="AO730" s="163"/>
      <c r="AP730" s="163"/>
      <c r="AS730" s="148"/>
      <c r="AT730" s="146"/>
      <c r="BE730" s="148"/>
      <c r="BF730" s="146"/>
      <c r="BL730" s="148"/>
      <c r="BM730" s="146"/>
      <c r="BP730" s="148"/>
      <c r="BQ730" s="146"/>
      <c r="BV730" s="148"/>
      <c r="BW730" s="146"/>
      <c r="CC730" s="146"/>
      <c r="CH730" s="148"/>
      <c r="CI730" s="146"/>
    </row>
    <row r="731">
      <c r="C731" s="146"/>
      <c r="I731" s="163"/>
      <c r="J731" s="163"/>
      <c r="K731" s="163"/>
      <c r="Q731" s="148"/>
      <c r="AF731" s="148"/>
      <c r="AG731" s="146"/>
      <c r="AK731" s="148"/>
      <c r="AL731" s="146"/>
      <c r="AO731" s="163"/>
      <c r="AP731" s="163"/>
      <c r="AS731" s="148"/>
      <c r="AT731" s="146"/>
      <c r="BE731" s="148"/>
      <c r="BF731" s="146"/>
      <c r="BL731" s="148"/>
      <c r="BM731" s="146"/>
      <c r="BP731" s="148"/>
      <c r="BQ731" s="146"/>
      <c r="BV731" s="148"/>
      <c r="BW731" s="146"/>
      <c r="CC731" s="146"/>
      <c r="CH731" s="148"/>
      <c r="CI731" s="146"/>
    </row>
    <row r="732">
      <c r="C732" s="146"/>
      <c r="I732" s="163"/>
      <c r="J732" s="163"/>
      <c r="K732" s="163"/>
      <c r="Q732" s="148"/>
      <c r="AF732" s="148"/>
      <c r="AG732" s="146"/>
      <c r="AK732" s="148"/>
      <c r="AL732" s="146"/>
      <c r="AO732" s="163"/>
      <c r="AP732" s="163"/>
      <c r="AS732" s="148"/>
      <c r="AT732" s="146"/>
      <c r="BE732" s="148"/>
      <c r="BF732" s="146"/>
      <c r="BL732" s="148"/>
      <c r="BM732" s="146"/>
      <c r="BP732" s="148"/>
      <c r="BQ732" s="146"/>
      <c r="BV732" s="148"/>
      <c r="BW732" s="146"/>
      <c r="CC732" s="146"/>
      <c r="CH732" s="148"/>
      <c r="CI732" s="146"/>
    </row>
    <row r="733">
      <c r="C733" s="146"/>
      <c r="I733" s="163"/>
      <c r="J733" s="163"/>
      <c r="K733" s="163"/>
      <c r="Q733" s="148"/>
      <c r="AF733" s="148"/>
      <c r="AG733" s="146"/>
      <c r="AK733" s="148"/>
      <c r="AL733" s="146"/>
      <c r="AO733" s="163"/>
      <c r="AP733" s="163"/>
      <c r="AS733" s="148"/>
      <c r="AT733" s="146"/>
      <c r="BE733" s="148"/>
      <c r="BF733" s="146"/>
      <c r="BL733" s="148"/>
      <c r="BM733" s="146"/>
      <c r="BP733" s="148"/>
      <c r="BQ733" s="146"/>
      <c r="BV733" s="148"/>
      <c r="BW733" s="146"/>
      <c r="CC733" s="146"/>
      <c r="CH733" s="148"/>
      <c r="CI733" s="146"/>
    </row>
    <row r="734">
      <c r="C734" s="146"/>
      <c r="I734" s="163"/>
      <c r="J734" s="163"/>
      <c r="K734" s="163"/>
      <c r="Q734" s="148"/>
      <c r="AF734" s="148"/>
      <c r="AG734" s="146"/>
      <c r="AK734" s="148"/>
      <c r="AL734" s="146"/>
      <c r="AO734" s="163"/>
      <c r="AP734" s="163"/>
      <c r="AS734" s="148"/>
      <c r="AT734" s="146"/>
      <c r="BE734" s="148"/>
      <c r="BF734" s="146"/>
      <c r="BL734" s="148"/>
      <c r="BM734" s="146"/>
      <c r="BP734" s="148"/>
      <c r="BQ734" s="146"/>
      <c r="BV734" s="148"/>
      <c r="BW734" s="146"/>
      <c r="CC734" s="146"/>
      <c r="CH734" s="148"/>
      <c r="CI734" s="146"/>
    </row>
    <row r="735">
      <c r="C735" s="146"/>
      <c r="I735" s="163"/>
      <c r="J735" s="163"/>
      <c r="K735" s="163"/>
      <c r="Q735" s="148"/>
      <c r="AF735" s="148"/>
      <c r="AG735" s="146"/>
      <c r="AK735" s="148"/>
      <c r="AL735" s="146"/>
      <c r="AO735" s="163"/>
      <c r="AP735" s="163"/>
      <c r="AS735" s="148"/>
      <c r="AT735" s="146"/>
      <c r="BE735" s="148"/>
      <c r="BF735" s="146"/>
      <c r="BL735" s="148"/>
      <c r="BM735" s="146"/>
      <c r="BP735" s="148"/>
      <c r="BQ735" s="146"/>
      <c r="BV735" s="148"/>
      <c r="BW735" s="146"/>
      <c r="CC735" s="146"/>
      <c r="CH735" s="148"/>
      <c r="CI735" s="146"/>
    </row>
    <row r="736">
      <c r="C736" s="146"/>
      <c r="I736" s="163"/>
      <c r="J736" s="163"/>
      <c r="K736" s="163"/>
      <c r="Q736" s="148"/>
      <c r="AF736" s="148"/>
      <c r="AG736" s="146"/>
      <c r="AK736" s="148"/>
      <c r="AL736" s="146"/>
      <c r="AO736" s="163"/>
      <c r="AP736" s="163"/>
      <c r="AS736" s="148"/>
      <c r="AT736" s="146"/>
      <c r="BE736" s="148"/>
      <c r="BF736" s="146"/>
      <c r="BL736" s="148"/>
      <c r="BM736" s="146"/>
      <c r="BP736" s="148"/>
      <c r="BQ736" s="146"/>
      <c r="BV736" s="148"/>
      <c r="BW736" s="146"/>
      <c r="CC736" s="146"/>
      <c r="CH736" s="148"/>
      <c r="CI736" s="146"/>
    </row>
    <row r="737">
      <c r="C737" s="146"/>
      <c r="I737" s="163"/>
      <c r="J737" s="163"/>
      <c r="K737" s="163"/>
      <c r="Q737" s="148"/>
      <c r="AF737" s="148"/>
      <c r="AG737" s="146"/>
      <c r="AK737" s="148"/>
      <c r="AL737" s="146"/>
      <c r="AO737" s="163"/>
      <c r="AP737" s="163"/>
      <c r="AS737" s="148"/>
      <c r="AT737" s="146"/>
      <c r="BE737" s="148"/>
      <c r="BF737" s="146"/>
      <c r="BL737" s="148"/>
      <c r="BM737" s="146"/>
      <c r="BP737" s="148"/>
      <c r="BQ737" s="146"/>
      <c r="BV737" s="148"/>
      <c r="BW737" s="146"/>
      <c r="CC737" s="146"/>
      <c r="CH737" s="148"/>
      <c r="CI737" s="146"/>
    </row>
    <row r="738">
      <c r="C738" s="146"/>
      <c r="I738" s="163"/>
      <c r="J738" s="163"/>
      <c r="K738" s="163"/>
      <c r="Q738" s="148"/>
      <c r="AF738" s="148"/>
      <c r="AG738" s="146"/>
      <c r="AK738" s="148"/>
      <c r="AL738" s="146"/>
      <c r="AO738" s="163"/>
      <c r="AP738" s="163"/>
      <c r="AS738" s="148"/>
      <c r="AT738" s="146"/>
      <c r="BE738" s="148"/>
      <c r="BF738" s="146"/>
      <c r="BL738" s="148"/>
      <c r="BM738" s="146"/>
      <c r="BP738" s="148"/>
      <c r="BQ738" s="146"/>
      <c r="BV738" s="148"/>
      <c r="BW738" s="146"/>
      <c r="CC738" s="146"/>
      <c r="CH738" s="148"/>
      <c r="CI738" s="146"/>
    </row>
    <row r="739">
      <c r="C739" s="146"/>
      <c r="I739" s="163"/>
      <c r="J739" s="163"/>
      <c r="K739" s="163"/>
      <c r="Q739" s="148"/>
      <c r="AF739" s="148"/>
      <c r="AG739" s="146"/>
      <c r="AK739" s="148"/>
      <c r="AL739" s="146"/>
      <c r="AO739" s="163"/>
      <c r="AP739" s="163"/>
      <c r="AS739" s="148"/>
      <c r="AT739" s="146"/>
      <c r="BE739" s="148"/>
      <c r="BF739" s="146"/>
      <c r="BL739" s="148"/>
      <c r="BM739" s="146"/>
      <c r="BP739" s="148"/>
      <c r="BQ739" s="146"/>
      <c r="BV739" s="148"/>
      <c r="BW739" s="146"/>
      <c r="CC739" s="146"/>
      <c r="CH739" s="148"/>
      <c r="CI739" s="146"/>
    </row>
    <row r="740">
      <c r="C740" s="146"/>
      <c r="I740" s="163"/>
      <c r="J740" s="163"/>
      <c r="K740" s="163"/>
      <c r="Q740" s="148"/>
      <c r="AF740" s="148"/>
      <c r="AG740" s="146"/>
      <c r="AK740" s="148"/>
      <c r="AL740" s="146"/>
      <c r="AO740" s="163"/>
      <c r="AP740" s="163"/>
      <c r="AS740" s="148"/>
      <c r="AT740" s="146"/>
      <c r="BE740" s="148"/>
      <c r="BF740" s="146"/>
      <c r="BL740" s="148"/>
      <c r="BM740" s="146"/>
      <c r="BP740" s="148"/>
      <c r="BQ740" s="146"/>
      <c r="BV740" s="148"/>
      <c r="BW740" s="146"/>
      <c r="CC740" s="146"/>
      <c r="CH740" s="148"/>
      <c r="CI740" s="146"/>
    </row>
    <row r="741">
      <c r="C741" s="146"/>
      <c r="I741" s="163"/>
      <c r="J741" s="163"/>
      <c r="K741" s="163"/>
      <c r="Q741" s="148"/>
      <c r="AF741" s="148"/>
      <c r="AG741" s="146"/>
      <c r="AK741" s="148"/>
      <c r="AL741" s="146"/>
      <c r="AO741" s="163"/>
      <c r="AP741" s="163"/>
      <c r="AS741" s="148"/>
      <c r="AT741" s="146"/>
      <c r="BE741" s="148"/>
      <c r="BF741" s="146"/>
      <c r="BL741" s="148"/>
      <c r="BM741" s="146"/>
      <c r="BP741" s="148"/>
      <c r="BQ741" s="146"/>
      <c r="BV741" s="148"/>
      <c r="BW741" s="146"/>
      <c r="CC741" s="146"/>
      <c r="CH741" s="148"/>
      <c r="CI741" s="146"/>
    </row>
    <row r="742">
      <c r="C742" s="146"/>
      <c r="I742" s="163"/>
      <c r="J742" s="163"/>
      <c r="K742" s="163"/>
      <c r="Q742" s="148"/>
      <c r="AF742" s="148"/>
      <c r="AG742" s="146"/>
      <c r="AK742" s="148"/>
      <c r="AL742" s="146"/>
      <c r="AO742" s="163"/>
      <c r="AP742" s="163"/>
      <c r="AS742" s="148"/>
      <c r="AT742" s="146"/>
      <c r="BE742" s="148"/>
      <c r="BF742" s="146"/>
      <c r="BL742" s="148"/>
      <c r="BM742" s="146"/>
      <c r="BP742" s="148"/>
      <c r="BQ742" s="146"/>
      <c r="BV742" s="148"/>
      <c r="BW742" s="146"/>
      <c r="CC742" s="146"/>
      <c r="CH742" s="148"/>
      <c r="CI742" s="146"/>
    </row>
    <row r="743">
      <c r="C743" s="146"/>
      <c r="I743" s="163"/>
      <c r="J743" s="163"/>
      <c r="K743" s="163"/>
      <c r="Q743" s="148"/>
      <c r="AF743" s="148"/>
      <c r="AG743" s="146"/>
      <c r="AK743" s="148"/>
      <c r="AL743" s="146"/>
      <c r="AO743" s="163"/>
      <c r="AP743" s="163"/>
      <c r="AS743" s="148"/>
      <c r="AT743" s="146"/>
      <c r="BE743" s="148"/>
      <c r="BF743" s="146"/>
      <c r="BL743" s="148"/>
      <c r="BM743" s="146"/>
      <c r="BP743" s="148"/>
      <c r="BQ743" s="146"/>
      <c r="BV743" s="148"/>
      <c r="BW743" s="146"/>
      <c r="CC743" s="146"/>
      <c r="CH743" s="148"/>
      <c r="CI743" s="146"/>
    </row>
    <row r="744">
      <c r="C744" s="146"/>
      <c r="I744" s="163"/>
      <c r="J744" s="163"/>
      <c r="K744" s="163"/>
      <c r="Q744" s="148"/>
      <c r="AF744" s="148"/>
      <c r="AG744" s="146"/>
      <c r="AK744" s="148"/>
      <c r="AL744" s="146"/>
      <c r="AO744" s="163"/>
      <c r="AP744" s="163"/>
      <c r="AS744" s="148"/>
      <c r="AT744" s="146"/>
      <c r="BE744" s="148"/>
      <c r="BF744" s="146"/>
      <c r="BL744" s="148"/>
      <c r="BM744" s="146"/>
      <c r="BP744" s="148"/>
      <c r="BQ744" s="146"/>
      <c r="BV744" s="148"/>
      <c r="BW744" s="146"/>
      <c r="CC744" s="146"/>
      <c r="CH744" s="148"/>
      <c r="CI744" s="146"/>
    </row>
    <row r="745">
      <c r="C745" s="146"/>
      <c r="I745" s="163"/>
      <c r="J745" s="163"/>
      <c r="K745" s="163"/>
      <c r="Q745" s="148"/>
      <c r="AF745" s="148"/>
      <c r="AG745" s="146"/>
      <c r="AK745" s="148"/>
      <c r="AL745" s="146"/>
      <c r="AO745" s="163"/>
      <c r="AP745" s="163"/>
      <c r="AS745" s="148"/>
      <c r="AT745" s="146"/>
      <c r="BE745" s="148"/>
      <c r="BF745" s="146"/>
      <c r="BL745" s="148"/>
      <c r="BM745" s="146"/>
      <c r="BP745" s="148"/>
      <c r="BQ745" s="146"/>
      <c r="BV745" s="148"/>
      <c r="BW745" s="146"/>
      <c r="CC745" s="146"/>
      <c r="CH745" s="148"/>
      <c r="CI745" s="146"/>
    </row>
    <row r="746">
      <c r="C746" s="146"/>
      <c r="I746" s="163"/>
      <c r="J746" s="163"/>
      <c r="K746" s="163"/>
      <c r="Q746" s="148"/>
      <c r="AF746" s="148"/>
      <c r="AG746" s="146"/>
      <c r="AK746" s="148"/>
      <c r="AL746" s="146"/>
      <c r="AO746" s="163"/>
      <c r="AP746" s="163"/>
      <c r="AS746" s="148"/>
      <c r="AT746" s="146"/>
      <c r="BE746" s="148"/>
      <c r="BF746" s="146"/>
      <c r="BL746" s="148"/>
      <c r="BM746" s="146"/>
      <c r="BP746" s="148"/>
      <c r="BQ746" s="146"/>
      <c r="BV746" s="148"/>
      <c r="BW746" s="146"/>
      <c r="CC746" s="146"/>
      <c r="CH746" s="148"/>
      <c r="CI746" s="146"/>
    </row>
    <row r="747">
      <c r="C747" s="146"/>
      <c r="I747" s="163"/>
      <c r="J747" s="163"/>
      <c r="K747" s="163"/>
      <c r="Q747" s="148"/>
      <c r="AF747" s="148"/>
      <c r="AG747" s="146"/>
      <c r="AK747" s="148"/>
      <c r="AL747" s="146"/>
      <c r="AO747" s="163"/>
      <c r="AP747" s="163"/>
      <c r="AS747" s="148"/>
      <c r="AT747" s="146"/>
      <c r="BE747" s="148"/>
      <c r="BF747" s="146"/>
      <c r="BL747" s="148"/>
      <c r="BM747" s="146"/>
      <c r="BP747" s="148"/>
      <c r="BQ747" s="146"/>
      <c r="BV747" s="148"/>
      <c r="BW747" s="146"/>
      <c r="CC747" s="146"/>
      <c r="CH747" s="148"/>
      <c r="CI747" s="146"/>
    </row>
    <row r="748">
      <c r="C748" s="146"/>
      <c r="I748" s="163"/>
      <c r="J748" s="163"/>
      <c r="K748" s="163"/>
      <c r="Q748" s="148"/>
      <c r="AF748" s="148"/>
      <c r="AG748" s="146"/>
      <c r="AK748" s="148"/>
      <c r="AL748" s="146"/>
      <c r="AO748" s="163"/>
      <c r="AP748" s="163"/>
      <c r="AS748" s="148"/>
      <c r="AT748" s="146"/>
      <c r="BE748" s="148"/>
      <c r="BF748" s="146"/>
      <c r="BL748" s="148"/>
      <c r="BM748" s="146"/>
      <c r="BP748" s="148"/>
      <c r="BQ748" s="146"/>
      <c r="BV748" s="148"/>
      <c r="BW748" s="146"/>
      <c r="CC748" s="146"/>
      <c r="CH748" s="148"/>
      <c r="CI748" s="146"/>
    </row>
    <row r="749">
      <c r="C749" s="146"/>
      <c r="I749" s="163"/>
      <c r="J749" s="163"/>
      <c r="K749" s="163"/>
      <c r="Q749" s="148"/>
      <c r="AF749" s="148"/>
      <c r="AG749" s="146"/>
      <c r="AK749" s="148"/>
      <c r="AL749" s="146"/>
      <c r="AO749" s="163"/>
      <c r="AP749" s="163"/>
      <c r="AS749" s="148"/>
      <c r="AT749" s="146"/>
      <c r="BE749" s="148"/>
      <c r="BF749" s="146"/>
      <c r="BL749" s="148"/>
      <c r="BM749" s="146"/>
      <c r="BP749" s="148"/>
      <c r="BQ749" s="146"/>
      <c r="BV749" s="148"/>
      <c r="BW749" s="146"/>
      <c r="CC749" s="146"/>
      <c r="CH749" s="148"/>
      <c r="CI749" s="146"/>
    </row>
    <row r="750">
      <c r="C750" s="146"/>
      <c r="I750" s="163"/>
      <c r="J750" s="163"/>
      <c r="K750" s="163"/>
      <c r="Q750" s="148"/>
      <c r="AF750" s="148"/>
      <c r="AG750" s="146"/>
      <c r="AK750" s="148"/>
      <c r="AL750" s="146"/>
      <c r="AO750" s="163"/>
      <c r="AP750" s="163"/>
      <c r="AS750" s="148"/>
      <c r="AT750" s="146"/>
      <c r="BE750" s="148"/>
      <c r="BF750" s="146"/>
      <c r="BL750" s="148"/>
      <c r="BM750" s="146"/>
      <c r="BP750" s="148"/>
      <c r="BQ750" s="146"/>
      <c r="BV750" s="148"/>
      <c r="BW750" s="146"/>
      <c r="CC750" s="146"/>
      <c r="CH750" s="148"/>
      <c r="CI750" s="146"/>
    </row>
    <row r="751">
      <c r="C751" s="146"/>
      <c r="I751" s="163"/>
      <c r="J751" s="163"/>
      <c r="K751" s="163"/>
      <c r="Q751" s="148"/>
      <c r="AF751" s="148"/>
      <c r="AG751" s="146"/>
      <c r="AK751" s="148"/>
      <c r="AL751" s="146"/>
      <c r="AO751" s="163"/>
      <c r="AP751" s="163"/>
      <c r="AS751" s="148"/>
      <c r="AT751" s="146"/>
      <c r="BE751" s="148"/>
      <c r="BF751" s="146"/>
      <c r="BL751" s="148"/>
      <c r="BM751" s="146"/>
      <c r="BP751" s="148"/>
      <c r="BQ751" s="146"/>
      <c r="BV751" s="148"/>
      <c r="BW751" s="146"/>
      <c r="CC751" s="146"/>
      <c r="CH751" s="148"/>
      <c r="CI751" s="146"/>
    </row>
    <row r="752">
      <c r="C752" s="146"/>
      <c r="I752" s="163"/>
      <c r="J752" s="163"/>
      <c r="K752" s="163"/>
      <c r="Q752" s="148"/>
      <c r="AF752" s="148"/>
      <c r="AG752" s="146"/>
      <c r="AK752" s="148"/>
      <c r="AL752" s="146"/>
      <c r="AO752" s="163"/>
      <c r="AP752" s="163"/>
      <c r="AS752" s="148"/>
      <c r="AT752" s="146"/>
      <c r="BE752" s="148"/>
      <c r="BF752" s="146"/>
      <c r="BL752" s="148"/>
      <c r="BM752" s="146"/>
      <c r="BP752" s="148"/>
      <c r="BQ752" s="146"/>
      <c r="BV752" s="148"/>
      <c r="BW752" s="146"/>
      <c r="CC752" s="146"/>
      <c r="CH752" s="148"/>
      <c r="CI752" s="146"/>
    </row>
    <row r="753">
      <c r="C753" s="146"/>
      <c r="I753" s="163"/>
      <c r="J753" s="163"/>
      <c r="K753" s="163"/>
      <c r="Q753" s="148"/>
      <c r="AF753" s="148"/>
      <c r="AG753" s="146"/>
      <c r="AK753" s="148"/>
      <c r="AL753" s="146"/>
      <c r="AO753" s="163"/>
      <c r="AP753" s="163"/>
      <c r="AS753" s="148"/>
      <c r="AT753" s="146"/>
      <c r="BE753" s="148"/>
      <c r="BF753" s="146"/>
      <c r="BL753" s="148"/>
      <c r="BM753" s="146"/>
      <c r="BP753" s="148"/>
      <c r="BQ753" s="146"/>
      <c r="BV753" s="148"/>
      <c r="BW753" s="146"/>
      <c r="CC753" s="146"/>
      <c r="CH753" s="148"/>
      <c r="CI753" s="146"/>
    </row>
    <row r="754">
      <c r="C754" s="146"/>
      <c r="I754" s="163"/>
      <c r="J754" s="163"/>
      <c r="K754" s="163"/>
      <c r="Q754" s="148"/>
      <c r="AF754" s="148"/>
      <c r="AG754" s="146"/>
      <c r="AK754" s="148"/>
      <c r="AL754" s="146"/>
      <c r="AO754" s="163"/>
      <c r="AP754" s="163"/>
      <c r="AS754" s="148"/>
      <c r="AT754" s="146"/>
      <c r="BE754" s="148"/>
      <c r="BF754" s="146"/>
      <c r="BL754" s="148"/>
      <c r="BM754" s="146"/>
      <c r="BP754" s="148"/>
      <c r="BQ754" s="146"/>
      <c r="BV754" s="148"/>
      <c r="BW754" s="146"/>
      <c r="CC754" s="146"/>
      <c r="CH754" s="148"/>
      <c r="CI754" s="146"/>
    </row>
    <row r="755">
      <c r="C755" s="146"/>
      <c r="I755" s="163"/>
      <c r="J755" s="163"/>
      <c r="K755" s="163"/>
      <c r="Q755" s="148"/>
      <c r="AF755" s="148"/>
      <c r="AG755" s="146"/>
      <c r="AK755" s="148"/>
      <c r="AL755" s="146"/>
      <c r="AO755" s="163"/>
      <c r="AP755" s="163"/>
      <c r="AS755" s="148"/>
      <c r="AT755" s="146"/>
      <c r="BE755" s="148"/>
      <c r="BF755" s="146"/>
      <c r="BL755" s="148"/>
      <c r="BM755" s="146"/>
      <c r="BP755" s="148"/>
      <c r="BQ755" s="146"/>
      <c r="BV755" s="148"/>
      <c r="BW755" s="146"/>
      <c r="CC755" s="146"/>
      <c r="CH755" s="148"/>
      <c r="CI755" s="146"/>
    </row>
    <row r="756">
      <c r="C756" s="146"/>
      <c r="I756" s="163"/>
      <c r="J756" s="163"/>
      <c r="K756" s="163"/>
      <c r="Q756" s="148"/>
      <c r="AF756" s="148"/>
      <c r="AG756" s="146"/>
      <c r="AK756" s="148"/>
      <c r="AL756" s="146"/>
      <c r="AO756" s="163"/>
      <c r="AP756" s="163"/>
      <c r="AS756" s="148"/>
      <c r="AT756" s="146"/>
      <c r="BE756" s="148"/>
      <c r="BF756" s="146"/>
      <c r="BL756" s="148"/>
      <c r="BM756" s="146"/>
      <c r="BP756" s="148"/>
      <c r="BQ756" s="146"/>
      <c r="BV756" s="148"/>
      <c r="BW756" s="146"/>
      <c r="CC756" s="146"/>
      <c r="CH756" s="148"/>
      <c r="CI756" s="146"/>
    </row>
    <row r="757">
      <c r="C757" s="146"/>
      <c r="I757" s="163"/>
      <c r="J757" s="163"/>
      <c r="K757" s="163"/>
      <c r="Q757" s="148"/>
      <c r="AF757" s="148"/>
      <c r="AG757" s="146"/>
      <c r="AK757" s="148"/>
      <c r="AL757" s="146"/>
      <c r="AO757" s="163"/>
      <c r="AP757" s="163"/>
      <c r="AS757" s="148"/>
      <c r="AT757" s="146"/>
      <c r="BE757" s="148"/>
      <c r="BF757" s="146"/>
      <c r="BL757" s="148"/>
      <c r="BM757" s="146"/>
      <c r="BP757" s="148"/>
      <c r="BQ757" s="146"/>
      <c r="BV757" s="148"/>
      <c r="BW757" s="146"/>
      <c r="CC757" s="146"/>
      <c r="CH757" s="148"/>
      <c r="CI757" s="146"/>
    </row>
    <row r="758">
      <c r="C758" s="146"/>
      <c r="I758" s="163"/>
      <c r="J758" s="163"/>
      <c r="K758" s="163"/>
      <c r="Q758" s="148"/>
      <c r="AF758" s="148"/>
      <c r="AG758" s="146"/>
      <c r="AK758" s="148"/>
      <c r="AL758" s="146"/>
      <c r="AO758" s="163"/>
      <c r="AP758" s="163"/>
      <c r="AS758" s="148"/>
      <c r="AT758" s="146"/>
      <c r="BE758" s="148"/>
      <c r="BF758" s="146"/>
      <c r="BL758" s="148"/>
      <c r="BM758" s="146"/>
      <c r="BP758" s="148"/>
      <c r="BQ758" s="146"/>
      <c r="BV758" s="148"/>
      <c r="BW758" s="146"/>
      <c r="CC758" s="146"/>
      <c r="CH758" s="148"/>
      <c r="CI758" s="146"/>
    </row>
    <row r="759">
      <c r="C759" s="146"/>
      <c r="I759" s="163"/>
      <c r="J759" s="163"/>
      <c r="K759" s="163"/>
      <c r="Q759" s="148"/>
      <c r="AF759" s="148"/>
      <c r="AG759" s="146"/>
      <c r="AK759" s="148"/>
      <c r="AL759" s="146"/>
      <c r="AO759" s="163"/>
      <c r="AP759" s="163"/>
      <c r="AS759" s="148"/>
      <c r="AT759" s="146"/>
      <c r="BE759" s="148"/>
      <c r="BF759" s="146"/>
      <c r="BL759" s="148"/>
      <c r="BM759" s="146"/>
      <c r="BP759" s="148"/>
      <c r="BQ759" s="146"/>
      <c r="BV759" s="148"/>
      <c r="BW759" s="146"/>
      <c r="CC759" s="146"/>
      <c r="CH759" s="148"/>
      <c r="CI759" s="146"/>
    </row>
    <row r="760">
      <c r="C760" s="146"/>
      <c r="I760" s="163"/>
      <c r="J760" s="163"/>
      <c r="K760" s="163"/>
      <c r="Q760" s="148"/>
      <c r="AF760" s="148"/>
      <c r="AG760" s="146"/>
      <c r="AK760" s="148"/>
      <c r="AL760" s="146"/>
      <c r="AO760" s="163"/>
      <c r="AP760" s="163"/>
      <c r="AS760" s="148"/>
      <c r="AT760" s="146"/>
      <c r="BE760" s="148"/>
      <c r="BF760" s="146"/>
      <c r="BL760" s="148"/>
      <c r="BM760" s="146"/>
      <c r="BP760" s="148"/>
      <c r="BQ760" s="146"/>
      <c r="BV760" s="148"/>
      <c r="BW760" s="146"/>
      <c r="CC760" s="146"/>
      <c r="CH760" s="148"/>
      <c r="CI760" s="146"/>
    </row>
    <row r="761">
      <c r="C761" s="146"/>
      <c r="I761" s="163"/>
      <c r="J761" s="163"/>
      <c r="K761" s="163"/>
      <c r="Q761" s="148"/>
      <c r="AF761" s="148"/>
      <c r="AG761" s="146"/>
      <c r="AK761" s="148"/>
      <c r="AL761" s="146"/>
      <c r="AO761" s="163"/>
      <c r="AP761" s="163"/>
      <c r="AS761" s="148"/>
      <c r="AT761" s="146"/>
      <c r="BE761" s="148"/>
      <c r="BF761" s="146"/>
      <c r="BL761" s="148"/>
      <c r="BM761" s="146"/>
      <c r="BP761" s="148"/>
      <c r="BQ761" s="146"/>
      <c r="BV761" s="148"/>
      <c r="BW761" s="146"/>
      <c r="CC761" s="146"/>
      <c r="CH761" s="148"/>
      <c r="CI761" s="146"/>
    </row>
    <row r="762">
      <c r="C762" s="146"/>
      <c r="I762" s="163"/>
      <c r="J762" s="163"/>
      <c r="K762" s="163"/>
      <c r="Q762" s="148"/>
      <c r="AF762" s="148"/>
      <c r="AG762" s="146"/>
      <c r="AK762" s="148"/>
      <c r="AL762" s="146"/>
      <c r="AO762" s="163"/>
      <c r="AP762" s="163"/>
      <c r="AS762" s="148"/>
      <c r="AT762" s="146"/>
      <c r="BE762" s="148"/>
      <c r="BF762" s="146"/>
      <c r="BL762" s="148"/>
      <c r="BM762" s="146"/>
      <c r="BP762" s="148"/>
      <c r="BQ762" s="146"/>
      <c r="BV762" s="148"/>
      <c r="BW762" s="146"/>
      <c r="CC762" s="146"/>
      <c r="CH762" s="148"/>
      <c r="CI762" s="146"/>
    </row>
    <row r="763">
      <c r="C763" s="146"/>
      <c r="I763" s="163"/>
      <c r="J763" s="163"/>
      <c r="K763" s="163"/>
      <c r="Q763" s="148"/>
      <c r="AF763" s="148"/>
      <c r="AG763" s="146"/>
      <c r="AK763" s="148"/>
      <c r="AL763" s="146"/>
      <c r="AO763" s="163"/>
      <c r="AP763" s="163"/>
      <c r="AS763" s="148"/>
      <c r="AT763" s="146"/>
      <c r="BE763" s="148"/>
      <c r="BF763" s="146"/>
      <c r="BL763" s="148"/>
      <c r="BM763" s="146"/>
      <c r="BP763" s="148"/>
      <c r="BQ763" s="146"/>
      <c r="BV763" s="148"/>
      <c r="BW763" s="146"/>
      <c r="CC763" s="146"/>
      <c r="CH763" s="148"/>
      <c r="CI763" s="146"/>
    </row>
    <row r="764">
      <c r="C764" s="146"/>
      <c r="I764" s="163"/>
      <c r="J764" s="163"/>
      <c r="K764" s="163"/>
      <c r="Q764" s="148"/>
      <c r="AF764" s="148"/>
      <c r="AG764" s="146"/>
      <c r="AK764" s="148"/>
      <c r="AL764" s="146"/>
      <c r="AO764" s="163"/>
      <c r="AP764" s="163"/>
      <c r="AS764" s="148"/>
      <c r="AT764" s="146"/>
      <c r="BE764" s="148"/>
      <c r="BF764" s="146"/>
      <c r="BL764" s="148"/>
      <c r="BM764" s="146"/>
      <c r="BP764" s="148"/>
      <c r="BQ764" s="146"/>
      <c r="BV764" s="148"/>
      <c r="BW764" s="146"/>
      <c r="CC764" s="146"/>
      <c r="CH764" s="148"/>
      <c r="CI764" s="146"/>
    </row>
    <row r="765">
      <c r="C765" s="146"/>
      <c r="I765" s="163"/>
      <c r="J765" s="163"/>
      <c r="K765" s="163"/>
      <c r="Q765" s="148"/>
      <c r="AF765" s="148"/>
      <c r="AG765" s="146"/>
      <c r="AK765" s="148"/>
      <c r="AL765" s="146"/>
      <c r="AO765" s="163"/>
      <c r="AP765" s="163"/>
      <c r="AS765" s="148"/>
      <c r="AT765" s="146"/>
      <c r="BE765" s="148"/>
      <c r="BF765" s="146"/>
      <c r="BL765" s="148"/>
      <c r="BM765" s="146"/>
      <c r="BP765" s="148"/>
      <c r="BQ765" s="146"/>
      <c r="BV765" s="148"/>
      <c r="BW765" s="146"/>
      <c r="CC765" s="146"/>
      <c r="CH765" s="148"/>
      <c r="CI765" s="146"/>
    </row>
    <row r="766">
      <c r="C766" s="146"/>
      <c r="I766" s="163"/>
      <c r="J766" s="163"/>
      <c r="K766" s="163"/>
      <c r="Q766" s="148"/>
      <c r="AF766" s="148"/>
      <c r="AG766" s="146"/>
      <c r="AK766" s="148"/>
      <c r="AL766" s="146"/>
      <c r="AO766" s="163"/>
      <c r="AP766" s="163"/>
      <c r="AS766" s="148"/>
      <c r="AT766" s="146"/>
      <c r="BE766" s="148"/>
      <c r="BF766" s="146"/>
      <c r="BL766" s="148"/>
      <c r="BM766" s="146"/>
      <c r="BP766" s="148"/>
      <c r="BQ766" s="146"/>
      <c r="BV766" s="148"/>
      <c r="BW766" s="146"/>
      <c r="CC766" s="146"/>
      <c r="CH766" s="148"/>
      <c r="CI766" s="146"/>
    </row>
    <row r="767">
      <c r="C767" s="146"/>
      <c r="I767" s="163"/>
      <c r="J767" s="163"/>
      <c r="K767" s="163"/>
      <c r="Q767" s="148"/>
      <c r="AF767" s="148"/>
      <c r="AG767" s="146"/>
      <c r="AK767" s="148"/>
      <c r="AL767" s="146"/>
      <c r="AO767" s="163"/>
      <c r="AP767" s="163"/>
      <c r="AS767" s="148"/>
      <c r="AT767" s="146"/>
      <c r="BE767" s="148"/>
      <c r="BF767" s="146"/>
      <c r="BL767" s="148"/>
      <c r="BM767" s="146"/>
      <c r="BP767" s="148"/>
      <c r="BQ767" s="146"/>
      <c r="BV767" s="148"/>
      <c r="BW767" s="146"/>
      <c r="CC767" s="146"/>
      <c r="CH767" s="148"/>
      <c r="CI767" s="146"/>
    </row>
    <row r="768">
      <c r="C768" s="146"/>
      <c r="I768" s="163"/>
      <c r="J768" s="163"/>
      <c r="K768" s="163"/>
      <c r="Q768" s="148"/>
      <c r="AF768" s="148"/>
      <c r="AG768" s="146"/>
      <c r="AK768" s="148"/>
      <c r="AL768" s="146"/>
      <c r="AO768" s="163"/>
      <c r="AP768" s="163"/>
      <c r="AS768" s="148"/>
      <c r="AT768" s="146"/>
      <c r="BE768" s="148"/>
      <c r="BF768" s="146"/>
      <c r="BL768" s="148"/>
      <c r="BM768" s="146"/>
      <c r="BP768" s="148"/>
      <c r="BQ768" s="146"/>
      <c r="BV768" s="148"/>
      <c r="BW768" s="146"/>
      <c r="CC768" s="146"/>
      <c r="CH768" s="148"/>
      <c r="CI768" s="146"/>
    </row>
    <row r="769">
      <c r="C769" s="146"/>
      <c r="I769" s="163"/>
      <c r="J769" s="163"/>
      <c r="K769" s="163"/>
      <c r="Q769" s="148"/>
      <c r="AF769" s="148"/>
      <c r="AG769" s="146"/>
      <c r="AK769" s="148"/>
      <c r="AL769" s="146"/>
      <c r="AO769" s="163"/>
      <c r="AP769" s="163"/>
      <c r="AS769" s="148"/>
      <c r="AT769" s="146"/>
      <c r="BE769" s="148"/>
      <c r="BF769" s="146"/>
      <c r="BL769" s="148"/>
      <c r="BM769" s="146"/>
      <c r="BP769" s="148"/>
      <c r="BQ769" s="146"/>
      <c r="BV769" s="148"/>
      <c r="BW769" s="146"/>
      <c r="CC769" s="146"/>
      <c r="CH769" s="148"/>
      <c r="CI769" s="146"/>
    </row>
    <row r="770">
      <c r="C770" s="146"/>
      <c r="I770" s="163"/>
      <c r="J770" s="163"/>
      <c r="K770" s="163"/>
      <c r="Q770" s="148"/>
      <c r="AF770" s="148"/>
      <c r="AG770" s="146"/>
      <c r="AK770" s="148"/>
      <c r="AL770" s="146"/>
      <c r="AO770" s="163"/>
      <c r="AP770" s="163"/>
      <c r="AS770" s="148"/>
      <c r="AT770" s="146"/>
      <c r="BE770" s="148"/>
      <c r="BF770" s="146"/>
      <c r="BL770" s="148"/>
      <c r="BM770" s="146"/>
      <c r="BP770" s="148"/>
      <c r="BQ770" s="146"/>
      <c r="BV770" s="148"/>
      <c r="BW770" s="146"/>
      <c r="CC770" s="146"/>
      <c r="CH770" s="148"/>
      <c r="CI770" s="146"/>
    </row>
    <row r="771">
      <c r="C771" s="146"/>
      <c r="I771" s="163"/>
      <c r="J771" s="163"/>
      <c r="K771" s="163"/>
      <c r="Q771" s="148"/>
      <c r="AF771" s="148"/>
      <c r="AG771" s="146"/>
      <c r="AK771" s="148"/>
      <c r="AL771" s="146"/>
      <c r="AO771" s="163"/>
      <c r="AP771" s="163"/>
      <c r="AS771" s="148"/>
      <c r="AT771" s="146"/>
      <c r="BE771" s="148"/>
      <c r="BF771" s="146"/>
      <c r="BL771" s="148"/>
      <c r="BM771" s="146"/>
      <c r="BP771" s="148"/>
      <c r="BQ771" s="146"/>
      <c r="BV771" s="148"/>
      <c r="BW771" s="146"/>
      <c r="CC771" s="146"/>
      <c r="CH771" s="148"/>
      <c r="CI771" s="146"/>
    </row>
    <row r="772">
      <c r="C772" s="146"/>
      <c r="I772" s="163"/>
      <c r="J772" s="163"/>
      <c r="K772" s="163"/>
      <c r="Q772" s="148"/>
      <c r="AF772" s="148"/>
      <c r="AG772" s="146"/>
      <c r="AK772" s="148"/>
      <c r="AL772" s="146"/>
      <c r="AO772" s="163"/>
      <c r="AP772" s="163"/>
      <c r="AS772" s="148"/>
      <c r="AT772" s="146"/>
      <c r="BE772" s="148"/>
      <c r="BF772" s="146"/>
      <c r="BL772" s="148"/>
      <c r="BM772" s="146"/>
      <c r="BP772" s="148"/>
      <c r="BQ772" s="146"/>
      <c r="BV772" s="148"/>
      <c r="BW772" s="146"/>
      <c r="CC772" s="146"/>
      <c r="CH772" s="148"/>
      <c r="CI772" s="146"/>
    </row>
    <row r="773">
      <c r="C773" s="146"/>
      <c r="I773" s="163"/>
      <c r="J773" s="163"/>
      <c r="K773" s="163"/>
      <c r="Q773" s="148"/>
      <c r="AF773" s="148"/>
      <c r="AG773" s="146"/>
      <c r="AK773" s="148"/>
      <c r="AL773" s="146"/>
      <c r="AO773" s="163"/>
      <c r="AP773" s="163"/>
      <c r="AS773" s="148"/>
      <c r="AT773" s="146"/>
      <c r="BE773" s="148"/>
      <c r="BF773" s="146"/>
      <c r="BL773" s="148"/>
      <c r="BM773" s="146"/>
      <c r="BP773" s="148"/>
      <c r="BQ773" s="146"/>
      <c r="BV773" s="148"/>
      <c r="BW773" s="146"/>
      <c r="CC773" s="146"/>
      <c r="CH773" s="148"/>
      <c r="CI773" s="146"/>
    </row>
    <row r="774">
      <c r="C774" s="146"/>
      <c r="I774" s="163"/>
      <c r="J774" s="163"/>
      <c r="K774" s="163"/>
      <c r="Q774" s="148"/>
      <c r="AF774" s="148"/>
      <c r="AG774" s="146"/>
      <c r="AK774" s="148"/>
      <c r="AL774" s="146"/>
      <c r="AO774" s="163"/>
      <c r="AP774" s="163"/>
      <c r="AS774" s="148"/>
      <c r="AT774" s="146"/>
      <c r="BE774" s="148"/>
      <c r="BF774" s="146"/>
      <c r="BL774" s="148"/>
      <c r="BM774" s="146"/>
      <c r="BP774" s="148"/>
      <c r="BQ774" s="146"/>
      <c r="BV774" s="148"/>
      <c r="BW774" s="146"/>
      <c r="CC774" s="146"/>
      <c r="CH774" s="148"/>
      <c r="CI774" s="146"/>
    </row>
    <row r="775">
      <c r="C775" s="146"/>
      <c r="I775" s="163"/>
      <c r="J775" s="163"/>
      <c r="K775" s="163"/>
      <c r="Q775" s="148"/>
      <c r="AF775" s="148"/>
      <c r="AG775" s="146"/>
      <c r="AK775" s="148"/>
      <c r="AL775" s="146"/>
      <c r="AO775" s="163"/>
      <c r="AP775" s="163"/>
      <c r="AS775" s="148"/>
      <c r="AT775" s="146"/>
      <c r="BE775" s="148"/>
      <c r="BF775" s="146"/>
      <c r="BL775" s="148"/>
      <c r="BM775" s="146"/>
      <c r="BP775" s="148"/>
      <c r="BQ775" s="146"/>
      <c r="BV775" s="148"/>
      <c r="BW775" s="146"/>
      <c r="CC775" s="146"/>
      <c r="CH775" s="148"/>
      <c r="CI775" s="146"/>
    </row>
    <row r="776">
      <c r="C776" s="146"/>
      <c r="I776" s="163"/>
      <c r="J776" s="163"/>
      <c r="K776" s="163"/>
      <c r="Q776" s="148"/>
      <c r="AF776" s="148"/>
      <c r="AG776" s="146"/>
      <c r="AK776" s="148"/>
      <c r="AL776" s="146"/>
      <c r="AO776" s="163"/>
      <c r="AP776" s="163"/>
      <c r="AS776" s="148"/>
      <c r="AT776" s="146"/>
      <c r="BE776" s="148"/>
      <c r="BF776" s="146"/>
      <c r="BL776" s="148"/>
      <c r="BM776" s="146"/>
      <c r="BP776" s="148"/>
      <c r="BQ776" s="146"/>
      <c r="BV776" s="148"/>
      <c r="BW776" s="146"/>
      <c r="CC776" s="146"/>
      <c r="CH776" s="148"/>
      <c r="CI776" s="146"/>
    </row>
    <row r="777">
      <c r="C777" s="146"/>
      <c r="I777" s="163"/>
      <c r="J777" s="163"/>
      <c r="K777" s="163"/>
      <c r="Q777" s="148"/>
      <c r="AF777" s="148"/>
      <c r="AG777" s="146"/>
      <c r="AK777" s="148"/>
      <c r="AL777" s="146"/>
      <c r="AO777" s="163"/>
      <c r="AP777" s="163"/>
      <c r="AS777" s="148"/>
      <c r="AT777" s="146"/>
      <c r="BE777" s="148"/>
      <c r="BF777" s="146"/>
      <c r="BL777" s="148"/>
      <c r="BM777" s="146"/>
      <c r="BP777" s="148"/>
      <c r="BQ777" s="146"/>
      <c r="BV777" s="148"/>
      <c r="BW777" s="146"/>
      <c r="CC777" s="146"/>
      <c r="CH777" s="148"/>
      <c r="CI777" s="146"/>
    </row>
    <row r="778">
      <c r="C778" s="146"/>
      <c r="I778" s="163"/>
      <c r="J778" s="163"/>
      <c r="K778" s="163"/>
      <c r="Q778" s="148"/>
      <c r="AF778" s="148"/>
      <c r="AG778" s="146"/>
      <c r="AK778" s="148"/>
      <c r="AL778" s="146"/>
      <c r="AO778" s="163"/>
      <c r="AP778" s="163"/>
      <c r="AS778" s="148"/>
      <c r="AT778" s="146"/>
      <c r="BE778" s="148"/>
      <c r="BF778" s="146"/>
      <c r="BL778" s="148"/>
      <c r="BM778" s="146"/>
      <c r="BP778" s="148"/>
      <c r="BQ778" s="146"/>
      <c r="BV778" s="148"/>
      <c r="BW778" s="146"/>
      <c r="CC778" s="146"/>
      <c r="CH778" s="148"/>
      <c r="CI778" s="146"/>
    </row>
    <row r="779">
      <c r="C779" s="146"/>
      <c r="I779" s="163"/>
      <c r="J779" s="163"/>
      <c r="K779" s="163"/>
      <c r="Q779" s="148"/>
      <c r="AF779" s="148"/>
      <c r="AG779" s="146"/>
      <c r="AK779" s="148"/>
      <c r="AL779" s="146"/>
      <c r="AO779" s="163"/>
      <c r="AP779" s="163"/>
      <c r="AS779" s="148"/>
      <c r="AT779" s="146"/>
      <c r="BE779" s="148"/>
      <c r="BF779" s="146"/>
      <c r="BL779" s="148"/>
      <c r="BM779" s="146"/>
      <c r="BP779" s="148"/>
      <c r="BQ779" s="146"/>
      <c r="BV779" s="148"/>
      <c r="BW779" s="146"/>
      <c r="CC779" s="146"/>
      <c r="CH779" s="148"/>
      <c r="CI779" s="146"/>
    </row>
    <row r="780">
      <c r="C780" s="146"/>
      <c r="I780" s="163"/>
      <c r="J780" s="163"/>
      <c r="K780" s="163"/>
      <c r="Q780" s="148"/>
      <c r="AF780" s="148"/>
      <c r="AG780" s="146"/>
      <c r="AK780" s="148"/>
      <c r="AL780" s="146"/>
      <c r="AO780" s="163"/>
      <c r="AP780" s="163"/>
      <c r="AS780" s="148"/>
      <c r="AT780" s="146"/>
      <c r="BE780" s="148"/>
      <c r="BF780" s="146"/>
      <c r="BL780" s="148"/>
      <c r="BM780" s="146"/>
      <c r="BP780" s="148"/>
      <c r="BQ780" s="146"/>
      <c r="BV780" s="148"/>
      <c r="BW780" s="146"/>
      <c r="CC780" s="146"/>
      <c r="CH780" s="148"/>
      <c r="CI780" s="146"/>
    </row>
    <row r="781">
      <c r="C781" s="146"/>
      <c r="I781" s="163"/>
      <c r="J781" s="163"/>
      <c r="K781" s="163"/>
      <c r="Q781" s="148"/>
      <c r="AF781" s="148"/>
      <c r="AG781" s="146"/>
      <c r="AK781" s="148"/>
      <c r="AL781" s="146"/>
      <c r="AO781" s="163"/>
      <c r="AP781" s="163"/>
      <c r="AS781" s="148"/>
      <c r="AT781" s="146"/>
      <c r="BE781" s="148"/>
      <c r="BF781" s="146"/>
      <c r="BL781" s="148"/>
      <c r="BM781" s="146"/>
      <c r="BP781" s="148"/>
      <c r="BQ781" s="146"/>
      <c r="BV781" s="148"/>
      <c r="BW781" s="146"/>
      <c r="CC781" s="146"/>
      <c r="CH781" s="148"/>
      <c r="CI781" s="146"/>
    </row>
    <row r="782">
      <c r="C782" s="146"/>
      <c r="I782" s="163"/>
      <c r="J782" s="163"/>
      <c r="K782" s="163"/>
      <c r="Q782" s="148"/>
      <c r="AF782" s="148"/>
      <c r="AG782" s="146"/>
      <c r="AK782" s="148"/>
      <c r="AL782" s="146"/>
      <c r="AO782" s="163"/>
      <c r="AP782" s="163"/>
      <c r="AS782" s="148"/>
      <c r="AT782" s="146"/>
      <c r="BE782" s="148"/>
      <c r="BF782" s="146"/>
      <c r="BL782" s="148"/>
      <c r="BM782" s="146"/>
      <c r="BP782" s="148"/>
      <c r="BQ782" s="146"/>
      <c r="BV782" s="148"/>
      <c r="BW782" s="146"/>
      <c r="CC782" s="146"/>
      <c r="CH782" s="148"/>
      <c r="CI782" s="146"/>
    </row>
    <row r="783">
      <c r="C783" s="146"/>
      <c r="I783" s="163"/>
      <c r="J783" s="163"/>
      <c r="K783" s="163"/>
      <c r="Q783" s="148"/>
      <c r="AF783" s="148"/>
      <c r="AG783" s="146"/>
      <c r="AK783" s="148"/>
      <c r="AL783" s="146"/>
      <c r="AO783" s="163"/>
      <c r="AP783" s="163"/>
      <c r="AS783" s="148"/>
      <c r="AT783" s="146"/>
      <c r="BE783" s="148"/>
      <c r="BF783" s="146"/>
      <c r="BL783" s="148"/>
      <c r="BM783" s="146"/>
      <c r="BP783" s="148"/>
      <c r="BQ783" s="146"/>
      <c r="BV783" s="148"/>
      <c r="BW783" s="146"/>
      <c r="CC783" s="146"/>
      <c r="CH783" s="148"/>
      <c r="CI783" s="146"/>
    </row>
    <row r="784">
      <c r="C784" s="146"/>
      <c r="I784" s="163"/>
      <c r="J784" s="163"/>
      <c r="K784" s="163"/>
      <c r="Q784" s="148"/>
      <c r="AF784" s="148"/>
      <c r="AG784" s="146"/>
      <c r="AK784" s="148"/>
      <c r="AL784" s="146"/>
      <c r="AO784" s="163"/>
      <c r="AP784" s="163"/>
      <c r="AS784" s="148"/>
      <c r="AT784" s="146"/>
      <c r="BE784" s="148"/>
      <c r="BF784" s="146"/>
      <c r="BL784" s="148"/>
      <c r="BM784" s="146"/>
      <c r="BP784" s="148"/>
      <c r="BQ784" s="146"/>
      <c r="BV784" s="148"/>
      <c r="BW784" s="146"/>
      <c r="CC784" s="146"/>
      <c r="CH784" s="148"/>
      <c r="CI784" s="146"/>
    </row>
    <row r="785">
      <c r="C785" s="146"/>
      <c r="I785" s="163"/>
      <c r="J785" s="163"/>
      <c r="K785" s="163"/>
      <c r="Q785" s="148"/>
      <c r="AF785" s="148"/>
      <c r="AG785" s="146"/>
      <c r="AK785" s="148"/>
      <c r="AL785" s="146"/>
      <c r="AO785" s="163"/>
      <c r="AP785" s="163"/>
      <c r="AS785" s="148"/>
      <c r="AT785" s="146"/>
      <c r="BE785" s="148"/>
      <c r="BF785" s="146"/>
      <c r="BL785" s="148"/>
      <c r="BM785" s="146"/>
      <c r="BP785" s="148"/>
      <c r="BQ785" s="146"/>
      <c r="BV785" s="148"/>
      <c r="BW785" s="146"/>
      <c r="CC785" s="146"/>
      <c r="CH785" s="148"/>
      <c r="CI785" s="146"/>
    </row>
    <row r="786">
      <c r="C786" s="146"/>
      <c r="I786" s="163"/>
      <c r="J786" s="163"/>
      <c r="K786" s="163"/>
      <c r="Q786" s="148"/>
      <c r="AF786" s="148"/>
      <c r="AG786" s="146"/>
      <c r="AK786" s="148"/>
      <c r="AL786" s="146"/>
      <c r="AO786" s="163"/>
      <c r="AP786" s="163"/>
      <c r="AS786" s="148"/>
      <c r="AT786" s="146"/>
      <c r="BE786" s="148"/>
      <c r="BF786" s="146"/>
      <c r="BL786" s="148"/>
      <c r="BM786" s="146"/>
      <c r="BP786" s="148"/>
      <c r="BQ786" s="146"/>
      <c r="BV786" s="148"/>
      <c r="BW786" s="146"/>
      <c r="CC786" s="146"/>
      <c r="CH786" s="148"/>
      <c r="CI786" s="146"/>
    </row>
    <row r="787">
      <c r="C787" s="146"/>
      <c r="I787" s="163"/>
      <c r="J787" s="163"/>
      <c r="K787" s="163"/>
      <c r="Q787" s="148"/>
      <c r="AF787" s="148"/>
      <c r="AG787" s="146"/>
      <c r="AK787" s="148"/>
      <c r="AL787" s="146"/>
      <c r="AO787" s="163"/>
      <c r="AP787" s="163"/>
      <c r="AS787" s="148"/>
      <c r="AT787" s="146"/>
      <c r="BE787" s="148"/>
      <c r="BF787" s="146"/>
      <c r="BL787" s="148"/>
      <c r="BM787" s="146"/>
      <c r="BP787" s="148"/>
      <c r="BQ787" s="146"/>
      <c r="BV787" s="148"/>
      <c r="BW787" s="146"/>
      <c r="CC787" s="146"/>
      <c r="CH787" s="148"/>
      <c r="CI787" s="146"/>
    </row>
    <row r="788">
      <c r="C788" s="146"/>
      <c r="I788" s="163"/>
      <c r="J788" s="163"/>
      <c r="K788" s="163"/>
      <c r="Q788" s="148"/>
      <c r="AF788" s="148"/>
      <c r="AG788" s="146"/>
      <c r="AK788" s="148"/>
      <c r="AL788" s="146"/>
      <c r="AO788" s="163"/>
      <c r="AP788" s="163"/>
      <c r="AS788" s="148"/>
      <c r="AT788" s="146"/>
      <c r="BE788" s="148"/>
      <c r="BF788" s="146"/>
      <c r="BL788" s="148"/>
      <c r="BM788" s="146"/>
      <c r="BP788" s="148"/>
      <c r="BQ788" s="146"/>
      <c r="BV788" s="148"/>
      <c r="BW788" s="146"/>
      <c r="CC788" s="146"/>
      <c r="CH788" s="148"/>
      <c r="CI788" s="146"/>
    </row>
    <row r="789">
      <c r="C789" s="146"/>
      <c r="I789" s="163"/>
      <c r="J789" s="163"/>
      <c r="K789" s="163"/>
      <c r="Q789" s="148"/>
      <c r="AF789" s="148"/>
      <c r="AG789" s="146"/>
      <c r="AK789" s="148"/>
      <c r="AL789" s="146"/>
      <c r="AO789" s="163"/>
      <c r="AP789" s="163"/>
      <c r="AS789" s="148"/>
      <c r="AT789" s="146"/>
      <c r="BE789" s="148"/>
      <c r="BF789" s="146"/>
      <c r="BL789" s="148"/>
      <c r="BM789" s="146"/>
      <c r="BP789" s="148"/>
      <c r="BQ789" s="146"/>
      <c r="BV789" s="148"/>
      <c r="BW789" s="146"/>
      <c r="CC789" s="146"/>
      <c r="CH789" s="148"/>
      <c r="CI789" s="146"/>
    </row>
    <row r="790">
      <c r="C790" s="146"/>
      <c r="I790" s="163"/>
      <c r="J790" s="163"/>
      <c r="K790" s="163"/>
      <c r="Q790" s="148"/>
      <c r="AF790" s="148"/>
      <c r="AG790" s="146"/>
      <c r="AK790" s="148"/>
      <c r="AL790" s="146"/>
      <c r="AO790" s="163"/>
      <c r="AP790" s="163"/>
      <c r="AS790" s="148"/>
      <c r="AT790" s="146"/>
      <c r="BE790" s="148"/>
      <c r="BF790" s="146"/>
      <c r="BL790" s="148"/>
      <c r="BM790" s="146"/>
      <c r="BP790" s="148"/>
      <c r="BQ790" s="146"/>
      <c r="BV790" s="148"/>
      <c r="BW790" s="146"/>
      <c r="CC790" s="146"/>
      <c r="CH790" s="148"/>
      <c r="CI790" s="146"/>
    </row>
    <row r="791">
      <c r="C791" s="146"/>
      <c r="I791" s="163"/>
      <c r="J791" s="163"/>
      <c r="K791" s="163"/>
      <c r="Q791" s="148"/>
      <c r="AF791" s="148"/>
      <c r="AG791" s="146"/>
      <c r="AK791" s="148"/>
      <c r="AL791" s="146"/>
      <c r="AO791" s="163"/>
      <c r="AP791" s="163"/>
      <c r="AS791" s="148"/>
      <c r="AT791" s="146"/>
      <c r="BE791" s="148"/>
      <c r="BF791" s="146"/>
      <c r="BL791" s="148"/>
      <c r="BM791" s="146"/>
      <c r="BP791" s="148"/>
      <c r="BQ791" s="146"/>
      <c r="BV791" s="148"/>
      <c r="BW791" s="146"/>
      <c r="CC791" s="146"/>
      <c r="CH791" s="148"/>
      <c r="CI791" s="146"/>
    </row>
    <row r="792">
      <c r="C792" s="146"/>
      <c r="I792" s="163"/>
      <c r="J792" s="163"/>
      <c r="K792" s="163"/>
      <c r="Q792" s="148"/>
      <c r="AF792" s="148"/>
      <c r="AG792" s="146"/>
      <c r="AK792" s="148"/>
      <c r="AL792" s="146"/>
      <c r="AO792" s="163"/>
      <c r="AP792" s="163"/>
      <c r="AS792" s="148"/>
      <c r="AT792" s="146"/>
      <c r="BE792" s="148"/>
      <c r="BF792" s="146"/>
      <c r="BL792" s="148"/>
      <c r="BM792" s="146"/>
      <c r="BP792" s="148"/>
      <c r="BQ792" s="146"/>
      <c r="BV792" s="148"/>
      <c r="BW792" s="146"/>
      <c r="CC792" s="146"/>
      <c r="CH792" s="148"/>
      <c r="CI792" s="146"/>
    </row>
    <row r="793">
      <c r="C793" s="146"/>
      <c r="I793" s="163"/>
      <c r="J793" s="163"/>
      <c r="K793" s="163"/>
      <c r="Q793" s="148"/>
      <c r="AF793" s="148"/>
      <c r="AG793" s="146"/>
      <c r="AK793" s="148"/>
      <c r="AL793" s="146"/>
      <c r="AO793" s="163"/>
      <c r="AP793" s="163"/>
      <c r="AS793" s="148"/>
      <c r="AT793" s="146"/>
      <c r="BE793" s="148"/>
      <c r="BF793" s="146"/>
      <c r="BL793" s="148"/>
      <c r="BM793" s="146"/>
      <c r="BP793" s="148"/>
      <c r="BQ793" s="146"/>
      <c r="BV793" s="148"/>
      <c r="BW793" s="146"/>
      <c r="CC793" s="146"/>
      <c r="CH793" s="148"/>
      <c r="CI793" s="146"/>
    </row>
    <row r="794">
      <c r="C794" s="146"/>
      <c r="I794" s="163"/>
      <c r="J794" s="163"/>
      <c r="K794" s="163"/>
      <c r="Q794" s="148"/>
      <c r="AF794" s="148"/>
      <c r="AG794" s="146"/>
      <c r="AK794" s="148"/>
      <c r="AL794" s="146"/>
      <c r="AO794" s="163"/>
      <c r="AP794" s="163"/>
      <c r="AS794" s="148"/>
      <c r="AT794" s="146"/>
      <c r="BE794" s="148"/>
      <c r="BF794" s="146"/>
      <c r="BL794" s="148"/>
      <c r="BM794" s="146"/>
      <c r="BP794" s="148"/>
      <c r="BQ794" s="146"/>
      <c r="BV794" s="148"/>
      <c r="BW794" s="146"/>
      <c r="CC794" s="146"/>
      <c r="CH794" s="148"/>
      <c r="CI794" s="146"/>
    </row>
    <row r="795">
      <c r="C795" s="146"/>
      <c r="I795" s="163"/>
      <c r="J795" s="163"/>
      <c r="K795" s="163"/>
      <c r="Q795" s="148"/>
      <c r="AF795" s="148"/>
      <c r="AG795" s="146"/>
      <c r="AK795" s="148"/>
      <c r="AL795" s="146"/>
      <c r="AO795" s="163"/>
      <c r="AP795" s="163"/>
      <c r="AS795" s="148"/>
      <c r="AT795" s="146"/>
      <c r="BE795" s="148"/>
      <c r="BF795" s="146"/>
      <c r="BL795" s="148"/>
      <c r="BM795" s="146"/>
      <c r="BP795" s="148"/>
      <c r="BQ795" s="146"/>
      <c r="BV795" s="148"/>
      <c r="BW795" s="146"/>
      <c r="CC795" s="146"/>
      <c r="CH795" s="148"/>
      <c r="CI795" s="146"/>
    </row>
    <row r="796">
      <c r="C796" s="146"/>
      <c r="I796" s="163"/>
      <c r="J796" s="163"/>
      <c r="K796" s="163"/>
      <c r="Q796" s="148"/>
      <c r="AF796" s="148"/>
      <c r="AG796" s="146"/>
      <c r="AK796" s="148"/>
      <c r="AL796" s="146"/>
      <c r="AO796" s="163"/>
      <c r="AP796" s="163"/>
      <c r="AS796" s="148"/>
      <c r="AT796" s="146"/>
      <c r="BE796" s="148"/>
      <c r="BF796" s="146"/>
      <c r="BL796" s="148"/>
      <c r="BM796" s="146"/>
      <c r="BP796" s="148"/>
      <c r="BQ796" s="146"/>
      <c r="BV796" s="148"/>
      <c r="BW796" s="146"/>
      <c r="CC796" s="146"/>
      <c r="CH796" s="148"/>
      <c r="CI796" s="146"/>
    </row>
    <row r="797">
      <c r="C797" s="146"/>
      <c r="I797" s="163"/>
      <c r="J797" s="163"/>
      <c r="K797" s="163"/>
      <c r="Q797" s="148"/>
      <c r="AF797" s="148"/>
      <c r="AG797" s="146"/>
      <c r="AK797" s="148"/>
      <c r="AL797" s="146"/>
      <c r="AO797" s="163"/>
      <c r="AP797" s="163"/>
      <c r="AS797" s="148"/>
      <c r="AT797" s="146"/>
      <c r="BE797" s="148"/>
      <c r="BF797" s="146"/>
      <c r="BL797" s="148"/>
      <c r="BM797" s="146"/>
      <c r="BP797" s="148"/>
      <c r="BQ797" s="146"/>
      <c r="BV797" s="148"/>
      <c r="BW797" s="146"/>
      <c r="CC797" s="146"/>
      <c r="CH797" s="148"/>
      <c r="CI797" s="146"/>
    </row>
    <row r="798">
      <c r="C798" s="146"/>
      <c r="I798" s="163"/>
      <c r="J798" s="163"/>
      <c r="K798" s="163"/>
      <c r="Q798" s="148"/>
      <c r="AF798" s="148"/>
      <c r="AG798" s="146"/>
      <c r="AK798" s="148"/>
      <c r="AL798" s="146"/>
      <c r="AO798" s="163"/>
      <c r="AP798" s="163"/>
      <c r="AS798" s="148"/>
      <c r="AT798" s="146"/>
      <c r="BE798" s="148"/>
      <c r="BF798" s="146"/>
      <c r="BL798" s="148"/>
      <c r="BM798" s="146"/>
      <c r="BP798" s="148"/>
      <c r="BQ798" s="146"/>
      <c r="BV798" s="148"/>
      <c r="BW798" s="146"/>
      <c r="CC798" s="146"/>
      <c r="CH798" s="148"/>
      <c r="CI798" s="146"/>
    </row>
    <row r="799">
      <c r="C799" s="146"/>
      <c r="I799" s="163"/>
      <c r="J799" s="163"/>
      <c r="K799" s="163"/>
      <c r="Q799" s="148"/>
      <c r="AF799" s="148"/>
      <c r="AG799" s="146"/>
      <c r="AK799" s="148"/>
      <c r="AL799" s="146"/>
      <c r="AO799" s="163"/>
      <c r="AP799" s="163"/>
      <c r="AS799" s="148"/>
      <c r="AT799" s="146"/>
      <c r="BE799" s="148"/>
      <c r="BF799" s="146"/>
      <c r="BL799" s="148"/>
      <c r="BM799" s="146"/>
      <c r="BP799" s="148"/>
      <c r="BQ799" s="146"/>
      <c r="BV799" s="148"/>
      <c r="BW799" s="146"/>
      <c r="CC799" s="146"/>
      <c r="CH799" s="148"/>
      <c r="CI799" s="146"/>
    </row>
    <row r="800">
      <c r="C800" s="146"/>
      <c r="I800" s="163"/>
      <c r="J800" s="163"/>
      <c r="K800" s="163"/>
      <c r="Q800" s="148"/>
      <c r="AF800" s="148"/>
      <c r="AG800" s="146"/>
      <c r="AK800" s="148"/>
      <c r="AL800" s="146"/>
      <c r="AO800" s="163"/>
      <c r="AP800" s="163"/>
      <c r="AS800" s="148"/>
      <c r="AT800" s="146"/>
      <c r="BE800" s="148"/>
      <c r="BF800" s="146"/>
      <c r="BL800" s="148"/>
      <c r="BM800" s="146"/>
      <c r="BP800" s="148"/>
      <c r="BQ800" s="146"/>
      <c r="BV800" s="148"/>
      <c r="BW800" s="146"/>
      <c r="CC800" s="146"/>
      <c r="CH800" s="148"/>
      <c r="CI800" s="146"/>
    </row>
    <row r="801">
      <c r="C801" s="146"/>
      <c r="I801" s="163"/>
      <c r="J801" s="163"/>
      <c r="K801" s="163"/>
      <c r="Q801" s="148"/>
      <c r="AF801" s="148"/>
      <c r="AG801" s="146"/>
      <c r="AK801" s="148"/>
      <c r="AL801" s="146"/>
      <c r="AO801" s="163"/>
      <c r="AP801" s="163"/>
      <c r="AS801" s="148"/>
      <c r="AT801" s="146"/>
      <c r="BE801" s="148"/>
      <c r="BF801" s="146"/>
      <c r="BL801" s="148"/>
      <c r="BM801" s="146"/>
      <c r="BP801" s="148"/>
      <c r="BQ801" s="146"/>
      <c r="BV801" s="148"/>
      <c r="BW801" s="146"/>
      <c r="CC801" s="146"/>
      <c r="CH801" s="148"/>
      <c r="CI801" s="146"/>
    </row>
    <row r="802">
      <c r="C802" s="146"/>
      <c r="I802" s="163"/>
      <c r="J802" s="163"/>
      <c r="K802" s="163"/>
      <c r="Q802" s="148"/>
      <c r="AF802" s="148"/>
      <c r="AG802" s="146"/>
      <c r="AK802" s="148"/>
      <c r="AL802" s="146"/>
      <c r="AO802" s="163"/>
      <c r="AP802" s="163"/>
      <c r="AS802" s="148"/>
      <c r="AT802" s="146"/>
      <c r="BE802" s="148"/>
      <c r="BF802" s="146"/>
      <c r="BL802" s="148"/>
      <c r="BM802" s="146"/>
      <c r="BP802" s="148"/>
      <c r="BQ802" s="146"/>
      <c r="BV802" s="148"/>
      <c r="BW802" s="146"/>
      <c r="CC802" s="146"/>
      <c r="CH802" s="148"/>
      <c r="CI802" s="146"/>
    </row>
    <row r="803">
      <c r="C803" s="146"/>
      <c r="I803" s="163"/>
      <c r="J803" s="163"/>
      <c r="K803" s="163"/>
      <c r="Q803" s="148"/>
      <c r="AF803" s="148"/>
      <c r="AG803" s="146"/>
      <c r="AK803" s="148"/>
      <c r="AL803" s="146"/>
      <c r="AO803" s="163"/>
      <c r="AP803" s="163"/>
      <c r="AS803" s="148"/>
      <c r="AT803" s="146"/>
      <c r="BE803" s="148"/>
      <c r="BF803" s="146"/>
      <c r="BL803" s="148"/>
      <c r="BM803" s="146"/>
      <c r="BP803" s="148"/>
      <c r="BQ803" s="146"/>
      <c r="BV803" s="148"/>
      <c r="BW803" s="146"/>
      <c r="CC803" s="146"/>
      <c r="CH803" s="148"/>
      <c r="CI803" s="146"/>
    </row>
    <row r="804">
      <c r="C804" s="146"/>
      <c r="I804" s="163"/>
      <c r="J804" s="163"/>
      <c r="K804" s="163"/>
      <c r="Q804" s="148"/>
      <c r="AF804" s="148"/>
      <c r="AG804" s="146"/>
      <c r="AK804" s="148"/>
      <c r="AL804" s="146"/>
      <c r="AO804" s="163"/>
      <c r="AP804" s="163"/>
      <c r="AS804" s="148"/>
      <c r="AT804" s="146"/>
      <c r="BE804" s="148"/>
      <c r="BF804" s="146"/>
      <c r="BL804" s="148"/>
      <c r="BM804" s="146"/>
      <c r="BP804" s="148"/>
      <c r="BQ804" s="146"/>
      <c r="BV804" s="148"/>
      <c r="BW804" s="146"/>
      <c r="CC804" s="146"/>
      <c r="CH804" s="148"/>
      <c r="CI804" s="146"/>
    </row>
    <row r="805">
      <c r="C805" s="146"/>
      <c r="I805" s="163"/>
      <c r="J805" s="163"/>
      <c r="K805" s="163"/>
      <c r="Q805" s="148"/>
      <c r="AF805" s="148"/>
      <c r="AG805" s="146"/>
      <c r="AK805" s="148"/>
      <c r="AL805" s="146"/>
      <c r="AO805" s="163"/>
      <c r="AP805" s="163"/>
      <c r="AS805" s="148"/>
      <c r="AT805" s="146"/>
      <c r="BE805" s="148"/>
      <c r="BF805" s="146"/>
      <c r="BL805" s="148"/>
      <c r="BM805" s="146"/>
      <c r="BP805" s="148"/>
      <c r="BQ805" s="146"/>
      <c r="BV805" s="148"/>
      <c r="BW805" s="146"/>
      <c r="CC805" s="146"/>
      <c r="CH805" s="148"/>
      <c r="CI805" s="146"/>
    </row>
    <row r="806">
      <c r="C806" s="146"/>
      <c r="I806" s="163"/>
      <c r="J806" s="163"/>
      <c r="K806" s="163"/>
      <c r="Q806" s="148"/>
      <c r="AF806" s="148"/>
      <c r="AG806" s="146"/>
      <c r="AK806" s="148"/>
      <c r="AL806" s="146"/>
      <c r="AO806" s="163"/>
      <c r="AP806" s="163"/>
      <c r="AS806" s="148"/>
      <c r="AT806" s="146"/>
      <c r="BE806" s="148"/>
      <c r="BF806" s="146"/>
      <c r="BL806" s="148"/>
      <c r="BM806" s="146"/>
      <c r="BP806" s="148"/>
      <c r="BQ806" s="146"/>
      <c r="BV806" s="148"/>
      <c r="BW806" s="146"/>
      <c r="CC806" s="146"/>
      <c r="CH806" s="148"/>
      <c r="CI806" s="146"/>
    </row>
    <row r="807">
      <c r="C807" s="146"/>
      <c r="I807" s="163"/>
      <c r="J807" s="163"/>
      <c r="K807" s="163"/>
      <c r="Q807" s="148"/>
      <c r="AF807" s="148"/>
      <c r="AG807" s="146"/>
      <c r="AK807" s="148"/>
      <c r="AL807" s="146"/>
      <c r="AO807" s="163"/>
      <c r="AP807" s="163"/>
      <c r="AS807" s="148"/>
      <c r="AT807" s="146"/>
      <c r="BE807" s="148"/>
      <c r="BF807" s="146"/>
      <c r="BL807" s="148"/>
      <c r="BM807" s="146"/>
      <c r="BP807" s="148"/>
      <c r="BQ807" s="146"/>
      <c r="BV807" s="148"/>
      <c r="BW807" s="146"/>
      <c r="CC807" s="146"/>
      <c r="CH807" s="148"/>
      <c r="CI807" s="146"/>
    </row>
    <row r="808">
      <c r="C808" s="146"/>
      <c r="I808" s="163"/>
      <c r="J808" s="163"/>
      <c r="K808" s="163"/>
      <c r="Q808" s="148"/>
      <c r="AF808" s="148"/>
      <c r="AG808" s="146"/>
      <c r="AK808" s="148"/>
      <c r="AL808" s="146"/>
      <c r="AO808" s="163"/>
      <c r="AP808" s="163"/>
      <c r="AS808" s="148"/>
      <c r="AT808" s="146"/>
      <c r="BE808" s="148"/>
      <c r="BF808" s="146"/>
      <c r="BL808" s="148"/>
      <c r="BM808" s="146"/>
      <c r="BP808" s="148"/>
      <c r="BQ808" s="146"/>
      <c r="BV808" s="148"/>
      <c r="BW808" s="146"/>
      <c r="CC808" s="146"/>
      <c r="CH808" s="148"/>
      <c r="CI808" s="146"/>
    </row>
    <row r="809">
      <c r="C809" s="146"/>
      <c r="I809" s="163"/>
      <c r="J809" s="163"/>
      <c r="K809" s="163"/>
      <c r="Q809" s="148"/>
      <c r="AF809" s="148"/>
      <c r="AG809" s="146"/>
      <c r="AK809" s="148"/>
      <c r="AL809" s="146"/>
      <c r="AO809" s="163"/>
      <c r="AP809" s="163"/>
      <c r="AS809" s="148"/>
      <c r="AT809" s="146"/>
      <c r="BE809" s="148"/>
      <c r="BF809" s="146"/>
      <c r="BL809" s="148"/>
      <c r="BM809" s="146"/>
      <c r="BP809" s="148"/>
      <c r="BQ809" s="146"/>
      <c r="BV809" s="148"/>
      <c r="BW809" s="146"/>
      <c r="CC809" s="146"/>
      <c r="CH809" s="148"/>
      <c r="CI809" s="146"/>
    </row>
    <row r="810">
      <c r="C810" s="146"/>
      <c r="I810" s="163"/>
      <c r="J810" s="163"/>
      <c r="K810" s="163"/>
      <c r="Q810" s="148"/>
      <c r="AF810" s="148"/>
      <c r="AG810" s="146"/>
      <c r="AK810" s="148"/>
      <c r="AL810" s="146"/>
      <c r="AO810" s="163"/>
      <c r="AP810" s="163"/>
      <c r="AS810" s="148"/>
      <c r="AT810" s="146"/>
      <c r="BE810" s="148"/>
      <c r="BF810" s="146"/>
      <c r="BL810" s="148"/>
      <c r="BM810" s="146"/>
      <c r="BP810" s="148"/>
      <c r="BQ810" s="146"/>
      <c r="BV810" s="148"/>
      <c r="BW810" s="146"/>
      <c r="CC810" s="146"/>
      <c r="CH810" s="148"/>
      <c r="CI810" s="146"/>
    </row>
    <row r="811">
      <c r="C811" s="146"/>
      <c r="I811" s="163"/>
      <c r="J811" s="163"/>
      <c r="K811" s="163"/>
      <c r="Q811" s="148"/>
      <c r="AF811" s="148"/>
      <c r="AG811" s="146"/>
      <c r="AK811" s="148"/>
      <c r="AL811" s="146"/>
      <c r="AO811" s="163"/>
      <c r="AP811" s="163"/>
      <c r="AS811" s="148"/>
      <c r="AT811" s="146"/>
      <c r="BE811" s="148"/>
      <c r="BF811" s="146"/>
      <c r="BL811" s="148"/>
      <c r="BM811" s="146"/>
      <c r="BP811" s="148"/>
      <c r="BQ811" s="146"/>
      <c r="BV811" s="148"/>
      <c r="BW811" s="146"/>
      <c r="CC811" s="146"/>
      <c r="CH811" s="148"/>
      <c r="CI811" s="146"/>
    </row>
    <row r="812">
      <c r="C812" s="146"/>
      <c r="I812" s="163"/>
      <c r="J812" s="163"/>
      <c r="K812" s="163"/>
      <c r="Q812" s="148"/>
      <c r="AF812" s="148"/>
      <c r="AG812" s="146"/>
      <c r="AK812" s="148"/>
      <c r="AL812" s="146"/>
      <c r="AO812" s="163"/>
      <c r="AP812" s="163"/>
      <c r="AS812" s="148"/>
      <c r="AT812" s="146"/>
      <c r="BE812" s="148"/>
      <c r="BF812" s="146"/>
      <c r="BL812" s="148"/>
      <c r="BM812" s="146"/>
      <c r="BP812" s="148"/>
      <c r="BQ812" s="146"/>
      <c r="BV812" s="148"/>
      <c r="BW812" s="146"/>
      <c r="CC812" s="146"/>
      <c r="CH812" s="148"/>
      <c r="CI812" s="146"/>
    </row>
    <row r="813">
      <c r="C813" s="146"/>
      <c r="I813" s="163"/>
      <c r="J813" s="163"/>
      <c r="K813" s="163"/>
      <c r="Q813" s="148"/>
      <c r="AF813" s="148"/>
      <c r="AG813" s="146"/>
      <c r="AK813" s="148"/>
      <c r="AL813" s="146"/>
      <c r="AO813" s="163"/>
      <c r="AP813" s="163"/>
      <c r="AS813" s="148"/>
      <c r="AT813" s="146"/>
      <c r="BE813" s="148"/>
      <c r="BF813" s="146"/>
      <c r="BL813" s="148"/>
      <c r="BM813" s="146"/>
      <c r="BP813" s="148"/>
      <c r="BQ813" s="146"/>
      <c r="BV813" s="148"/>
      <c r="BW813" s="146"/>
      <c r="CC813" s="146"/>
      <c r="CH813" s="148"/>
      <c r="CI813" s="146"/>
    </row>
    <row r="814">
      <c r="C814" s="146"/>
      <c r="I814" s="163"/>
      <c r="J814" s="163"/>
      <c r="K814" s="163"/>
      <c r="Q814" s="148"/>
      <c r="AF814" s="148"/>
      <c r="AG814" s="146"/>
      <c r="AK814" s="148"/>
      <c r="AL814" s="146"/>
      <c r="AO814" s="163"/>
      <c r="AP814" s="163"/>
      <c r="AS814" s="148"/>
      <c r="AT814" s="146"/>
      <c r="BE814" s="148"/>
      <c r="BF814" s="146"/>
      <c r="BL814" s="148"/>
      <c r="BM814" s="146"/>
      <c r="BP814" s="148"/>
      <c r="BQ814" s="146"/>
      <c r="BV814" s="148"/>
      <c r="BW814" s="146"/>
      <c r="CC814" s="146"/>
      <c r="CH814" s="148"/>
      <c r="CI814" s="146"/>
    </row>
    <row r="815">
      <c r="C815" s="146"/>
      <c r="I815" s="163"/>
      <c r="J815" s="163"/>
      <c r="K815" s="163"/>
      <c r="Q815" s="148"/>
      <c r="AF815" s="148"/>
      <c r="AG815" s="146"/>
      <c r="AK815" s="148"/>
      <c r="AL815" s="146"/>
      <c r="AO815" s="163"/>
      <c r="AP815" s="163"/>
      <c r="AS815" s="148"/>
      <c r="AT815" s="146"/>
      <c r="BE815" s="148"/>
      <c r="BF815" s="146"/>
      <c r="BL815" s="148"/>
      <c r="BM815" s="146"/>
      <c r="BP815" s="148"/>
      <c r="BQ815" s="146"/>
      <c r="BV815" s="148"/>
      <c r="BW815" s="146"/>
      <c r="CC815" s="146"/>
      <c r="CH815" s="148"/>
      <c r="CI815" s="146"/>
    </row>
    <row r="816">
      <c r="C816" s="146"/>
      <c r="I816" s="163"/>
      <c r="J816" s="163"/>
      <c r="K816" s="163"/>
      <c r="Q816" s="148"/>
      <c r="AF816" s="148"/>
      <c r="AG816" s="146"/>
      <c r="AK816" s="148"/>
      <c r="AL816" s="146"/>
      <c r="AO816" s="163"/>
      <c r="AP816" s="163"/>
      <c r="AS816" s="148"/>
      <c r="AT816" s="146"/>
      <c r="BE816" s="148"/>
      <c r="BF816" s="146"/>
      <c r="BL816" s="148"/>
      <c r="BM816" s="146"/>
      <c r="BP816" s="148"/>
      <c r="BQ816" s="146"/>
      <c r="BV816" s="148"/>
      <c r="BW816" s="146"/>
      <c r="CC816" s="146"/>
      <c r="CH816" s="148"/>
      <c r="CI816" s="146"/>
    </row>
    <row r="817">
      <c r="C817" s="146"/>
      <c r="I817" s="163"/>
      <c r="J817" s="163"/>
      <c r="K817" s="163"/>
      <c r="Q817" s="148"/>
      <c r="AF817" s="148"/>
      <c r="AG817" s="146"/>
      <c r="AK817" s="148"/>
      <c r="AL817" s="146"/>
      <c r="AO817" s="163"/>
      <c r="AP817" s="163"/>
      <c r="AS817" s="148"/>
      <c r="AT817" s="146"/>
      <c r="BE817" s="148"/>
      <c r="BF817" s="146"/>
      <c r="BL817" s="148"/>
      <c r="BM817" s="146"/>
      <c r="BP817" s="148"/>
      <c r="BQ817" s="146"/>
      <c r="BV817" s="148"/>
      <c r="BW817" s="146"/>
      <c r="CC817" s="146"/>
      <c r="CH817" s="148"/>
      <c r="CI817" s="146"/>
    </row>
    <row r="818">
      <c r="C818" s="146"/>
      <c r="I818" s="163"/>
      <c r="J818" s="163"/>
      <c r="K818" s="163"/>
      <c r="Q818" s="148"/>
      <c r="AF818" s="148"/>
      <c r="AG818" s="146"/>
      <c r="AK818" s="148"/>
      <c r="AL818" s="146"/>
      <c r="AO818" s="163"/>
      <c r="AP818" s="163"/>
      <c r="AS818" s="148"/>
      <c r="AT818" s="146"/>
      <c r="BE818" s="148"/>
      <c r="BF818" s="146"/>
      <c r="BL818" s="148"/>
      <c r="BM818" s="146"/>
      <c r="BP818" s="148"/>
      <c r="BQ818" s="146"/>
      <c r="BV818" s="148"/>
      <c r="BW818" s="146"/>
      <c r="CC818" s="146"/>
      <c r="CH818" s="148"/>
      <c r="CI818" s="146"/>
    </row>
    <row r="819">
      <c r="C819" s="146"/>
      <c r="I819" s="163"/>
      <c r="J819" s="163"/>
      <c r="K819" s="163"/>
      <c r="Q819" s="148"/>
      <c r="AF819" s="148"/>
      <c r="AG819" s="146"/>
      <c r="AK819" s="148"/>
      <c r="AL819" s="146"/>
      <c r="AO819" s="163"/>
      <c r="AP819" s="163"/>
      <c r="AS819" s="148"/>
      <c r="AT819" s="146"/>
      <c r="BE819" s="148"/>
      <c r="BF819" s="146"/>
      <c r="BL819" s="148"/>
      <c r="BM819" s="146"/>
      <c r="BP819" s="148"/>
      <c r="BQ819" s="146"/>
      <c r="BV819" s="148"/>
      <c r="BW819" s="146"/>
      <c r="CC819" s="146"/>
      <c r="CH819" s="148"/>
      <c r="CI819" s="146"/>
    </row>
    <row r="820">
      <c r="C820" s="146"/>
      <c r="I820" s="163"/>
      <c r="J820" s="163"/>
      <c r="K820" s="163"/>
      <c r="Q820" s="148"/>
      <c r="AF820" s="148"/>
      <c r="AG820" s="146"/>
      <c r="AK820" s="148"/>
      <c r="AL820" s="146"/>
      <c r="AO820" s="163"/>
      <c r="AP820" s="163"/>
      <c r="AS820" s="148"/>
      <c r="AT820" s="146"/>
      <c r="BE820" s="148"/>
      <c r="BF820" s="146"/>
      <c r="BL820" s="148"/>
      <c r="BM820" s="146"/>
      <c r="BP820" s="148"/>
      <c r="BQ820" s="146"/>
      <c r="BV820" s="148"/>
      <c r="BW820" s="146"/>
      <c r="CC820" s="146"/>
      <c r="CH820" s="148"/>
      <c r="CI820" s="146"/>
    </row>
    <row r="821">
      <c r="C821" s="146"/>
      <c r="I821" s="163"/>
      <c r="J821" s="163"/>
      <c r="K821" s="163"/>
      <c r="Q821" s="148"/>
      <c r="AF821" s="148"/>
      <c r="AG821" s="146"/>
      <c r="AK821" s="148"/>
      <c r="AL821" s="146"/>
      <c r="AO821" s="163"/>
      <c r="AP821" s="163"/>
      <c r="AS821" s="148"/>
      <c r="AT821" s="146"/>
      <c r="BE821" s="148"/>
      <c r="BF821" s="146"/>
      <c r="BL821" s="148"/>
      <c r="BM821" s="146"/>
      <c r="BP821" s="148"/>
      <c r="BQ821" s="146"/>
      <c r="BV821" s="148"/>
      <c r="BW821" s="146"/>
      <c r="CC821" s="146"/>
      <c r="CH821" s="148"/>
      <c r="CI821" s="146"/>
    </row>
    <row r="822">
      <c r="C822" s="146"/>
      <c r="I822" s="163"/>
      <c r="J822" s="163"/>
      <c r="K822" s="163"/>
      <c r="Q822" s="148"/>
      <c r="AF822" s="148"/>
      <c r="AG822" s="146"/>
      <c r="AK822" s="148"/>
      <c r="AL822" s="146"/>
      <c r="AO822" s="163"/>
      <c r="AP822" s="163"/>
      <c r="AS822" s="148"/>
      <c r="AT822" s="146"/>
      <c r="BE822" s="148"/>
      <c r="BF822" s="146"/>
      <c r="BL822" s="148"/>
      <c r="BM822" s="146"/>
      <c r="BP822" s="148"/>
      <c r="BQ822" s="146"/>
      <c r="BV822" s="148"/>
      <c r="BW822" s="146"/>
      <c r="CC822" s="146"/>
      <c r="CH822" s="148"/>
      <c r="CI822" s="146"/>
    </row>
    <row r="823">
      <c r="C823" s="146"/>
      <c r="I823" s="163"/>
      <c r="J823" s="163"/>
      <c r="K823" s="163"/>
      <c r="Q823" s="148"/>
      <c r="AF823" s="148"/>
      <c r="AG823" s="146"/>
      <c r="AK823" s="148"/>
      <c r="AL823" s="146"/>
      <c r="AO823" s="163"/>
      <c r="AP823" s="163"/>
      <c r="AS823" s="148"/>
      <c r="AT823" s="146"/>
      <c r="BE823" s="148"/>
      <c r="BF823" s="146"/>
      <c r="BL823" s="148"/>
      <c r="BM823" s="146"/>
      <c r="BP823" s="148"/>
      <c r="BQ823" s="146"/>
      <c r="BV823" s="148"/>
      <c r="BW823" s="146"/>
      <c r="CC823" s="146"/>
      <c r="CH823" s="148"/>
      <c r="CI823" s="146"/>
    </row>
    <row r="824">
      <c r="C824" s="146"/>
      <c r="I824" s="163"/>
      <c r="J824" s="163"/>
      <c r="K824" s="163"/>
      <c r="Q824" s="148"/>
      <c r="AF824" s="148"/>
      <c r="AG824" s="146"/>
      <c r="AK824" s="148"/>
      <c r="AL824" s="146"/>
      <c r="AO824" s="163"/>
      <c r="AP824" s="163"/>
      <c r="AS824" s="148"/>
      <c r="AT824" s="146"/>
      <c r="BE824" s="148"/>
      <c r="BF824" s="146"/>
      <c r="BL824" s="148"/>
      <c r="BM824" s="146"/>
      <c r="BP824" s="148"/>
      <c r="BQ824" s="146"/>
      <c r="BV824" s="148"/>
      <c r="BW824" s="146"/>
      <c r="CC824" s="146"/>
      <c r="CH824" s="148"/>
      <c r="CI824" s="146"/>
    </row>
    <row r="825">
      <c r="C825" s="146"/>
      <c r="I825" s="163"/>
      <c r="J825" s="163"/>
      <c r="K825" s="163"/>
      <c r="Q825" s="148"/>
      <c r="AF825" s="148"/>
      <c r="AG825" s="146"/>
      <c r="AK825" s="148"/>
      <c r="AL825" s="146"/>
      <c r="AO825" s="163"/>
      <c r="AP825" s="163"/>
      <c r="AS825" s="148"/>
      <c r="AT825" s="146"/>
      <c r="BE825" s="148"/>
      <c r="BF825" s="146"/>
      <c r="BL825" s="148"/>
      <c r="BM825" s="146"/>
      <c r="BP825" s="148"/>
      <c r="BQ825" s="146"/>
      <c r="BV825" s="148"/>
      <c r="BW825" s="146"/>
      <c r="CC825" s="146"/>
      <c r="CH825" s="148"/>
      <c r="CI825" s="146"/>
    </row>
    <row r="826">
      <c r="C826" s="146"/>
      <c r="I826" s="163"/>
      <c r="J826" s="163"/>
      <c r="K826" s="163"/>
      <c r="Q826" s="148"/>
      <c r="AF826" s="148"/>
      <c r="AG826" s="146"/>
      <c r="AK826" s="148"/>
      <c r="AL826" s="146"/>
      <c r="AO826" s="163"/>
      <c r="AP826" s="163"/>
      <c r="AS826" s="148"/>
      <c r="AT826" s="146"/>
      <c r="BE826" s="148"/>
      <c r="BF826" s="146"/>
      <c r="BL826" s="148"/>
      <c r="BM826" s="146"/>
      <c r="BP826" s="148"/>
      <c r="BQ826" s="146"/>
      <c r="BV826" s="148"/>
      <c r="BW826" s="146"/>
      <c r="CC826" s="146"/>
      <c r="CH826" s="148"/>
      <c r="CI826" s="146"/>
    </row>
    <row r="827">
      <c r="C827" s="146"/>
      <c r="I827" s="163"/>
      <c r="J827" s="163"/>
      <c r="K827" s="163"/>
      <c r="Q827" s="148"/>
      <c r="AF827" s="148"/>
      <c r="AG827" s="146"/>
      <c r="AK827" s="148"/>
      <c r="AL827" s="146"/>
      <c r="AO827" s="163"/>
      <c r="AP827" s="163"/>
      <c r="AS827" s="148"/>
      <c r="AT827" s="146"/>
      <c r="BE827" s="148"/>
      <c r="BF827" s="146"/>
      <c r="BL827" s="148"/>
      <c r="BM827" s="146"/>
      <c r="BP827" s="148"/>
      <c r="BQ827" s="146"/>
      <c r="BV827" s="148"/>
      <c r="BW827" s="146"/>
      <c r="CC827" s="146"/>
      <c r="CH827" s="148"/>
      <c r="CI827" s="146"/>
    </row>
    <row r="828">
      <c r="C828" s="146"/>
      <c r="I828" s="163"/>
      <c r="J828" s="163"/>
      <c r="K828" s="163"/>
      <c r="Q828" s="148"/>
      <c r="AF828" s="148"/>
      <c r="AG828" s="146"/>
      <c r="AK828" s="148"/>
      <c r="AL828" s="146"/>
      <c r="AO828" s="163"/>
      <c r="AP828" s="163"/>
      <c r="AS828" s="148"/>
      <c r="AT828" s="146"/>
      <c r="BE828" s="148"/>
      <c r="BF828" s="146"/>
      <c r="BL828" s="148"/>
      <c r="BM828" s="146"/>
      <c r="BP828" s="148"/>
      <c r="BQ828" s="146"/>
      <c r="BV828" s="148"/>
      <c r="BW828" s="146"/>
      <c r="CC828" s="146"/>
      <c r="CH828" s="148"/>
      <c r="CI828" s="146"/>
    </row>
    <row r="829">
      <c r="C829" s="146"/>
      <c r="I829" s="163"/>
      <c r="J829" s="163"/>
      <c r="K829" s="163"/>
      <c r="Q829" s="148"/>
      <c r="AF829" s="148"/>
      <c r="AG829" s="146"/>
      <c r="AK829" s="148"/>
      <c r="AL829" s="146"/>
      <c r="AO829" s="163"/>
      <c r="AP829" s="163"/>
      <c r="AS829" s="148"/>
      <c r="AT829" s="146"/>
      <c r="BE829" s="148"/>
      <c r="BF829" s="146"/>
      <c r="BL829" s="148"/>
      <c r="BM829" s="146"/>
      <c r="BP829" s="148"/>
      <c r="BQ829" s="146"/>
      <c r="BV829" s="148"/>
      <c r="BW829" s="146"/>
      <c r="CC829" s="146"/>
      <c r="CH829" s="148"/>
      <c r="CI829" s="146"/>
    </row>
    <row r="830">
      <c r="C830" s="146"/>
      <c r="I830" s="163"/>
      <c r="J830" s="163"/>
      <c r="K830" s="163"/>
      <c r="Q830" s="148"/>
      <c r="AF830" s="148"/>
      <c r="AG830" s="146"/>
      <c r="AK830" s="148"/>
      <c r="AL830" s="146"/>
      <c r="AO830" s="163"/>
      <c r="AP830" s="163"/>
      <c r="AS830" s="148"/>
      <c r="AT830" s="146"/>
      <c r="BE830" s="148"/>
      <c r="BF830" s="146"/>
      <c r="BL830" s="148"/>
      <c r="BM830" s="146"/>
      <c r="BP830" s="148"/>
      <c r="BQ830" s="146"/>
      <c r="BV830" s="148"/>
      <c r="BW830" s="146"/>
      <c r="CC830" s="146"/>
      <c r="CH830" s="148"/>
      <c r="CI830" s="146"/>
    </row>
    <row r="831">
      <c r="C831" s="146"/>
      <c r="I831" s="163"/>
      <c r="J831" s="163"/>
      <c r="K831" s="163"/>
      <c r="Q831" s="148"/>
      <c r="AF831" s="148"/>
      <c r="AG831" s="146"/>
      <c r="AK831" s="148"/>
      <c r="AL831" s="146"/>
      <c r="AO831" s="163"/>
      <c r="AP831" s="163"/>
      <c r="AS831" s="148"/>
      <c r="AT831" s="146"/>
      <c r="BE831" s="148"/>
      <c r="BF831" s="146"/>
      <c r="BL831" s="148"/>
      <c r="BM831" s="146"/>
      <c r="BP831" s="148"/>
      <c r="BQ831" s="146"/>
      <c r="BV831" s="148"/>
      <c r="BW831" s="146"/>
      <c r="CC831" s="146"/>
      <c r="CH831" s="148"/>
      <c r="CI831" s="146"/>
    </row>
    <row r="832">
      <c r="C832" s="146"/>
      <c r="I832" s="163"/>
      <c r="J832" s="163"/>
      <c r="K832" s="163"/>
      <c r="Q832" s="148"/>
      <c r="AF832" s="148"/>
      <c r="AG832" s="146"/>
      <c r="AK832" s="148"/>
      <c r="AL832" s="146"/>
      <c r="AO832" s="163"/>
      <c r="AP832" s="163"/>
      <c r="AS832" s="148"/>
      <c r="AT832" s="146"/>
      <c r="BE832" s="148"/>
      <c r="BF832" s="146"/>
      <c r="BL832" s="148"/>
      <c r="BM832" s="146"/>
      <c r="BP832" s="148"/>
      <c r="BQ832" s="146"/>
      <c r="BV832" s="148"/>
      <c r="BW832" s="146"/>
      <c r="CC832" s="146"/>
      <c r="CH832" s="148"/>
      <c r="CI832" s="146"/>
    </row>
    <row r="833">
      <c r="C833" s="146"/>
      <c r="I833" s="163"/>
      <c r="J833" s="163"/>
      <c r="K833" s="163"/>
      <c r="Q833" s="148"/>
      <c r="AF833" s="148"/>
      <c r="AG833" s="146"/>
      <c r="AK833" s="148"/>
      <c r="AL833" s="146"/>
      <c r="AO833" s="163"/>
      <c r="AP833" s="163"/>
      <c r="AS833" s="148"/>
      <c r="AT833" s="146"/>
      <c r="BE833" s="148"/>
      <c r="BF833" s="146"/>
      <c r="BL833" s="148"/>
      <c r="BM833" s="146"/>
      <c r="BP833" s="148"/>
      <c r="BQ833" s="146"/>
      <c r="BV833" s="148"/>
      <c r="BW833" s="146"/>
      <c r="CC833" s="146"/>
      <c r="CH833" s="148"/>
      <c r="CI833" s="146"/>
    </row>
    <row r="834">
      <c r="C834" s="146"/>
      <c r="I834" s="163"/>
      <c r="J834" s="163"/>
      <c r="K834" s="163"/>
      <c r="Q834" s="148"/>
      <c r="AF834" s="148"/>
      <c r="AG834" s="146"/>
      <c r="AK834" s="148"/>
      <c r="AL834" s="146"/>
      <c r="AO834" s="163"/>
      <c r="AP834" s="163"/>
      <c r="AS834" s="148"/>
      <c r="AT834" s="146"/>
      <c r="BE834" s="148"/>
      <c r="BF834" s="146"/>
      <c r="BL834" s="148"/>
      <c r="BM834" s="146"/>
      <c r="BP834" s="148"/>
      <c r="BQ834" s="146"/>
      <c r="BV834" s="148"/>
      <c r="BW834" s="146"/>
      <c r="CC834" s="146"/>
      <c r="CH834" s="148"/>
      <c r="CI834" s="146"/>
    </row>
    <row r="835">
      <c r="C835" s="146"/>
      <c r="I835" s="163"/>
      <c r="J835" s="163"/>
      <c r="K835" s="163"/>
      <c r="Q835" s="148"/>
      <c r="AF835" s="148"/>
      <c r="AG835" s="146"/>
      <c r="AK835" s="148"/>
      <c r="AL835" s="146"/>
      <c r="AO835" s="163"/>
      <c r="AP835" s="163"/>
      <c r="AS835" s="148"/>
      <c r="AT835" s="146"/>
      <c r="BE835" s="148"/>
      <c r="BF835" s="146"/>
      <c r="BL835" s="148"/>
      <c r="BM835" s="146"/>
      <c r="BP835" s="148"/>
      <c r="BQ835" s="146"/>
      <c r="BV835" s="148"/>
      <c r="BW835" s="146"/>
      <c r="CC835" s="146"/>
      <c r="CH835" s="148"/>
      <c r="CI835" s="146"/>
    </row>
    <row r="836">
      <c r="C836" s="146"/>
      <c r="I836" s="163"/>
      <c r="J836" s="163"/>
      <c r="K836" s="163"/>
      <c r="Q836" s="148"/>
      <c r="AF836" s="148"/>
      <c r="AG836" s="146"/>
      <c r="AK836" s="148"/>
      <c r="AL836" s="146"/>
      <c r="AO836" s="163"/>
      <c r="AP836" s="163"/>
      <c r="AS836" s="148"/>
      <c r="AT836" s="146"/>
      <c r="BE836" s="148"/>
      <c r="BF836" s="146"/>
      <c r="BL836" s="148"/>
      <c r="BM836" s="146"/>
      <c r="BP836" s="148"/>
      <c r="BQ836" s="146"/>
      <c r="BV836" s="148"/>
      <c r="BW836" s="146"/>
      <c r="CC836" s="146"/>
      <c r="CH836" s="148"/>
      <c r="CI836" s="146"/>
    </row>
    <row r="837">
      <c r="C837" s="146"/>
      <c r="I837" s="163"/>
      <c r="J837" s="163"/>
      <c r="K837" s="163"/>
      <c r="Q837" s="148"/>
      <c r="AF837" s="148"/>
      <c r="AG837" s="146"/>
      <c r="AK837" s="148"/>
      <c r="AL837" s="146"/>
      <c r="AO837" s="163"/>
      <c r="AP837" s="163"/>
      <c r="AS837" s="148"/>
      <c r="AT837" s="146"/>
      <c r="BE837" s="148"/>
      <c r="BF837" s="146"/>
      <c r="BL837" s="148"/>
      <c r="BM837" s="146"/>
      <c r="BP837" s="148"/>
      <c r="BQ837" s="146"/>
      <c r="BV837" s="148"/>
      <c r="BW837" s="146"/>
      <c r="CC837" s="146"/>
      <c r="CH837" s="148"/>
      <c r="CI837" s="146"/>
    </row>
    <row r="838">
      <c r="C838" s="146"/>
      <c r="I838" s="163"/>
      <c r="J838" s="163"/>
      <c r="K838" s="163"/>
      <c r="Q838" s="148"/>
      <c r="AF838" s="148"/>
      <c r="AG838" s="146"/>
      <c r="AK838" s="148"/>
      <c r="AL838" s="146"/>
      <c r="AO838" s="163"/>
      <c r="AP838" s="163"/>
      <c r="AS838" s="148"/>
      <c r="AT838" s="146"/>
      <c r="BE838" s="148"/>
      <c r="BF838" s="146"/>
      <c r="BL838" s="148"/>
      <c r="BM838" s="146"/>
      <c r="BP838" s="148"/>
      <c r="BQ838" s="146"/>
      <c r="BV838" s="148"/>
      <c r="BW838" s="146"/>
      <c r="CC838" s="146"/>
      <c r="CH838" s="148"/>
      <c r="CI838" s="146"/>
    </row>
    <row r="839">
      <c r="C839" s="146"/>
      <c r="I839" s="163"/>
      <c r="J839" s="163"/>
      <c r="K839" s="163"/>
      <c r="Q839" s="148"/>
      <c r="AF839" s="148"/>
      <c r="AG839" s="146"/>
      <c r="AK839" s="148"/>
      <c r="AL839" s="146"/>
      <c r="AO839" s="163"/>
      <c r="AP839" s="163"/>
      <c r="AS839" s="148"/>
      <c r="AT839" s="146"/>
      <c r="BE839" s="148"/>
      <c r="BF839" s="146"/>
      <c r="BL839" s="148"/>
      <c r="BM839" s="146"/>
      <c r="BP839" s="148"/>
      <c r="BQ839" s="146"/>
      <c r="BV839" s="148"/>
      <c r="BW839" s="146"/>
      <c r="CC839" s="146"/>
      <c r="CH839" s="148"/>
      <c r="CI839" s="146"/>
    </row>
    <row r="840">
      <c r="C840" s="146"/>
      <c r="I840" s="163"/>
      <c r="J840" s="163"/>
      <c r="K840" s="163"/>
      <c r="Q840" s="148"/>
      <c r="AF840" s="148"/>
      <c r="AG840" s="146"/>
      <c r="AK840" s="148"/>
      <c r="AL840" s="146"/>
      <c r="AO840" s="163"/>
      <c r="AP840" s="163"/>
      <c r="AS840" s="148"/>
      <c r="AT840" s="146"/>
      <c r="BE840" s="148"/>
      <c r="BF840" s="146"/>
      <c r="BL840" s="148"/>
      <c r="BM840" s="146"/>
      <c r="BP840" s="148"/>
      <c r="BQ840" s="146"/>
      <c r="BV840" s="148"/>
      <c r="BW840" s="146"/>
      <c r="CC840" s="146"/>
      <c r="CH840" s="148"/>
      <c r="CI840" s="146"/>
    </row>
    <row r="841">
      <c r="C841" s="146"/>
      <c r="I841" s="163"/>
      <c r="J841" s="163"/>
      <c r="K841" s="163"/>
      <c r="Q841" s="148"/>
      <c r="AF841" s="148"/>
      <c r="AG841" s="146"/>
      <c r="AK841" s="148"/>
      <c r="AL841" s="146"/>
      <c r="AO841" s="163"/>
      <c r="AP841" s="163"/>
      <c r="AS841" s="148"/>
      <c r="AT841" s="146"/>
      <c r="BE841" s="148"/>
      <c r="BF841" s="146"/>
      <c r="BL841" s="148"/>
      <c r="BM841" s="146"/>
      <c r="BP841" s="148"/>
      <c r="BQ841" s="146"/>
      <c r="BV841" s="148"/>
      <c r="BW841" s="146"/>
      <c r="CC841" s="146"/>
      <c r="CH841" s="148"/>
      <c r="CI841" s="146"/>
    </row>
    <row r="842">
      <c r="C842" s="146"/>
      <c r="I842" s="163"/>
      <c r="J842" s="163"/>
      <c r="K842" s="163"/>
      <c r="Q842" s="148"/>
      <c r="AF842" s="148"/>
      <c r="AG842" s="146"/>
      <c r="AK842" s="148"/>
      <c r="AL842" s="146"/>
      <c r="AO842" s="163"/>
      <c r="AP842" s="163"/>
      <c r="AS842" s="148"/>
      <c r="AT842" s="146"/>
      <c r="BE842" s="148"/>
      <c r="BF842" s="146"/>
      <c r="BL842" s="148"/>
      <c r="BM842" s="146"/>
      <c r="BP842" s="148"/>
      <c r="BQ842" s="146"/>
      <c r="BV842" s="148"/>
      <c r="BW842" s="146"/>
      <c r="CC842" s="146"/>
      <c r="CH842" s="148"/>
      <c r="CI842" s="146"/>
    </row>
    <row r="843">
      <c r="C843" s="146"/>
      <c r="I843" s="163"/>
      <c r="J843" s="163"/>
      <c r="K843" s="163"/>
      <c r="Q843" s="148"/>
      <c r="AF843" s="148"/>
      <c r="AG843" s="146"/>
      <c r="AK843" s="148"/>
      <c r="AL843" s="146"/>
      <c r="AO843" s="163"/>
      <c r="AP843" s="163"/>
      <c r="AS843" s="148"/>
      <c r="AT843" s="146"/>
      <c r="BE843" s="148"/>
      <c r="BF843" s="146"/>
      <c r="BL843" s="148"/>
      <c r="BM843" s="146"/>
      <c r="BP843" s="148"/>
      <c r="BQ843" s="146"/>
      <c r="BV843" s="148"/>
      <c r="BW843" s="146"/>
      <c r="CC843" s="146"/>
      <c r="CH843" s="148"/>
      <c r="CI843" s="146"/>
    </row>
    <row r="844">
      <c r="C844" s="146"/>
      <c r="I844" s="163"/>
      <c r="J844" s="163"/>
      <c r="K844" s="163"/>
      <c r="Q844" s="148"/>
      <c r="AF844" s="148"/>
      <c r="AG844" s="146"/>
      <c r="AK844" s="148"/>
      <c r="AL844" s="146"/>
      <c r="AO844" s="163"/>
      <c r="AP844" s="163"/>
      <c r="AS844" s="148"/>
      <c r="AT844" s="146"/>
      <c r="BE844" s="148"/>
      <c r="BF844" s="146"/>
      <c r="BL844" s="148"/>
      <c r="BM844" s="146"/>
      <c r="BP844" s="148"/>
      <c r="BQ844" s="146"/>
      <c r="BV844" s="148"/>
      <c r="BW844" s="146"/>
      <c r="CC844" s="146"/>
      <c r="CH844" s="148"/>
      <c r="CI844" s="146"/>
    </row>
    <row r="845">
      <c r="C845" s="146"/>
      <c r="I845" s="163"/>
      <c r="J845" s="163"/>
      <c r="K845" s="163"/>
      <c r="Q845" s="148"/>
      <c r="AF845" s="148"/>
      <c r="AG845" s="146"/>
      <c r="AK845" s="148"/>
      <c r="AL845" s="146"/>
      <c r="AO845" s="163"/>
      <c r="AP845" s="163"/>
      <c r="AS845" s="148"/>
      <c r="AT845" s="146"/>
      <c r="BE845" s="148"/>
      <c r="BF845" s="146"/>
      <c r="BL845" s="148"/>
      <c r="BM845" s="146"/>
      <c r="BP845" s="148"/>
      <c r="BQ845" s="146"/>
      <c r="BV845" s="148"/>
      <c r="BW845" s="146"/>
      <c r="CC845" s="146"/>
      <c r="CH845" s="148"/>
      <c r="CI845" s="146"/>
    </row>
    <row r="846">
      <c r="C846" s="146"/>
      <c r="I846" s="163"/>
      <c r="J846" s="163"/>
      <c r="K846" s="163"/>
      <c r="Q846" s="148"/>
      <c r="AF846" s="148"/>
      <c r="AG846" s="146"/>
      <c r="AK846" s="148"/>
      <c r="AL846" s="146"/>
      <c r="AO846" s="163"/>
      <c r="AP846" s="163"/>
      <c r="AS846" s="148"/>
      <c r="AT846" s="146"/>
      <c r="BE846" s="148"/>
      <c r="BF846" s="146"/>
      <c r="BL846" s="148"/>
      <c r="BM846" s="146"/>
      <c r="BP846" s="148"/>
      <c r="BQ846" s="146"/>
      <c r="BV846" s="148"/>
      <c r="BW846" s="146"/>
      <c r="CC846" s="146"/>
      <c r="CH846" s="148"/>
      <c r="CI846" s="146"/>
    </row>
    <row r="847">
      <c r="C847" s="146"/>
      <c r="I847" s="163"/>
      <c r="J847" s="163"/>
      <c r="K847" s="163"/>
      <c r="Q847" s="148"/>
      <c r="AF847" s="148"/>
      <c r="AG847" s="146"/>
      <c r="AK847" s="148"/>
      <c r="AL847" s="146"/>
      <c r="AO847" s="163"/>
      <c r="AP847" s="163"/>
      <c r="AS847" s="148"/>
      <c r="AT847" s="146"/>
      <c r="BE847" s="148"/>
      <c r="BF847" s="146"/>
      <c r="BL847" s="148"/>
      <c r="BM847" s="146"/>
      <c r="BP847" s="148"/>
      <c r="BQ847" s="146"/>
      <c r="BV847" s="148"/>
      <c r="BW847" s="146"/>
      <c r="CC847" s="146"/>
      <c r="CH847" s="148"/>
      <c r="CI847" s="146"/>
    </row>
    <row r="848">
      <c r="C848" s="146"/>
      <c r="I848" s="163"/>
      <c r="J848" s="163"/>
      <c r="K848" s="163"/>
      <c r="Q848" s="148"/>
      <c r="AF848" s="148"/>
      <c r="AG848" s="146"/>
      <c r="AK848" s="148"/>
      <c r="AL848" s="146"/>
      <c r="AO848" s="163"/>
      <c r="AP848" s="163"/>
      <c r="AS848" s="148"/>
      <c r="AT848" s="146"/>
      <c r="BE848" s="148"/>
      <c r="BF848" s="146"/>
      <c r="BL848" s="148"/>
      <c r="BM848" s="146"/>
      <c r="BP848" s="148"/>
      <c r="BQ848" s="146"/>
      <c r="BV848" s="148"/>
      <c r="BW848" s="146"/>
      <c r="CC848" s="146"/>
      <c r="CH848" s="148"/>
      <c r="CI848" s="146"/>
    </row>
    <row r="849">
      <c r="C849" s="146"/>
      <c r="I849" s="163"/>
      <c r="J849" s="163"/>
      <c r="K849" s="163"/>
      <c r="Q849" s="148"/>
      <c r="AF849" s="148"/>
      <c r="AG849" s="146"/>
      <c r="AK849" s="148"/>
      <c r="AL849" s="146"/>
      <c r="AO849" s="163"/>
      <c r="AP849" s="163"/>
      <c r="AS849" s="148"/>
      <c r="AT849" s="146"/>
      <c r="BE849" s="148"/>
      <c r="BF849" s="146"/>
      <c r="BL849" s="148"/>
      <c r="BM849" s="146"/>
      <c r="BP849" s="148"/>
      <c r="BQ849" s="146"/>
      <c r="BV849" s="148"/>
      <c r="BW849" s="146"/>
      <c r="CC849" s="146"/>
      <c r="CH849" s="148"/>
      <c r="CI849" s="146"/>
    </row>
    <row r="850">
      <c r="C850" s="146"/>
      <c r="I850" s="163"/>
      <c r="J850" s="163"/>
      <c r="K850" s="163"/>
      <c r="Q850" s="148"/>
      <c r="AF850" s="148"/>
      <c r="AG850" s="146"/>
      <c r="AK850" s="148"/>
      <c r="AL850" s="146"/>
      <c r="AO850" s="163"/>
      <c r="AP850" s="163"/>
      <c r="AS850" s="148"/>
      <c r="AT850" s="146"/>
      <c r="BE850" s="148"/>
      <c r="BF850" s="146"/>
      <c r="BL850" s="148"/>
      <c r="BM850" s="146"/>
      <c r="BP850" s="148"/>
      <c r="BQ850" s="146"/>
      <c r="BV850" s="148"/>
      <c r="BW850" s="146"/>
      <c r="CC850" s="146"/>
      <c r="CH850" s="148"/>
      <c r="CI850" s="146"/>
    </row>
    <row r="851">
      <c r="C851" s="146"/>
      <c r="I851" s="163"/>
      <c r="J851" s="163"/>
      <c r="K851" s="163"/>
      <c r="Q851" s="148"/>
      <c r="AF851" s="148"/>
      <c r="AG851" s="146"/>
      <c r="AK851" s="148"/>
      <c r="AL851" s="146"/>
      <c r="AO851" s="163"/>
      <c r="AP851" s="163"/>
      <c r="AS851" s="148"/>
      <c r="AT851" s="146"/>
      <c r="BE851" s="148"/>
      <c r="BF851" s="146"/>
      <c r="BL851" s="148"/>
      <c r="BM851" s="146"/>
      <c r="BP851" s="148"/>
      <c r="BQ851" s="146"/>
      <c r="BV851" s="148"/>
      <c r="BW851" s="146"/>
      <c r="CC851" s="146"/>
      <c r="CH851" s="148"/>
      <c r="CI851" s="146"/>
    </row>
    <row r="852">
      <c r="C852" s="146"/>
      <c r="I852" s="163"/>
      <c r="J852" s="163"/>
      <c r="K852" s="163"/>
      <c r="Q852" s="148"/>
      <c r="AF852" s="148"/>
      <c r="AG852" s="146"/>
      <c r="AK852" s="148"/>
      <c r="AL852" s="146"/>
      <c r="AO852" s="163"/>
      <c r="AP852" s="163"/>
      <c r="AS852" s="148"/>
      <c r="AT852" s="146"/>
      <c r="BE852" s="148"/>
      <c r="BF852" s="146"/>
      <c r="BL852" s="148"/>
      <c r="BM852" s="146"/>
      <c r="BP852" s="148"/>
      <c r="BQ852" s="146"/>
      <c r="BV852" s="148"/>
      <c r="BW852" s="146"/>
      <c r="CC852" s="146"/>
      <c r="CH852" s="148"/>
      <c r="CI852" s="146"/>
    </row>
    <row r="853">
      <c r="C853" s="146"/>
      <c r="I853" s="163"/>
      <c r="J853" s="163"/>
      <c r="K853" s="163"/>
      <c r="Q853" s="148"/>
      <c r="AF853" s="148"/>
      <c r="AG853" s="146"/>
      <c r="AK853" s="148"/>
      <c r="AL853" s="146"/>
      <c r="AO853" s="163"/>
      <c r="AP853" s="163"/>
      <c r="AS853" s="148"/>
      <c r="AT853" s="146"/>
      <c r="BE853" s="148"/>
      <c r="BF853" s="146"/>
      <c r="BL853" s="148"/>
      <c r="BM853" s="146"/>
      <c r="BP853" s="148"/>
      <c r="BQ853" s="146"/>
      <c r="BV853" s="148"/>
      <c r="BW853" s="146"/>
      <c r="CC853" s="146"/>
      <c r="CH853" s="148"/>
      <c r="CI853" s="146"/>
    </row>
    <row r="854">
      <c r="C854" s="146"/>
      <c r="I854" s="163"/>
      <c r="J854" s="163"/>
      <c r="K854" s="163"/>
      <c r="Q854" s="148"/>
      <c r="AF854" s="148"/>
      <c r="AG854" s="146"/>
      <c r="AK854" s="148"/>
      <c r="AL854" s="146"/>
      <c r="AO854" s="163"/>
      <c r="AP854" s="163"/>
      <c r="AS854" s="148"/>
      <c r="AT854" s="146"/>
      <c r="BE854" s="148"/>
      <c r="BF854" s="146"/>
      <c r="BL854" s="148"/>
      <c r="BM854" s="146"/>
      <c r="BP854" s="148"/>
      <c r="BQ854" s="146"/>
      <c r="BV854" s="148"/>
      <c r="BW854" s="146"/>
      <c r="CC854" s="146"/>
      <c r="CH854" s="148"/>
      <c r="CI854" s="146"/>
    </row>
    <row r="855">
      <c r="C855" s="146"/>
      <c r="I855" s="163"/>
      <c r="J855" s="163"/>
      <c r="K855" s="163"/>
      <c r="Q855" s="148"/>
      <c r="AF855" s="148"/>
      <c r="AG855" s="146"/>
      <c r="AK855" s="148"/>
      <c r="AL855" s="146"/>
      <c r="AO855" s="163"/>
      <c r="AP855" s="163"/>
      <c r="AS855" s="148"/>
      <c r="AT855" s="146"/>
      <c r="BE855" s="148"/>
      <c r="BF855" s="146"/>
      <c r="BL855" s="148"/>
      <c r="BM855" s="146"/>
      <c r="BP855" s="148"/>
      <c r="BQ855" s="146"/>
      <c r="BV855" s="148"/>
      <c r="BW855" s="146"/>
      <c r="CC855" s="146"/>
      <c r="CH855" s="148"/>
      <c r="CI855" s="146"/>
    </row>
    <row r="856">
      <c r="C856" s="146"/>
      <c r="I856" s="163"/>
      <c r="J856" s="163"/>
      <c r="K856" s="163"/>
      <c r="Q856" s="148"/>
      <c r="AF856" s="148"/>
      <c r="AG856" s="146"/>
      <c r="AK856" s="148"/>
      <c r="AL856" s="146"/>
      <c r="AO856" s="163"/>
      <c r="AP856" s="163"/>
      <c r="AS856" s="148"/>
      <c r="AT856" s="146"/>
      <c r="BE856" s="148"/>
      <c r="BF856" s="146"/>
      <c r="BL856" s="148"/>
      <c r="BM856" s="146"/>
      <c r="BP856" s="148"/>
      <c r="BQ856" s="146"/>
      <c r="BV856" s="148"/>
      <c r="BW856" s="146"/>
      <c r="CC856" s="146"/>
      <c r="CH856" s="148"/>
      <c r="CI856" s="146"/>
    </row>
    <row r="857">
      <c r="C857" s="146"/>
      <c r="I857" s="163"/>
      <c r="J857" s="163"/>
      <c r="K857" s="163"/>
      <c r="Q857" s="148"/>
      <c r="AF857" s="148"/>
      <c r="AG857" s="146"/>
      <c r="AK857" s="148"/>
      <c r="AL857" s="146"/>
      <c r="AO857" s="163"/>
      <c r="AP857" s="163"/>
      <c r="AS857" s="148"/>
      <c r="AT857" s="146"/>
      <c r="BE857" s="148"/>
      <c r="BF857" s="146"/>
      <c r="BL857" s="148"/>
      <c r="BM857" s="146"/>
      <c r="BP857" s="148"/>
      <c r="BQ857" s="146"/>
      <c r="BV857" s="148"/>
      <c r="BW857" s="146"/>
      <c r="CC857" s="146"/>
      <c r="CH857" s="148"/>
      <c r="CI857" s="146"/>
    </row>
    <row r="858">
      <c r="C858" s="146"/>
      <c r="I858" s="163"/>
      <c r="J858" s="163"/>
      <c r="K858" s="163"/>
      <c r="Q858" s="148"/>
      <c r="AF858" s="148"/>
      <c r="AG858" s="146"/>
      <c r="AK858" s="148"/>
      <c r="AL858" s="146"/>
      <c r="AO858" s="163"/>
      <c r="AP858" s="163"/>
      <c r="AS858" s="148"/>
      <c r="AT858" s="146"/>
      <c r="BE858" s="148"/>
      <c r="BF858" s="146"/>
      <c r="BL858" s="148"/>
      <c r="BM858" s="146"/>
      <c r="BP858" s="148"/>
      <c r="BQ858" s="146"/>
      <c r="BV858" s="148"/>
      <c r="BW858" s="146"/>
      <c r="CC858" s="146"/>
      <c r="CH858" s="148"/>
      <c r="CI858" s="146"/>
    </row>
    <row r="859">
      <c r="C859" s="146"/>
      <c r="I859" s="163"/>
      <c r="J859" s="163"/>
      <c r="K859" s="163"/>
      <c r="Q859" s="148"/>
      <c r="AF859" s="148"/>
      <c r="AG859" s="146"/>
      <c r="AK859" s="148"/>
      <c r="AL859" s="146"/>
      <c r="AO859" s="163"/>
      <c r="AP859" s="163"/>
      <c r="AS859" s="148"/>
      <c r="AT859" s="146"/>
      <c r="BE859" s="148"/>
      <c r="BF859" s="146"/>
      <c r="BL859" s="148"/>
      <c r="BM859" s="146"/>
      <c r="BP859" s="148"/>
      <c r="BQ859" s="146"/>
      <c r="BV859" s="148"/>
      <c r="BW859" s="146"/>
      <c r="CC859" s="146"/>
      <c r="CH859" s="148"/>
      <c r="CI859" s="146"/>
    </row>
    <row r="860">
      <c r="C860" s="146"/>
      <c r="I860" s="163"/>
      <c r="J860" s="163"/>
      <c r="K860" s="163"/>
      <c r="Q860" s="148"/>
      <c r="AF860" s="148"/>
      <c r="AG860" s="146"/>
      <c r="AK860" s="148"/>
      <c r="AL860" s="146"/>
      <c r="AO860" s="163"/>
      <c r="AP860" s="163"/>
      <c r="AS860" s="148"/>
      <c r="AT860" s="146"/>
      <c r="BE860" s="148"/>
      <c r="BF860" s="146"/>
      <c r="BL860" s="148"/>
      <c r="BM860" s="146"/>
      <c r="BP860" s="148"/>
      <c r="BQ860" s="146"/>
      <c r="BV860" s="148"/>
      <c r="BW860" s="146"/>
      <c r="CC860" s="146"/>
      <c r="CH860" s="148"/>
      <c r="CI860" s="146"/>
    </row>
    <row r="861">
      <c r="C861" s="146"/>
      <c r="I861" s="163"/>
      <c r="J861" s="163"/>
      <c r="K861" s="163"/>
      <c r="Q861" s="148"/>
      <c r="AF861" s="148"/>
      <c r="AG861" s="146"/>
      <c r="AK861" s="148"/>
      <c r="AL861" s="146"/>
      <c r="AO861" s="163"/>
      <c r="AP861" s="163"/>
      <c r="AS861" s="148"/>
      <c r="AT861" s="146"/>
      <c r="BE861" s="148"/>
      <c r="BF861" s="146"/>
      <c r="BL861" s="148"/>
      <c r="BM861" s="146"/>
      <c r="BP861" s="148"/>
      <c r="BQ861" s="146"/>
      <c r="BV861" s="148"/>
      <c r="BW861" s="146"/>
      <c r="CC861" s="146"/>
      <c r="CH861" s="148"/>
      <c r="CI861" s="146"/>
    </row>
    <row r="862">
      <c r="C862" s="146"/>
      <c r="I862" s="163"/>
      <c r="J862" s="163"/>
      <c r="K862" s="163"/>
      <c r="Q862" s="148"/>
      <c r="AF862" s="148"/>
      <c r="AG862" s="146"/>
      <c r="AK862" s="148"/>
      <c r="AL862" s="146"/>
      <c r="AO862" s="163"/>
      <c r="AP862" s="163"/>
      <c r="AS862" s="148"/>
      <c r="AT862" s="146"/>
      <c r="BE862" s="148"/>
      <c r="BF862" s="146"/>
      <c r="BL862" s="148"/>
      <c r="BM862" s="146"/>
      <c r="BP862" s="148"/>
      <c r="BQ862" s="146"/>
      <c r="BV862" s="148"/>
      <c r="BW862" s="146"/>
      <c r="CC862" s="146"/>
      <c r="CH862" s="148"/>
      <c r="CI862" s="146"/>
    </row>
    <row r="863">
      <c r="C863" s="146"/>
      <c r="I863" s="163"/>
      <c r="J863" s="163"/>
      <c r="K863" s="163"/>
      <c r="Q863" s="148"/>
      <c r="AF863" s="148"/>
      <c r="AG863" s="146"/>
      <c r="AK863" s="148"/>
      <c r="AL863" s="146"/>
      <c r="AO863" s="163"/>
      <c r="AP863" s="163"/>
      <c r="AS863" s="148"/>
      <c r="AT863" s="146"/>
      <c r="BE863" s="148"/>
      <c r="BF863" s="146"/>
      <c r="BL863" s="148"/>
      <c r="BM863" s="146"/>
      <c r="BP863" s="148"/>
      <c r="BQ863" s="146"/>
      <c r="BV863" s="148"/>
      <c r="BW863" s="146"/>
      <c r="CC863" s="146"/>
      <c r="CH863" s="148"/>
      <c r="CI863" s="146"/>
    </row>
    <row r="864">
      <c r="C864" s="146"/>
      <c r="I864" s="163"/>
      <c r="J864" s="163"/>
      <c r="K864" s="163"/>
      <c r="Q864" s="148"/>
      <c r="AF864" s="148"/>
      <c r="AG864" s="146"/>
      <c r="AK864" s="148"/>
      <c r="AL864" s="146"/>
      <c r="AO864" s="163"/>
      <c r="AP864" s="163"/>
      <c r="AS864" s="148"/>
      <c r="AT864" s="146"/>
      <c r="BE864" s="148"/>
      <c r="BF864" s="146"/>
      <c r="BL864" s="148"/>
      <c r="BM864" s="146"/>
      <c r="BP864" s="148"/>
      <c r="BQ864" s="146"/>
      <c r="BV864" s="148"/>
      <c r="BW864" s="146"/>
      <c r="CC864" s="146"/>
      <c r="CH864" s="148"/>
      <c r="CI864" s="146"/>
    </row>
    <row r="865">
      <c r="C865" s="146"/>
      <c r="I865" s="163"/>
      <c r="J865" s="163"/>
      <c r="K865" s="163"/>
      <c r="Q865" s="148"/>
      <c r="AF865" s="148"/>
      <c r="AG865" s="146"/>
      <c r="AK865" s="148"/>
      <c r="AL865" s="146"/>
      <c r="AO865" s="163"/>
      <c r="AP865" s="163"/>
      <c r="AS865" s="148"/>
      <c r="AT865" s="146"/>
      <c r="BE865" s="148"/>
      <c r="BF865" s="146"/>
      <c r="BL865" s="148"/>
      <c r="BM865" s="146"/>
      <c r="BP865" s="148"/>
      <c r="BQ865" s="146"/>
      <c r="BV865" s="148"/>
      <c r="BW865" s="146"/>
      <c r="CC865" s="146"/>
      <c r="CH865" s="148"/>
      <c r="CI865" s="146"/>
    </row>
    <row r="866">
      <c r="C866" s="146"/>
      <c r="I866" s="163"/>
      <c r="J866" s="163"/>
      <c r="K866" s="163"/>
      <c r="Q866" s="148"/>
      <c r="AF866" s="148"/>
      <c r="AG866" s="146"/>
      <c r="AK866" s="148"/>
      <c r="AL866" s="146"/>
      <c r="AO866" s="163"/>
      <c r="AP866" s="163"/>
      <c r="AS866" s="148"/>
      <c r="AT866" s="146"/>
      <c r="BE866" s="148"/>
      <c r="BF866" s="146"/>
      <c r="BL866" s="148"/>
      <c r="BM866" s="146"/>
      <c r="BP866" s="148"/>
      <c r="BQ866" s="146"/>
      <c r="BV866" s="148"/>
      <c r="BW866" s="146"/>
      <c r="CC866" s="146"/>
      <c r="CH866" s="148"/>
      <c r="CI866" s="146"/>
    </row>
    <row r="867">
      <c r="C867" s="146"/>
      <c r="I867" s="163"/>
      <c r="J867" s="163"/>
      <c r="K867" s="163"/>
      <c r="Q867" s="148"/>
      <c r="AF867" s="148"/>
      <c r="AG867" s="146"/>
      <c r="AK867" s="148"/>
      <c r="AL867" s="146"/>
      <c r="AO867" s="163"/>
      <c r="AP867" s="163"/>
      <c r="AS867" s="148"/>
      <c r="AT867" s="146"/>
      <c r="BE867" s="148"/>
      <c r="BF867" s="146"/>
      <c r="BL867" s="148"/>
      <c r="BM867" s="146"/>
      <c r="BP867" s="148"/>
      <c r="BQ867" s="146"/>
      <c r="BV867" s="148"/>
      <c r="BW867" s="146"/>
      <c r="CC867" s="146"/>
      <c r="CH867" s="148"/>
      <c r="CI867" s="146"/>
    </row>
    <row r="868">
      <c r="C868" s="146"/>
      <c r="I868" s="163"/>
      <c r="J868" s="163"/>
      <c r="K868" s="163"/>
      <c r="Q868" s="148"/>
      <c r="AF868" s="148"/>
      <c r="AG868" s="146"/>
      <c r="AK868" s="148"/>
      <c r="AL868" s="146"/>
      <c r="AO868" s="163"/>
      <c r="AP868" s="163"/>
      <c r="AS868" s="148"/>
      <c r="AT868" s="146"/>
      <c r="BE868" s="148"/>
      <c r="BF868" s="146"/>
      <c r="BL868" s="148"/>
      <c r="BM868" s="146"/>
      <c r="BP868" s="148"/>
      <c r="BQ868" s="146"/>
      <c r="BV868" s="148"/>
      <c r="BW868" s="146"/>
      <c r="CC868" s="146"/>
      <c r="CH868" s="148"/>
      <c r="CI868" s="146"/>
    </row>
    <row r="869">
      <c r="C869" s="146"/>
      <c r="I869" s="163"/>
      <c r="J869" s="163"/>
      <c r="K869" s="163"/>
      <c r="Q869" s="148"/>
      <c r="AF869" s="148"/>
      <c r="AG869" s="146"/>
      <c r="AK869" s="148"/>
      <c r="AL869" s="146"/>
      <c r="AO869" s="163"/>
      <c r="AP869" s="163"/>
      <c r="AS869" s="148"/>
      <c r="AT869" s="146"/>
      <c r="BE869" s="148"/>
      <c r="BF869" s="146"/>
      <c r="BL869" s="148"/>
      <c r="BM869" s="146"/>
      <c r="BP869" s="148"/>
      <c r="BQ869" s="146"/>
      <c r="BV869" s="148"/>
      <c r="BW869" s="146"/>
      <c r="CC869" s="146"/>
      <c r="CH869" s="148"/>
      <c r="CI869" s="146"/>
    </row>
    <row r="870">
      <c r="C870" s="146"/>
      <c r="I870" s="163"/>
      <c r="J870" s="163"/>
      <c r="K870" s="163"/>
      <c r="Q870" s="148"/>
      <c r="AF870" s="148"/>
      <c r="AG870" s="146"/>
      <c r="AK870" s="148"/>
      <c r="AL870" s="146"/>
      <c r="AO870" s="163"/>
      <c r="AP870" s="163"/>
      <c r="AS870" s="148"/>
      <c r="AT870" s="146"/>
      <c r="BE870" s="148"/>
      <c r="BF870" s="146"/>
      <c r="BL870" s="148"/>
      <c r="BM870" s="146"/>
      <c r="BP870" s="148"/>
      <c r="BQ870" s="146"/>
      <c r="BV870" s="148"/>
      <c r="BW870" s="146"/>
      <c r="CC870" s="146"/>
      <c r="CH870" s="148"/>
      <c r="CI870" s="146"/>
    </row>
    <row r="871">
      <c r="C871" s="146"/>
      <c r="I871" s="163"/>
      <c r="J871" s="163"/>
      <c r="K871" s="163"/>
      <c r="Q871" s="148"/>
      <c r="AF871" s="148"/>
      <c r="AG871" s="146"/>
      <c r="AK871" s="148"/>
      <c r="AL871" s="146"/>
      <c r="AO871" s="163"/>
      <c r="AP871" s="163"/>
      <c r="AS871" s="148"/>
      <c r="AT871" s="146"/>
      <c r="BE871" s="148"/>
      <c r="BF871" s="146"/>
      <c r="BL871" s="148"/>
      <c r="BM871" s="146"/>
      <c r="BP871" s="148"/>
      <c r="BQ871" s="146"/>
      <c r="BV871" s="148"/>
      <c r="BW871" s="146"/>
      <c r="CC871" s="146"/>
      <c r="CH871" s="148"/>
      <c r="CI871" s="146"/>
    </row>
    <row r="872">
      <c r="C872" s="146"/>
      <c r="I872" s="163"/>
      <c r="J872" s="163"/>
      <c r="K872" s="163"/>
      <c r="Q872" s="148"/>
      <c r="AF872" s="148"/>
      <c r="AG872" s="146"/>
      <c r="AK872" s="148"/>
      <c r="AL872" s="146"/>
      <c r="AO872" s="163"/>
      <c r="AP872" s="163"/>
      <c r="AS872" s="148"/>
      <c r="AT872" s="146"/>
      <c r="BE872" s="148"/>
      <c r="BF872" s="146"/>
      <c r="BL872" s="148"/>
      <c r="BM872" s="146"/>
      <c r="BP872" s="148"/>
      <c r="BQ872" s="146"/>
      <c r="BV872" s="148"/>
      <c r="BW872" s="146"/>
      <c r="CC872" s="146"/>
      <c r="CH872" s="148"/>
      <c r="CI872" s="146"/>
    </row>
    <row r="873">
      <c r="C873" s="146"/>
      <c r="I873" s="163"/>
      <c r="J873" s="163"/>
      <c r="K873" s="163"/>
      <c r="Q873" s="148"/>
      <c r="AF873" s="148"/>
      <c r="AG873" s="146"/>
      <c r="AK873" s="148"/>
      <c r="AL873" s="146"/>
      <c r="AO873" s="163"/>
      <c r="AP873" s="163"/>
      <c r="AS873" s="148"/>
      <c r="AT873" s="146"/>
      <c r="BE873" s="148"/>
      <c r="BF873" s="146"/>
      <c r="BL873" s="148"/>
      <c r="BM873" s="146"/>
      <c r="BP873" s="148"/>
      <c r="BQ873" s="146"/>
      <c r="BV873" s="148"/>
      <c r="BW873" s="146"/>
      <c r="CC873" s="146"/>
      <c r="CH873" s="148"/>
      <c r="CI873" s="146"/>
    </row>
    <row r="874">
      <c r="C874" s="146"/>
      <c r="I874" s="163"/>
      <c r="J874" s="163"/>
      <c r="K874" s="163"/>
      <c r="Q874" s="148"/>
      <c r="AF874" s="148"/>
      <c r="AG874" s="146"/>
      <c r="AK874" s="148"/>
      <c r="AL874" s="146"/>
      <c r="AO874" s="163"/>
      <c r="AP874" s="163"/>
      <c r="AS874" s="148"/>
      <c r="AT874" s="146"/>
      <c r="BE874" s="148"/>
      <c r="BF874" s="146"/>
      <c r="BL874" s="148"/>
      <c r="BM874" s="146"/>
      <c r="BP874" s="148"/>
      <c r="BQ874" s="146"/>
      <c r="BV874" s="148"/>
      <c r="BW874" s="146"/>
      <c r="CC874" s="146"/>
      <c r="CH874" s="148"/>
      <c r="CI874" s="146"/>
    </row>
    <row r="875">
      <c r="C875" s="146"/>
      <c r="I875" s="163"/>
      <c r="J875" s="163"/>
      <c r="K875" s="163"/>
      <c r="Q875" s="148"/>
      <c r="AF875" s="148"/>
      <c r="AG875" s="146"/>
      <c r="AK875" s="148"/>
      <c r="AL875" s="146"/>
      <c r="AO875" s="163"/>
      <c r="AP875" s="163"/>
      <c r="AS875" s="148"/>
      <c r="AT875" s="146"/>
      <c r="BE875" s="148"/>
      <c r="BF875" s="146"/>
      <c r="BL875" s="148"/>
      <c r="BM875" s="146"/>
      <c r="BP875" s="148"/>
      <c r="BQ875" s="146"/>
      <c r="BV875" s="148"/>
      <c r="BW875" s="146"/>
      <c r="CC875" s="146"/>
      <c r="CH875" s="148"/>
      <c r="CI875" s="146"/>
    </row>
    <row r="876">
      <c r="C876" s="146"/>
      <c r="I876" s="163"/>
      <c r="J876" s="163"/>
      <c r="K876" s="163"/>
      <c r="Q876" s="148"/>
      <c r="AF876" s="148"/>
      <c r="AG876" s="146"/>
      <c r="AK876" s="148"/>
      <c r="AL876" s="146"/>
      <c r="AO876" s="163"/>
      <c r="AP876" s="163"/>
      <c r="AS876" s="148"/>
      <c r="AT876" s="146"/>
      <c r="BE876" s="148"/>
      <c r="BF876" s="146"/>
      <c r="BL876" s="148"/>
      <c r="BM876" s="146"/>
      <c r="BP876" s="148"/>
      <c r="BQ876" s="146"/>
      <c r="BV876" s="148"/>
      <c r="BW876" s="146"/>
      <c r="CC876" s="146"/>
      <c r="CH876" s="148"/>
      <c r="CI876" s="146"/>
    </row>
    <row r="877">
      <c r="C877" s="146"/>
      <c r="I877" s="163"/>
      <c r="J877" s="163"/>
      <c r="K877" s="163"/>
      <c r="Q877" s="148"/>
      <c r="AF877" s="148"/>
      <c r="AG877" s="146"/>
      <c r="AK877" s="148"/>
      <c r="AL877" s="146"/>
      <c r="AO877" s="163"/>
      <c r="AP877" s="163"/>
      <c r="AS877" s="148"/>
      <c r="AT877" s="146"/>
      <c r="BE877" s="148"/>
      <c r="BF877" s="146"/>
      <c r="BL877" s="148"/>
      <c r="BM877" s="146"/>
      <c r="BP877" s="148"/>
      <c r="BQ877" s="146"/>
      <c r="BV877" s="148"/>
      <c r="BW877" s="146"/>
      <c r="CC877" s="146"/>
      <c r="CH877" s="148"/>
      <c r="CI877" s="146"/>
    </row>
    <row r="878">
      <c r="C878" s="146"/>
      <c r="I878" s="163"/>
      <c r="J878" s="163"/>
      <c r="K878" s="163"/>
      <c r="Q878" s="148"/>
      <c r="AF878" s="148"/>
      <c r="AG878" s="146"/>
      <c r="AK878" s="148"/>
      <c r="AL878" s="146"/>
      <c r="AO878" s="163"/>
      <c r="AP878" s="163"/>
      <c r="AS878" s="148"/>
      <c r="AT878" s="146"/>
      <c r="BE878" s="148"/>
      <c r="BF878" s="146"/>
      <c r="BL878" s="148"/>
      <c r="BM878" s="146"/>
      <c r="BP878" s="148"/>
      <c r="BQ878" s="146"/>
      <c r="BV878" s="148"/>
      <c r="BW878" s="146"/>
      <c r="CC878" s="146"/>
      <c r="CH878" s="148"/>
      <c r="CI878" s="146"/>
    </row>
    <row r="879">
      <c r="C879" s="146"/>
      <c r="I879" s="163"/>
      <c r="J879" s="163"/>
      <c r="K879" s="163"/>
      <c r="Q879" s="148"/>
      <c r="AF879" s="148"/>
      <c r="AG879" s="146"/>
      <c r="AK879" s="148"/>
      <c r="AL879" s="146"/>
      <c r="AO879" s="163"/>
      <c r="AP879" s="163"/>
      <c r="AS879" s="148"/>
      <c r="AT879" s="146"/>
      <c r="BE879" s="148"/>
      <c r="BF879" s="146"/>
      <c r="BL879" s="148"/>
      <c r="BM879" s="146"/>
      <c r="BP879" s="148"/>
      <c r="BQ879" s="146"/>
      <c r="BV879" s="148"/>
      <c r="BW879" s="146"/>
      <c r="CC879" s="146"/>
      <c r="CH879" s="148"/>
      <c r="CI879" s="146"/>
    </row>
    <row r="880">
      <c r="C880" s="146"/>
      <c r="I880" s="163"/>
      <c r="J880" s="163"/>
      <c r="K880" s="163"/>
      <c r="Q880" s="148"/>
      <c r="AF880" s="148"/>
      <c r="AG880" s="146"/>
      <c r="AK880" s="148"/>
      <c r="AL880" s="146"/>
      <c r="AO880" s="163"/>
      <c r="AP880" s="163"/>
      <c r="AS880" s="148"/>
      <c r="AT880" s="146"/>
      <c r="BE880" s="148"/>
      <c r="BF880" s="146"/>
      <c r="BL880" s="148"/>
      <c r="BM880" s="146"/>
      <c r="BP880" s="148"/>
      <c r="BQ880" s="146"/>
      <c r="BV880" s="148"/>
      <c r="BW880" s="146"/>
      <c r="CC880" s="146"/>
      <c r="CH880" s="148"/>
      <c r="CI880" s="146"/>
    </row>
    <row r="881">
      <c r="C881" s="146"/>
      <c r="I881" s="163"/>
      <c r="J881" s="163"/>
      <c r="K881" s="163"/>
      <c r="Q881" s="148"/>
      <c r="AF881" s="148"/>
      <c r="AG881" s="146"/>
      <c r="AK881" s="148"/>
      <c r="AL881" s="146"/>
      <c r="AO881" s="163"/>
      <c r="AP881" s="163"/>
      <c r="AS881" s="148"/>
      <c r="AT881" s="146"/>
      <c r="BE881" s="148"/>
      <c r="BF881" s="146"/>
      <c r="BL881" s="148"/>
      <c r="BM881" s="146"/>
      <c r="BP881" s="148"/>
      <c r="BQ881" s="146"/>
      <c r="BV881" s="148"/>
      <c r="BW881" s="146"/>
      <c r="CC881" s="146"/>
      <c r="CH881" s="148"/>
      <c r="CI881" s="146"/>
    </row>
    <row r="882">
      <c r="C882" s="146"/>
      <c r="I882" s="163"/>
      <c r="J882" s="163"/>
      <c r="K882" s="163"/>
      <c r="Q882" s="148"/>
      <c r="AF882" s="148"/>
      <c r="AG882" s="146"/>
      <c r="AK882" s="148"/>
      <c r="AL882" s="146"/>
      <c r="AO882" s="163"/>
      <c r="AP882" s="163"/>
      <c r="AS882" s="148"/>
      <c r="AT882" s="146"/>
      <c r="BE882" s="148"/>
      <c r="BF882" s="146"/>
      <c r="BL882" s="148"/>
      <c r="BM882" s="146"/>
      <c r="BP882" s="148"/>
      <c r="BQ882" s="146"/>
      <c r="BV882" s="148"/>
      <c r="BW882" s="146"/>
      <c r="CC882" s="146"/>
      <c r="CH882" s="148"/>
      <c r="CI882" s="146"/>
    </row>
    <row r="883">
      <c r="C883" s="146"/>
      <c r="I883" s="163"/>
      <c r="J883" s="163"/>
      <c r="K883" s="163"/>
      <c r="Q883" s="148"/>
      <c r="AF883" s="148"/>
      <c r="AG883" s="146"/>
      <c r="AK883" s="148"/>
      <c r="AL883" s="146"/>
      <c r="AO883" s="163"/>
      <c r="AP883" s="163"/>
      <c r="AS883" s="148"/>
      <c r="AT883" s="146"/>
      <c r="BE883" s="148"/>
      <c r="BF883" s="146"/>
      <c r="BL883" s="148"/>
      <c r="BM883" s="146"/>
      <c r="BP883" s="148"/>
      <c r="BQ883" s="146"/>
      <c r="BV883" s="148"/>
      <c r="BW883" s="146"/>
      <c r="CC883" s="146"/>
      <c r="CH883" s="148"/>
      <c r="CI883" s="146"/>
    </row>
    <row r="884">
      <c r="C884" s="146"/>
      <c r="I884" s="163"/>
      <c r="J884" s="163"/>
      <c r="K884" s="163"/>
      <c r="Q884" s="148"/>
      <c r="AF884" s="148"/>
      <c r="AG884" s="146"/>
      <c r="AK884" s="148"/>
      <c r="AL884" s="146"/>
      <c r="AO884" s="163"/>
      <c r="AP884" s="163"/>
      <c r="AS884" s="148"/>
      <c r="AT884" s="146"/>
      <c r="BE884" s="148"/>
      <c r="BF884" s="146"/>
      <c r="BL884" s="148"/>
      <c r="BM884" s="146"/>
      <c r="BP884" s="148"/>
      <c r="BQ884" s="146"/>
      <c r="BV884" s="148"/>
      <c r="BW884" s="146"/>
      <c r="CC884" s="146"/>
      <c r="CH884" s="148"/>
      <c r="CI884" s="146"/>
    </row>
    <row r="885">
      <c r="C885" s="146"/>
      <c r="I885" s="163"/>
      <c r="J885" s="163"/>
      <c r="K885" s="163"/>
      <c r="Q885" s="148"/>
      <c r="AF885" s="148"/>
      <c r="AG885" s="146"/>
      <c r="AK885" s="148"/>
      <c r="AL885" s="146"/>
      <c r="AO885" s="163"/>
      <c r="AP885" s="163"/>
      <c r="AS885" s="148"/>
      <c r="AT885" s="146"/>
      <c r="BE885" s="148"/>
      <c r="BF885" s="146"/>
      <c r="BL885" s="148"/>
      <c r="BM885" s="146"/>
      <c r="BP885" s="148"/>
      <c r="BQ885" s="146"/>
      <c r="BV885" s="148"/>
      <c r="BW885" s="146"/>
      <c r="CC885" s="146"/>
      <c r="CH885" s="148"/>
      <c r="CI885" s="146"/>
    </row>
    <row r="886">
      <c r="C886" s="146"/>
      <c r="I886" s="163"/>
      <c r="J886" s="163"/>
      <c r="K886" s="163"/>
      <c r="Q886" s="148"/>
      <c r="AF886" s="148"/>
      <c r="AG886" s="146"/>
      <c r="AK886" s="148"/>
      <c r="AL886" s="146"/>
      <c r="AO886" s="163"/>
      <c r="AP886" s="163"/>
      <c r="AS886" s="148"/>
      <c r="AT886" s="146"/>
      <c r="BE886" s="148"/>
      <c r="BF886" s="146"/>
      <c r="BL886" s="148"/>
      <c r="BM886" s="146"/>
      <c r="BP886" s="148"/>
      <c r="BQ886" s="146"/>
      <c r="BV886" s="148"/>
      <c r="BW886" s="146"/>
      <c r="CC886" s="146"/>
      <c r="CH886" s="148"/>
      <c r="CI886" s="146"/>
    </row>
    <row r="887">
      <c r="C887" s="146"/>
      <c r="I887" s="163"/>
      <c r="J887" s="163"/>
      <c r="K887" s="163"/>
      <c r="Q887" s="148"/>
      <c r="AF887" s="148"/>
      <c r="AG887" s="146"/>
      <c r="AK887" s="148"/>
      <c r="AL887" s="146"/>
      <c r="AO887" s="163"/>
      <c r="AP887" s="163"/>
      <c r="AS887" s="148"/>
      <c r="AT887" s="146"/>
      <c r="BE887" s="148"/>
      <c r="BF887" s="146"/>
      <c r="BL887" s="148"/>
      <c r="BM887" s="146"/>
      <c r="BP887" s="148"/>
      <c r="BQ887" s="146"/>
      <c r="BV887" s="148"/>
      <c r="BW887" s="146"/>
      <c r="CC887" s="146"/>
      <c r="CH887" s="148"/>
      <c r="CI887" s="146"/>
    </row>
    <row r="888">
      <c r="C888" s="146"/>
      <c r="I888" s="163"/>
      <c r="J888" s="163"/>
      <c r="K888" s="163"/>
      <c r="Q888" s="148"/>
      <c r="AF888" s="148"/>
      <c r="AG888" s="146"/>
      <c r="AK888" s="148"/>
      <c r="AL888" s="146"/>
      <c r="AO888" s="163"/>
      <c r="AP888" s="163"/>
      <c r="AS888" s="148"/>
      <c r="AT888" s="146"/>
      <c r="BE888" s="148"/>
      <c r="BF888" s="146"/>
      <c r="BL888" s="148"/>
      <c r="BM888" s="146"/>
      <c r="BP888" s="148"/>
      <c r="BQ888" s="146"/>
      <c r="BV888" s="148"/>
      <c r="BW888" s="146"/>
      <c r="CC888" s="146"/>
      <c r="CH888" s="148"/>
      <c r="CI888" s="146"/>
    </row>
    <row r="889">
      <c r="C889" s="146"/>
      <c r="I889" s="163"/>
      <c r="J889" s="163"/>
      <c r="K889" s="163"/>
      <c r="Q889" s="148"/>
      <c r="AF889" s="148"/>
      <c r="AG889" s="146"/>
      <c r="AK889" s="148"/>
      <c r="AL889" s="146"/>
      <c r="AO889" s="163"/>
      <c r="AP889" s="163"/>
      <c r="AS889" s="148"/>
      <c r="AT889" s="146"/>
      <c r="BE889" s="148"/>
      <c r="BF889" s="146"/>
      <c r="BL889" s="148"/>
      <c r="BM889" s="146"/>
      <c r="BP889" s="148"/>
      <c r="BQ889" s="146"/>
      <c r="BV889" s="148"/>
      <c r="BW889" s="146"/>
      <c r="CC889" s="146"/>
      <c r="CH889" s="148"/>
      <c r="CI889" s="146"/>
    </row>
    <row r="890">
      <c r="C890" s="146"/>
      <c r="I890" s="163"/>
      <c r="J890" s="163"/>
      <c r="K890" s="163"/>
      <c r="Q890" s="148"/>
      <c r="AF890" s="148"/>
      <c r="AG890" s="146"/>
      <c r="AK890" s="148"/>
      <c r="AL890" s="146"/>
      <c r="AO890" s="163"/>
      <c r="AP890" s="163"/>
      <c r="AS890" s="148"/>
      <c r="AT890" s="146"/>
      <c r="BE890" s="148"/>
      <c r="BF890" s="146"/>
      <c r="BL890" s="148"/>
      <c r="BM890" s="146"/>
      <c r="BP890" s="148"/>
      <c r="BQ890" s="146"/>
      <c r="BV890" s="148"/>
      <c r="BW890" s="146"/>
      <c r="CC890" s="146"/>
      <c r="CH890" s="148"/>
      <c r="CI890" s="146"/>
    </row>
    <row r="891">
      <c r="C891" s="146"/>
      <c r="I891" s="163"/>
      <c r="J891" s="163"/>
      <c r="K891" s="163"/>
      <c r="Q891" s="148"/>
      <c r="AF891" s="148"/>
      <c r="AG891" s="146"/>
      <c r="AK891" s="148"/>
      <c r="AL891" s="146"/>
      <c r="AO891" s="163"/>
      <c r="AP891" s="163"/>
      <c r="AS891" s="148"/>
      <c r="AT891" s="146"/>
      <c r="BE891" s="148"/>
      <c r="BF891" s="146"/>
      <c r="BL891" s="148"/>
      <c r="BM891" s="146"/>
      <c r="BP891" s="148"/>
      <c r="BQ891" s="146"/>
      <c r="BV891" s="148"/>
      <c r="BW891" s="146"/>
      <c r="CC891" s="146"/>
      <c r="CH891" s="148"/>
      <c r="CI891" s="146"/>
    </row>
    <row r="892">
      <c r="C892" s="146"/>
      <c r="I892" s="163"/>
      <c r="J892" s="163"/>
      <c r="K892" s="163"/>
      <c r="Q892" s="148"/>
      <c r="AF892" s="148"/>
      <c r="AG892" s="146"/>
      <c r="AK892" s="148"/>
      <c r="AL892" s="146"/>
      <c r="AO892" s="163"/>
      <c r="AP892" s="163"/>
      <c r="AS892" s="148"/>
      <c r="AT892" s="146"/>
      <c r="BE892" s="148"/>
      <c r="BF892" s="146"/>
      <c r="BL892" s="148"/>
      <c r="BM892" s="146"/>
      <c r="BP892" s="148"/>
      <c r="BQ892" s="146"/>
      <c r="BV892" s="148"/>
      <c r="BW892" s="146"/>
      <c r="CC892" s="146"/>
      <c r="CH892" s="148"/>
      <c r="CI892" s="146"/>
    </row>
    <row r="893">
      <c r="C893" s="146"/>
      <c r="I893" s="163"/>
      <c r="J893" s="163"/>
      <c r="K893" s="163"/>
      <c r="Q893" s="148"/>
      <c r="AF893" s="148"/>
      <c r="AG893" s="146"/>
      <c r="AK893" s="148"/>
      <c r="AL893" s="146"/>
      <c r="AO893" s="163"/>
      <c r="AP893" s="163"/>
      <c r="AS893" s="148"/>
      <c r="AT893" s="146"/>
      <c r="BE893" s="148"/>
      <c r="BF893" s="146"/>
      <c r="BL893" s="148"/>
      <c r="BM893" s="146"/>
      <c r="BP893" s="148"/>
      <c r="BQ893" s="146"/>
      <c r="BV893" s="148"/>
      <c r="BW893" s="146"/>
      <c r="CC893" s="146"/>
      <c r="CH893" s="148"/>
      <c r="CI893" s="146"/>
    </row>
    <row r="894">
      <c r="C894" s="146"/>
      <c r="I894" s="163"/>
      <c r="J894" s="163"/>
      <c r="K894" s="163"/>
      <c r="Q894" s="148"/>
      <c r="AF894" s="148"/>
      <c r="AG894" s="146"/>
      <c r="AK894" s="148"/>
      <c r="AL894" s="146"/>
      <c r="AO894" s="163"/>
      <c r="AP894" s="163"/>
      <c r="AS894" s="148"/>
      <c r="AT894" s="146"/>
      <c r="BE894" s="148"/>
      <c r="BF894" s="146"/>
      <c r="BL894" s="148"/>
      <c r="BM894" s="146"/>
      <c r="BP894" s="148"/>
      <c r="BQ894" s="146"/>
      <c r="BV894" s="148"/>
      <c r="BW894" s="146"/>
      <c r="CC894" s="146"/>
      <c r="CH894" s="148"/>
      <c r="CI894" s="146"/>
    </row>
    <row r="895">
      <c r="C895" s="146"/>
      <c r="I895" s="163"/>
      <c r="J895" s="163"/>
      <c r="K895" s="163"/>
      <c r="Q895" s="148"/>
      <c r="AF895" s="148"/>
      <c r="AG895" s="146"/>
      <c r="AK895" s="148"/>
      <c r="AL895" s="146"/>
      <c r="AO895" s="163"/>
      <c r="AP895" s="163"/>
      <c r="AS895" s="148"/>
      <c r="AT895" s="146"/>
      <c r="BE895" s="148"/>
      <c r="BF895" s="146"/>
      <c r="BL895" s="148"/>
      <c r="BM895" s="146"/>
      <c r="BP895" s="148"/>
      <c r="BQ895" s="146"/>
      <c r="BV895" s="148"/>
      <c r="BW895" s="146"/>
      <c r="CC895" s="146"/>
      <c r="CH895" s="148"/>
      <c r="CI895" s="146"/>
    </row>
    <row r="896">
      <c r="C896" s="146"/>
      <c r="I896" s="163"/>
      <c r="J896" s="163"/>
      <c r="K896" s="163"/>
      <c r="Q896" s="148"/>
      <c r="AF896" s="148"/>
      <c r="AG896" s="146"/>
      <c r="AK896" s="148"/>
      <c r="AL896" s="146"/>
      <c r="AO896" s="163"/>
      <c r="AP896" s="163"/>
      <c r="AS896" s="148"/>
      <c r="AT896" s="146"/>
      <c r="BE896" s="148"/>
      <c r="BF896" s="146"/>
      <c r="BL896" s="148"/>
      <c r="BM896" s="146"/>
      <c r="BP896" s="148"/>
      <c r="BQ896" s="146"/>
      <c r="BV896" s="148"/>
      <c r="BW896" s="146"/>
      <c r="CC896" s="146"/>
      <c r="CH896" s="148"/>
      <c r="CI896" s="146"/>
    </row>
    <row r="897">
      <c r="C897" s="146"/>
      <c r="I897" s="163"/>
      <c r="J897" s="163"/>
      <c r="K897" s="163"/>
      <c r="Q897" s="148"/>
      <c r="AF897" s="148"/>
      <c r="AG897" s="146"/>
      <c r="AK897" s="148"/>
      <c r="AL897" s="146"/>
      <c r="AO897" s="163"/>
      <c r="AP897" s="163"/>
      <c r="AS897" s="148"/>
      <c r="AT897" s="146"/>
      <c r="BE897" s="148"/>
      <c r="BF897" s="146"/>
      <c r="BL897" s="148"/>
      <c r="BM897" s="146"/>
      <c r="BP897" s="148"/>
      <c r="BQ897" s="146"/>
      <c r="BV897" s="148"/>
      <c r="BW897" s="146"/>
      <c r="CC897" s="146"/>
      <c r="CH897" s="148"/>
      <c r="CI897" s="146"/>
    </row>
    <row r="898">
      <c r="C898" s="146"/>
      <c r="I898" s="163"/>
      <c r="J898" s="163"/>
      <c r="K898" s="163"/>
      <c r="Q898" s="148"/>
      <c r="AF898" s="148"/>
      <c r="AG898" s="146"/>
      <c r="AK898" s="148"/>
      <c r="AL898" s="146"/>
      <c r="AO898" s="163"/>
      <c r="AP898" s="163"/>
      <c r="AS898" s="148"/>
      <c r="AT898" s="146"/>
      <c r="BE898" s="148"/>
      <c r="BF898" s="146"/>
      <c r="BL898" s="148"/>
      <c r="BM898" s="146"/>
      <c r="BP898" s="148"/>
      <c r="BQ898" s="146"/>
      <c r="BV898" s="148"/>
      <c r="BW898" s="146"/>
      <c r="CC898" s="146"/>
      <c r="CH898" s="148"/>
      <c r="CI898" s="146"/>
    </row>
    <row r="899">
      <c r="C899" s="146"/>
      <c r="I899" s="163"/>
      <c r="J899" s="163"/>
      <c r="K899" s="163"/>
      <c r="Q899" s="148"/>
      <c r="AF899" s="148"/>
      <c r="AG899" s="146"/>
      <c r="AK899" s="148"/>
      <c r="AL899" s="146"/>
      <c r="AO899" s="163"/>
      <c r="AP899" s="163"/>
      <c r="AS899" s="148"/>
      <c r="AT899" s="146"/>
      <c r="BE899" s="148"/>
      <c r="BF899" s="146"/>
      <c r="BL899" s="148"/>
      <c r="BM899" s="146"/>
      <c r="BP899" s="148"/>
      <c r="BQ899" s="146"/>
      <c r="BV899" s="148"/>
      <c r="BW899" s="146"/>
      <c r="CC899" s="146"/>
      <c r="CH899" s="148"/>
      <c r="CI899" s="146"/>
    </row>
    <row r="900">
      <c r="C900" s="146"/>
      <c r="I900" s="163"/>
      <c r="J900" s="163"/>
      <c r="K900" s="163"/>
      <c r="Q900" s="148"/>
      <c r="AF900" s="148"/>
      <c r="AG900" s="146"/>
      <c r="AK900" s="148"/>
      <c r="AL900" s="146"/>
      <c r="AO900" s="163"/>
      <c r="AP900" s="163"/>
      <c r="AS900" s="148"/>
      <c r="AT900" s="146"/>
      <c r="BE900" s="148"/>
      <c r="BF900" s="146"/>
      <c r="BL900" s="148"/>
      <c r="BM900" s="146"/>
      <c r="BP900" s="148"/>
      <c r="BQ900" s="146"/>
      <c r="BV900" s="148"/>
      <c r="BW900" s="146"/>
      <c r="CC900" s="146"/>
      <c r="CH900" s="148"/>
      <c r="CI900" s="146"/>
    </row>
    <row r="901">
      <c r="C901" s="146"/>
      <c r="I901" s="163"/>
      <c r="J901" s="163"/>
      <c r="K901" s="163"/>
      <c r="Q901" s="148"/>
      <c r="AF901" s="148"/>
      <c r="AG901" s="146"/>
      <c r="AK901" s="148"/>
      <c r="AL901" s="146"/>
      <c r="AO901" s="163"/>
      <c r="AP901" s="163"/>
      <c r="AS901" s="148"/>
      <c r="AT901" s="146"/>
      <c r="BE901" s="148"/>
      <c r="BF901" s="146"/>
      <c r="BL901" s="148"/>
      <c r="BM901" s="146"/>
      <c r="BP901" s="148"/>
      <c r="BQ901" s="146"/>
      <c r="BV901" s="148"/>
      <c r="BW901" s="146"/>
      <c r="CC901" s="146"/>
      <c r="CH901" s="148"/>
      <c r="CI901" s="146"/>
    </row>
    <row r="902">
      <c r="C902" s="146"/>
      <c r="I902" s="163"/>
      <c r="J902" s="163"/>
      <c r="K902" s="163"/>
      <c r="Q902" s="148"/>
      <c r="AF902" s="148"/>
      <c r="AG902" s="146"/>
      <c r="AK902" s="148"/>
      <c r="AL902" s="146"/>
      <c r="AO902" s="163"/>
      <c r="AP902" s="163"/>
      <c r="AS902" s="148"/>
      <c r="AT902" s="146"/>
      <c r="BE902" s="148"/>
      <c r="BF902" s="146"/>
      <c r="BL902" s="148"/>
      <c r="BM902" s="146"/>
      <c r="BP902" s="148"/>
      <c r="BQ902" s="146"/>
      <c r="BV902" s="148"/>
      <c r="BW902" s="146"/>
      <c r="CC902" s="146"/>
      <c r="CH902" s="148"/>
      <c r="CI902" s="146"/>
    </row>
    <row r="903">
      <c r="C903" s="146"/>
      <c r="I903" s="163"/>
      <c r="J903" s="163"/>
      <c r="K903" s="163"/>
      <c r="Q903" s="148"/>
      <c r="AF903" s="148"/>
      <c r="AG903" s="146"/>
      <c r="AK903" s="148"/>
      <c r="AL903" s="146"/>
      <c r="AO903" s="163"/>
      <c r="AP903" s="163"/>
      <c r="AS903" s="148"/>
      <c r="AT903" s="146"/>
      <c r="BE903" s="148"/>
      <c r="BF903" s="146"/>
      <c r="BL903" s="148"/>
      <c r="BM903" s="146"/>
      <c r="BP903" s="148"/>
      <c r="BQ903" s="146"/>
      <c r="BV903" s="148"/>
      <c r="BW903" s="146"/>
      <c r="CC903" s="146"/>
      <c r="CH903" s="148"/>
      <c r="CI903" s="146"/>
    </row>
    <row r="904">
      <c r="C904" s="146"/>
      <c r="I904" s="163"/>
      <c r="J904" s="163"/>
      <c r="K904" s="163"/>
      <c r="Q904" s="148"/>
      <c r="AF904" s="148"/>
      <c r="AG904" s="146"/>
      <c r="AK904" s="148"/>
      <c r="AL904" s="146"/>
      <c r="AO904" s="163"/>
      <c r="AP904" s="163"/>
      <c r="AS904" s="148"/>
      <c r="AT904" s="146"/>
      <c r="BE904" s="148"/>
      <c r="BF904" s="146"/>
      <c r="BL904" s="148"/>
      <c r="BM904" s="146"/>
      <c r="BP904" s="148"/>
      <c r="BQ904" s="146"/>
      <c r="BV904" s="148"/>
      <c r="BW904" s="146"/>
      <c r="CC904" s="146"/>
      <c r="CH904" s="148"/>
      <c r="CI904" s="146"/>
    </row>
    <row r="905">
      <c r="C905" s="146"/>
      <c r="I905" s="163"/>
      <c r="J905" s="163"/>
      <c r="K905" s="163"/>
      <c r="Q905" s="148"/>
      <c r="AF905" s="148"/>
      <c r="AG905" s="146"/>
      <c r="AK905" s="148"/>
      <c r="AL905" s="146"/>
      <c r="AO905" s="163"/>
      <c r="AP905" s="163"/>
      <c r="AS905" s="148"/>
      <c r="AT905" s="146"/>
      <c r="BE905" s="148"/>
      <c r="BF905" s="146"/>
      <c r="BL905" s="148"/>
      <c r="BM905" s="146"/>
      <c r="BP905" s="148"/>
      <c r="BQ905" s="146"/>
      <c r="BV905" s="148"/>
      <c r="BW905" s="146"/>
      <c r="CC905" s="146"/>
      <c r="CH905" s="148"/>
      <c r="CI905" s="146"/>
    </row>
    <row r="906">
      <c r="C906" s="146"/>
      <c r="I906" s="163"/>
      <c r="J906" s="163"/>
      <c r="K906" s="163"/>
      <c r="Q906" s="148"/>
      <c r="AF906" s="148"/>
      <c r="AG906" s="146"/>
      <c r="AK906" s="148"/>
      <c r="AL906" s="146"/>
      <c r="AO906" s="163"/>
      <c r="AP906" s="163"/>
      <c r="AS906" s="148"/>
      <c r="AT906" s="146"/>
      <c r="BE906" s="148"/>
      <c r="BF906" s="146"/>
      <c r="BL906" s="148"/>
      <c r="BM906" s="146"/>
      <c r="BP906" s="148"/>
      <c r="BQ906" s="146"/>
      <c r="BV906" s="148"/>
      <c r="BW906" s="146"/>
      <c r="CC906" s="146"/>
      <c r="CH906" s="148"/>
      <c r="CI906" s="146"/>
    </row>
    <row r="907">
      <c r="C907" s="146"/>
      <c r="I907" s="163"/>
      <c r="J907" s="163"/>
      <c r="K907" s="163"/>
      <c r="Q907" s="148"/>
      <c r="AF907" s="148"/>
      <c r="AG907" s="146"/>
      <c r="AK907" s="148"/>
      <c r="AL907" s="146"/>
      <c r="AO907" s="163"/>
      <c r="AP907" s="163"/>
      <c r="AS907" s="148"/>
      <c r="AT907" s="146"/>
      <c r="BE907" s="148"/>
      <c r="BF907" s="146"/>
      <c r="BL907" s="148"/>
      <c r="BM907" s="146"/>
      <c r="BP907" s="148"/>
      <c r="BQ907" s="146"/>
      <c r="BV907" s="148"/>
      <c r="BW907" s="146"/>
      <c r="CC907" s="146"/>
      <c r="CH907" s="148"/>
      <c r="CI907" s="146"/>
    </row>
    <row r="908">
      <c r="C908" s="146"/>
      <c r="I908" s="163"/>
      <c r="J908" s="163"/>
      <c r="K908" s="163"/>
      <c r="Q908" s="148"/>
      <c r="AF908" s="148"/>
      <c r="AG908" s="146"/>
      <c r="AK908" s="148"/>
      <c r="AL908" s="146"/>
      <c r="AO908" s="163"/>
      <c r="AP908" s="163"/>
      <c r="AS908" s="148"/>
      <c r="AT908" s="146"/>
      <c r="BE908" s="148"/>
      <c r="BF908" s="146"/>
      <c r="BL908" s="148"/>
      <c r="BM908" s="146"/>
      <c r="BP908" s="148"/>
      <c r="BQ908" s="146"/>
      <c r="BV908" s="148"/>
      <c r="BW908" s="146"/>
      <c r="CC908" s="146"/>
      <c r="CH908" s="148"/>
      <c r="CI908" s="146"/>
    </row>
    <row r="909">
      <c r="C909" s="146"/>
      <c r="I909" s="163"/>
      <c r="J909" s="163"/>
      <c r="K909" s="163"/>
      <c r="Q909" s="148"/>
      <c r="AF909" s="148"/>
      <c r="AG909" s="146"/>
      <c r="AK909" s="148"/>
      <c r="AL909" s="146"/>
      <c r="AO909" s="163"/>
      <c r="AP909" s="163"/>
      <c r="AS909" s="148"/>
      <c r="AT909" s="146"/>
      <c r="BE909" s="148"/>
      <c r="BF909" s="146"/>
      <c r="BL909" s="148"/>
      <c r="BM909" s="146"/>
      <c r="BP909" s="148"/>
      <c r="BQ909" s="146"/>
      <c r="BV909" s="148"/>
      <c r="BW909" s="146"/>
      <c r="CC909" s="146"/>
      <c r="CH909" s="148"/>
      <c r="CI909" s="146"/>
    </row>
    <row r="910">
      <c r="C910" s="146"/>
      <c r="I910" s="163"/>
      <c r="J910" s="163"/>
      <c r="K910" s="163"/>
      <c r="Q910" s="148"/>
      <c r="AF910" s="148"/>
      <c r="AG910" s="146"/>
      <c r="AK910" s="148"/>
      <c r="AL910" s="146"/>
      <c r="AO910" s="163"/>
      <c r="AP910" s="163"/>
      <c r="AS910" s="148"/>
      <c r="AT910" s="146"/>
      <c r="BE910" s="148"/>
      <c r="BF910" s="146"/>
      <c r="BL910" s="148"/>
      <c r="BM910" s="146"/>
      <c r="BP910" s="148"/>
      <c r="BQ910" s="146"/>
      <c r="BV910" s="148"/>
      <c r="BW910" s="146"/>
      <c r="CC910" s="146"/>
      <c r="CH910" s="148"/>
      <c r="CI910" s="146"/>
    </row>
    <row r="911">
      <c r="C911" s="146"/>
      <c r="I911" s="163"/>
      <c r="J911" s="163"/>
      <c r="K911" s="163"/>
      <c r="Q911" s="148"/>
      <c r="AF911" s="148"/>
      <c r="AG911" s="146"/>
      <c r="AK911" s="148"/>
      <c r="AL911" s="146"/>
      <c r="AO911" s="163"/>
      <c r="AP911" s="163"/>
      <c r="AS911" s="148"/>
      <c r="AT911" s="146"/>
      <c r="BE911" s="148"/>
      <c r="BF911" s="146"/>
      <c r="BL911" s="148"/>
      <c r="BM911" s="146"/>
      <c r="BP911" s="148"/>
      <c r="BQ911" s="146"/>
      <c r="BV911" s="148"/>
      <c r="BW911" s="146"/>
      <c r="CC911" s="146"/>
      <c r="CH911" s="148"/>
      <c r="CI911" s="146"/>
    </row>
    <row r="912">
      <c r="C912" s="146"/>
      <c r="I912" s="163"/>
      <c r="J912" s="163"/>
      <c r="K912" s="163"/>
      <c r="Q912" s="148"/>
      <c r="AF912" s="148"/>
      <c r="AG912" s="146"/>
      <c r="AK912" s="148"/>
      <c r="AL912" s="146"/>
      <c r="AO912" s="163"/>
      <c r="AP912" s="163"/>
      <c r="AS912" s="148"/>
      <c r="AT912" s="146"/>
      <c r="BE912" s="148"/>
      <c r="BF912" s="146"/>
      <c r="BL912" s="148"/>
      <c r="BM912" s="146"/>
      <c r="BP912" s="148"/>
      <c r="BQ912" s="146"/>
      <c r="BV912" s="148"/>
      <c r="BW912" s="146"/>
      <c r="CC912" s="146"/>
      <c r="CH912" s="148"/>
      <c r="CI912" s="146"/>
    </row>
    <row r="913">
      <c r="C913" s="146"/>
      <c r="I913" s="163"/>
      <c r="J913" s="163"/>
      <c r="K913" s="163"/>
      <c r="Q913" s="148"/>
      <c r="AF913" s="148"/>
      <c r="AG913" s="146"/>
      <c r="AK913" s="148"/>
      <c r="AL913" s="146"/>
      <c r="AO913" s="163"/>
      <c r="AP913" s="163"/>
      <c r="AS913" s="148"/>
      <c r="AT913" s="146"/>
      <c r="BE913" s="148"/>
      <c r="BF913" s="146"/>
      <c r="BL913" s="148"/>
      <c r="BM913" s="146"/>
      <c r="BP913" s="148"/>
      <c r="BQ913" s="146"/>
      <c r="BV913" s="148"/>
      <c r="BW913" s="146"/>
      <c r="CC913" s="146"/>
      <c r="CH913" s="148"/>
      <c r="CI913" s="146"/>
    </row>
    <row r="914">
      <c r="C914" s="146"/>
      <c r="I914" s="163"/>
      <c r="J914" s="163"/>
      <c r="K914" s="163"/>
      <c r="Q914" s="148"/>
      <c r="AF914" s="148"/>
      <c r="AG914" s="146"/>
      <c r="AK914" s="148"/>
      <c r="AL914" s="146"/>
      <c r="AO914" s="163"/>
      <c r="AP914" s="163"/>
      <c r="AS914" s="148"/>
      <c r="AT914" s="146"/>
      <c r="BE914" s="148"/>
      <c r="BF914" s="146"/>
      <c r="BL914" s="148"/>
      <c r="BM914" s="146"/>
      <c r="BP914" s="148"/>
      <c r="BQ914" s="146"/>
      <c r="BV914" s="148"/>
      <c r="BW914" s="146"/>
      <c r="CC914" s="146"/>
      <c r="CH914" s="148"/>
      <c r="CI914" s="146"/>
    </row>
    <row r="915">
      <c r="C915" s="146"/>
      <c r="I915" s="163"/>
      <c r="J915" s="163"/>
      <c r="K915" s="163"/>
      <c r="Q915" s="148"/>
      <c r="AF915" s="148"/>
      <c r="AG915" s="146"/>
      <c r="AK915" s="148"/>
      <c r="AL915" s="146"/>
      <c r="AO915" s="163"/>
      <c r="AP915" s="163"/>
      <c r="AS915" s="148"/>
      <c r="AT915" s="146"/>
      <c r="BE915" s="148"/>
      <c r="BF915" s="146"/>
      <c r="BL915" s="148"/>
      <c r="BM915" s="146"/>
      <c r="BP915" s="148"/>
      <c r="BQ915" s="146"/>
      <c r="BV915" s="148"/>
      <c r="BW915" s="146"/>
      <c r="CC915" s="146"/>
      <c r="CH915" s="148"/>
      <c r="CI915" s="146"/>
    </row>
    <row r="916">
      <c r="C916" s="146"/>
      <c r="I916" s="163"/>
      <c r="J916" s="163"/>
      <c r="K916" s="163"/>
      <c r="Q916" s="148"/>
      <c r="AF916" s="148"/>
      <c r="AG916" s="146"/>
      <c r="AK916" s="148"/>
      <c r="AL916" s="146"/>
      <c r="AO916" s="163"/>
      <c r="AP916" s="163"/>
      <c r="AS916" s="148"/>
      <c r="AT916" s="146"/>
      <c r="BE916" s="148"/>
      <c r="BF916" s="146"/>
      <c r="BL916" s="148"/>
      <c r="BM916" s="146"/>
      <c r="BP916" s="148"/>
      <c r="BQ916" s="146"/>
      <c r="BV916" s="148"/>
      <c r="BW916" s="146"/>
      <c r="CC916" s="146"/>
      <c r="CH916" s="148"/>
      <c r="CI916" s="146"/>
    </row>
    <row r="917">
      <c r="C917" s="146"/>
      <c r="I917" s="163"/>
      <c r="J917" s="163"/>
      <c r="K917" s="163"/>
      <c r="Q917" s="148"/>
      <c r="AF917" s="148"/>
      <c r="AG917" s="146"/>
      <c r="AK917" s="148"/>
      <c r="AL917" s="146"/>
      <c r="AO917" s="163"/>
      <c r="AP917" s="163"/>
      <c r="AS917" s="148"/>
      <c r="AT917" s="146"/>
      <c r="BE917" s="148"/>
      <c r="BF917" s="146"/>
      <c r="BL917" s="148"/>
      <c r="BM917" s="146"/>
      <c r="BP917" s="148"/>
      <c r="BQ917" s="146"/>
      <c r="BV917" s="148"/>
      <c r="BW917" s="146"/>
      <c r="CC917" s="146"/>
      <c r="CH917" s="148"/>
      <c r="CI917" s="146"/>
    </row>
    <row r="918">
      <c r="C918" s="146"/>
      <c r="I918" s="163"/>
      <c r="J918" s="163"/>
      <c r="K918" s="163"/>
      <c r="Q918" s="148"/>
      <c r="AF918" s="148"/>
      <c r="AG918" s="146"/>
      <c r="AK918" s="148"/>
      <c r="AL918" s="146"/>
      <c r="AO918" s="163"/>
      <c r="AP918" s="163"/>
      <c r="AS918" s="148"/>
      <c r="AT918" s="146"/>
      <c r="BE918" s="148"/>
      <c r="BF918" s="146"/>
      <c r="BL918" s="148"/>
      <c r="BM918" s="146"/>
      <c r="BP918" s="148"/>
      <c r="BQ918" s="146"/>
      <c r="BV918" s="148"/>
      <c r="BW918" s="146"/>
      <c r="CC918" s="146"/>
      <c r="CH918" s="148"/>
      <c r="CI918" s="146"/>
    </row>
    <row r="919">
      <c r="C919" s="146"/>
      <c r="I919" s="163"/>
      <c r="J919" s="163"/>
      <c r="K919" s="163"/>
      <c r="Q919" s="148"/>
      <c r="AF919" s="148"/>
      <c r="AG919" s="146"/>
      <c r="AK919" s="148"/>
      <c r="AL919" s="146"/>
      <c r="AO919" s="163"/>
      <c r="AP919" s="163"/>
      <c r="AS919" s="148"/>
      <c r="AT919" s="146"/>
      <c r="BE919" s="148"/>
      <c r="BF919" s="146"/>
      <c r="BL919" s="148"/>
      <c r="BM919" s="146"/>
      <c r="BP919" s="148"/>
      <c r="BQ919" s="146"/>
      <c r="BV919" s="148"/>
      <c r="BW919" s="146"/>
      <c r="CC919" s="146"/>
      <c r="CH919" s="148"/>
      <c r="CI919" s="146"/>
    </row>
    <row r="920">
      <c r="C920" s="146"/>
      <c r="I920" s="163"/>
      <c r="J920" s="163"/>
      <c r="K920" s="163"/>
      <c r="Q920" s="148"/>
      <c r="AF920" s="148"/>
      <c r="AG920" s="146"/>
      <c r="AK920" s="148"/>
      <c r="AL920" s="146"/>
      <c r="AO920" s="163"/>
      <c r="AP920" s="163"/>
      <c r="AS920" s="148"/>
      <c r="AT920" s="146"/>
      <c r="BE920" s="148"/>
      <c r="BF920" s="146"/>
      <c r="BL920" s="148"/>
      <c r="BM920" s="146"/>
      <c r="BP920" s="148"/>
      <c r="BQ920" s="146"/>
      <c r="BV920" s="148"/>
      <c r="BW920" s="146"/>
      <c r="CC920" s="146"/>
      <c r="CH920" s="148"/>
      <c r="CI920" s="146"/>
    </row>
    <row r="921">
      <c r="C921" s="146"/>
      <c r="I921" s="163"/>
      <c r="J921" s="163"/>
      <c r="K921" s="163"/>
      <c r="Q921" s="148"/>
      <c r="AF921" s="148"/>
      <c r="AG921" s="146"/>
      <c r="AK921" s="148"/>
      <c r="AL921" s="146"/>
      <c r="AO921" s="163"/>
      <c r="AP921" s="163"/>
      <c r="AS921" s="148"/>
      <c r="AT921" s="146"/>
      <c r="BE921" s="148"/>
      <c r="BF921" s="146"/>
      <c r="BL921" s="148"/>
      <c r="BM921" s="146"/>
      <c r="BP921" s="148"/>
      <c r="BQ921" s="146"/>
      <c r="BV921" s="148"/>
      <c r="BW921" s="146"/>
      <c r="CC921" s="146"/>
      <c r="CH921" s="148"/>
      <c r="CI921" s="146"/>
    </row>
    <row r="922">
      <c r="C922" s="146"/>
      <c r="I922" s="163"/>
      <c r="J922" s="163"/>
      <c r="K922" s="163"/>
      <c r="Q922" s="148"/>
      <c r="AF922" s="148"/>
      <c r="AG922" s="146"/>
      <c r="AK922" s="148"/>
      <c r="AL922" s="146"/>
      <c r="AO922" s="163"/>
      <c r="AP922" s="163"/>
      <c r="AS922" s="148"/>
      <c r="AT922" s="146"/>
      <c r="BE922" s="148"/>
      <c r="BF922" s="146"/>
      <c r="BL922" s="148"/>
      <c r="BM922" s="146"/>
      <c r="BP922" s="148"/>
      <c r="BQ922" s="146"/>
      <c r="BV922" s="148"/>
      <c r="BW922" s="146"/>
      <c r="CC922" s="146"/>
      <c r="CH922" s="148"/>
      <c r="CI922" s="146"/>
    </row>
    <row r="923">
      <c r="C923" s="146"/>
      <c r="I923" s="163"/>
      <c r="J923" s="163"/>
      <c r="K923" s="163"/>
      <c r="Q923" s="148"/>
      <c r="AF923" s="148"/>
      <c r="AG923" s="146"/>
      <c r="AK923" s="148"/>
      <c r="AL923" s="146"/>
      <c r="AO923" s="163"/>
      <c r="AP923" s="163"/>
      <c r="AS923" s="148"/>
      <c r="AT923" s="146"/>
      <c r="BE923" s="148"/>
      <c r="BF923" s="146"/>
      <c r="BL923" s="148"/>
      <c r="BM923" s="146"/>
      <c r="BP923" s="148"/>
      <c r="BQ923" s="146"/>
      <c r="BV923" s="148"/>
      <c r="BW923" s="146"/>
      <c r="CC923" s="146"/>
      <c r="CH923" s="148"/>
      <c r="CI923" s="146"/>
    </row>
    <row r="924">
      <c r="C924" s="146"/>
      <c r="I924" s="163"/>
      <c r="J924" s="163"/>
      <c r="K924" s="163"/>
      <c r="Q924" s="148"/>
      <c r="AF924" s="148"/>
      <c r="AG924" s="146"/>
      <c r="AK924" s="148"/>
      <c r="AL924" s="146"/>
      <c r="AO924" s="163"/>
      <c r="AP924" s="163"/>
      <c r="AS924" s="148"/>
      <c r="AT924" s="146"/>
      <c r="BE924" s="148"/>
      <c r="BF924" s="146"/>
      <c r="BL924" s="148"/>
      <c r="BM924" s="146"/>
      <c r="BP924" s="148"/>
      <c r="BQ924" s="146"/>
      <c r="BV924" s="148"/>
      <c r="BW924" s="146"/>
      <c r="CC924" s="146"/>
      <c r="CH924" s="148"/>
      <c r="CI924" s="146"/>
    </row>
    <row r="925">
      <c r="C925" s="146"/>
      <c r="I925" s="163"/>
      <c r="J925" s="163"/>
      <c r="K925" s="163"/>
      <c r="Q925" s="148"/>
      <c r="AF925" s="148"/>
      <c r="AG925" s="146"/>
      <c r="AK925" s="148"/>
      <c r="AL925" s="146"/>
      <c r="AO925" s="163"/>
      <c r="AP925" s="163"/>
      <c r="AS925" s="148"/>
      <c r="AT925" s="146"/>
      <c r="BE925" s="148"/>
      <c r="BF925" s="146"/>
      <c r="BL925" s="148"/>
      <c r="BM925" s="146"/>
      <c r="BP925" s="148"/>
      <c r="BQ925" s="146"/>
      <c r="BV925" s="148"/>
      <c r="BW925" s="146"/>
      <c r="CC925" s="146"/>
      <c r="CH925" s="148"/>
      <c r="CI925" s="146"/>
    </row>
    <row r="926">
      <c r="C926" s="146"/>
      <c r="I926" s="163"/>
      <c r="J926" s="163"/>
      <c r="K926" s="163"/>
      <c r="Q926" s="148"/>
      <c r="AF926" s="148"/>
      <c r="AG926" s="146"/>
      <c r="AK926" s="148"/>
      <c r="AL926" s="146"/>
      <c r="AO926" s="163"/>
      <c r="AP926" s="163"/>
      <c r="AS926" s="148"/>
      <c r="AT926" s="146"/>
      <c r="BE926" s="148"/>
      <c r="BF926" s="146"/>
      <c r="BL926" s="148"/>
      <c r="BM926" s="146"/>
      <c r="BP926" s="148"/>
      <c r="BQ926" s="146"/>
      <c r="BV926" s="148"/>
      <c r="BW926" s="146"/>
      <c r="CC926" s="146"/>
      <c r="CH926" s="148"/>
      <c r="CI926" s="146"/>
    </row>
    <row r="927">
      <c r="C927" s="146"/>
      <c r="I927" s="163"/>
      <c r="J927" s="163"/>
      <c r="K927" s="163"/>
      <c r="Q927" s="148"/>
      <c r="AF927" s="148"/>
      <c r="AG927" s="146"/>
      <c r="AK927" s="148"/>
      <c r="AL927" s="146"/>
      <c r="AO927" s="163"/>
      <c r="AP927" s="163"/>
      <c r="AS927" s="148"/>
      <c r="AT927" s="146"/>
      <c r="BE927" s="148"/>
      <c r="BF927" s="146"/>
      <c r="BL927" s="148"/>
      <c r="BM927" s="146"/>
      <c r="BP927" s="148"/>
      <c r="BQ927" s="146"/>
      <c r="BV927" s="148"/>
      <c r="BW927" s="146"/>
      <c r="CC927" s="146"/>
      <c r="CH927" s="148"/>
      <c r="CI927" s="146"/>
    </row>
    <row r="928">
      <c r="C928" s="146"/>
      <c r="I928" s="163"/>
      <c r="J928" s="163"/>
      <c r="K928" s="163"/>
      <c r="Q928" s="148"/>
      <c r="AF928" s="148"/>
      <c r="AG928" s="146"/>
      <c r="AK928" s="148"/>
      <c r="AL928" s="146"/>
      <c r="AO928" s="163"/>
      <c r="AP928" s="163"/>
      <c r="AS928" s="148"/>
      <c r="AT928" s="146"/>
      <c r="BE928" s="148"/>
      <c r="BF928" s="146"/>
      <c r="BL928" s="148"/>
      <c r="BM928" s="146"/>
      <c r="BP928" s="148"/>
      <c r="BQ928" s="146"/>
      <c r="BV928" s="148"/>
      <c r="BW928" s="146"/>
      <c r="CC928" s="146"/>
      <c r="CH928" s="148"/>
      <c r="CI928" s="146"/>
    </row>
    <row r="929">
      <c r="C929" s="146"/>
      <c r="I929" s="163"/>
      <c r="J929" s="163"/>
      <c r="K929" s="163"/>
      <c r="Q929" s="148"/>
      <c r="AF929" s="148"/>
      <c r="AG929" s="146"/>
      <c r="AK929" s="148"/>
      <c r="AL929" s="146"/>
      <c r="AO929" s="163"/>
      <c r="AP929" s="163"/>
      <c r="AS929" s="148"/>
      <c r="AT929" s="146"/>
      <c r="BE929" s="148"/>
      <c r="BF929" s="146"/>
      <c r="BL929" s="148"/>
      <c r="BM929" s="146"/>
      <c r="BP929" s="148"/>
      <c r="BQ929" s="146"/>
      <c r="BV929" s="148"/>
      <c r="BW929" s="146"/>
      <c r="CC929" s="146"/>
      <c r="CH929" s="148"/>
      <c r="CI929" s="146"/>
    </row>
    <row r="930">
      <c r="C930" s="146"/>
      <c r="I930" s="163"/>
      <c r="J930" s="163"/>
      <c r="K930" s="163"/>
      <c r="Q930" s="148"/>
      <c r="AF930" s="148"/>
      <c r="AG930" s="146"/>
      <c r="AK930" s="148"/>
      <c r="AL930" s="146"/>
      <c r="AO930" s="163"/>
      <c r="AP930" s="163"/>
      <c r="AS930" s="148"/>
      <c r="AT930" s="146"/>
      <c r="BE930" s="148"/>
      <c r="BF930" s="146"/>
      <c r="BL930" s="148"/>
      <c r="BM930" s="146"/>
      <c r="BP930" s="148"/>
      <c r="BQ930" s="146"/>
      <c r="BV930" s="148"/>
      <c r="BW930" s="146"/>
      <c r="CC930" s="146"/>
      <c r="CH930" s="148"/>
      <c r="CI930" s="146"/>
    </row>
    <row r="931">
      <c r="C931" s="146"/>
      <c r="I931" s="163"/>
      <c r="J931" s="163"/>
      <c r="K931" s="163"/>
      <c r="Q931" s="148"/>
      <c r="AF931" s="148"/>
      <c r="AG931" s="146"/>
      <c r="AK931" s="148"/>
      <c r="AL931" s="146"/>
      <c r="AO931" s="163"/>
      <c r="AP931" s="163"/>
      <c r="AS931" s="148"/>
      <c r="AT931" s="146"/>
      <c r="BE931" s="148"/>
      <c r="BF931" s="146"/>
      <c r="BL931" s="148"/>
      <c r="BM931" s="146"/>
      <c r="BP931" s="148"/>
      <c r="BQ931" s="146"/>
      <c r="BV931" s="148"/>
      <c r="BW931" s="146"/>
      <c r="CC931" s="146"/>
      <c r="CH931" s="148"/>
      <c r="CI931" s="146"/>
    </row>
    <row r="932">
      <c r="C932" s="146"/>
      <c r="I932" s="163"/>
      <c r="J932" s="163"/>
      <c r="K932" s="163"/>
      <c r="Q932" s="148"/>
      <c r="AF932" s="148"/>
      <c r="AG932" s="146"/>
      <c r="AK932" s="148"/>
      <c r="AL932" s="146"/>
      <c r="AO932" s="163"/>
      <c r="AP932" s="163"/>
      <c r="AS932" s="148"/>
      <c r="AT932" s="146"/>
      <c r="BE932" s="148"/>
      <c r="BF932" s="146"/>
      <c r="BL932" s="148"/>
      <c r="BM932" s="146"/>
      <c r="BP932" s="148"/>
      <c r="BQ932" s="146"/>
      <c r="BV932" s="148"/>
      <c r="BW932" s="146"/>
      <c r="CC932" s="146"/>
      <c r="CH932" s="148"/>
      <c r="CI932" s="146"/>
    </row>
    <row r="933">
      <c r="C933" s="146"/>
      <c r="I933" s="163"/>
      <c r="J933" s="163"/>
      <c r="K933" s="163"/>
      <c r="Q933" s="148"/>
      <c r="AF933" s="148"/>
      <c r="AG933" s="146"/>
      <c r="AK933" s="148"/>
      <c r="AL933" s="146"/>
      <c r="AO933" s="163"/>
      <c r="AP933" s="163"/>
      <c r="AS933" s="148"/>
      <c r="AT933" s="146"/>
      <c r="BE933" s="148"/>
      <c r="BF933" s="146"/>
      <c r="BL933" s="148"/>
      <c r="BM933" s="146"/>
      <c r="BP933" s="148"/>
      <c r="BQ933" s="146"/>
      <c r="BV933" s="148"/>
      <c r="BW933" s="146"/>
      <c r="CC933" s="146"/>
      <c r="CH933" s="148"/>
      <c r="CI933" s="146"/>
    </row>
    <row r="934">
      <c r="C934" s="146"/>
      <c r="I934" s="163"/>
      <c r="J934" s="163"/>
      <c r="K934" s="163"/>
      <c r="Q934" s="148"/>
      <c r="AF934" s="148"/>
      <c r="AG934" s="146"/>
      <c r="AK934" s="148"/>
      <c r="AL934" s="146"/>
      <c r="AO934" s="163"/>
      <c r="AP934" s="163"/>
      <c r="AS934" s="148"/>
      <c r="AT934" s="146"/>
      <c r="BE934" s="148"/>
      <c r="BF934" s="146"/>
      <c r="BL934" s="148"/>
      <c r="BM934" s="146"/>
      <c r="BP934" s="148"/>
      <c r="BQ934" s="146"/>
      <c r="BV934" s="148"/>
      <c r="BW934" s="146"/>
      <c r="CC934" s="146"/>
      <c r="CH934" s="148"/>
      <c r="CI934" s="146"/>
    </row>
    <row r="935">
      <c r="C935" s="146"/>
      <c r="I935" s="163"/>
      <c r="J935" s="163"/>
      <c r="K935" s="163"/>
      <c r="Q935" s="148"/>
      <c r="AF935" s="148"/>
      <c r="AG935" s="146"/>
      <c r="AK935" s="148"/>
      <c r="AL935" s="146"/>
      <c r="AO935" s="163"/>
      <c r="AP935" s="163"/>
      <c r="AS935" s="148"/>
      <c r="AT935" s="146"/>
      <c r="BE935" s="148"/>
      <c r="BF935" s="146"/>
      <c r="BL935" s="148"/>
      <c r="BM935" s="146"/>
      <c r="BP935" s="148"/>
      <c r="BQ935" s="146"/>
      <c r="BV935" s="148"/>
      <c r="BW935" s="146"/>
      <c r="CC935" s="146"/>
      <c r="CH935" s="148"/>
      <c r="CI935" s="146"/>
    </row>
    <row r="936">
      <c r="C936" s="146"/>
      <c r="I936" s="163"/>
      <c r="J936" s="163"/>
      <c r="K936" s="163"/>
      <c r="Q936" s="148"/>
      <c r="AF936" s="148"/>
      <c r="AG936" s="146"/>
      <c r="AK936" s="148"/>
      <c r="AL936" s="146"/>
      <c r="AO936" s="163"/>
      <c r="AP936" s="163"/>
      <c r="AS936" s="148"/>
      <c r="AT936" s="146"/>
      <c r="BE936" s="148"/>
      <c r="BF936" s="146"/>
      <c r="BL936" s="148"/>
      <c r="BM936" s="146"/>
      <c r="BP936" s="148"/>
      <c r="BQ936" s="146"/>
      <c r="BV936" s="148"/>
      <c r="BW936" s="146"/>
      <c r="CC936" s="146"/>
      <c r="CH936" s="148"/>
      <c r="CI936" s="146"/>
    </row>
    <row r="937">
      <c r="C937" s="146"/>
      <c r="I937" s="163"/>
      <c r="J937" s="163"/>
      <c r="K937" s="163"/>
      <c r="Q937" s="148"/>
      <c r="AF937" s="148"/>
      <c r="AG937" s="146"/>
      <c r="AK937" s="148"/>
      <c r="AL937" s="146"/>
      <c r="AO937" s="163"/>
      <c r="AP937" s="163"/>
      <c r="AS937" s="148"/>
      <c r="AT937" s="146"/>
      <c r="BE937" s="148"/>
      <c r="BF937" s="146"/>
      <c r="BL937" s="148"/>
      <c r="BM937" s="146"/>
      <c r="BP937" s="148"/>
      <c r="BQ937" s="146"/>
      <c r="BV937" s="148"/>
      <c r="BW937" s="146"/>
      <c r="CC937" s="146"/>
      <c r="CH937" s="148"/>
      <c r="CI937" s="146"/>
    </row>
    <row r="938">
      <c r="C938" s="146"/>
      <c r="I938" s="163"/>
      <c r="J938" s="163"/>
      <c r="K938" s="163"/>
      <c r="Q938" s="148"/>
      <c r="AF938" s="148"/>
      <c r="AG938" s="146"/>
      <c r="AK938" s="148"/>
      <c r="AL938" s="146"/>
      <c r="AO938" s="163"/>
      <c r="AP938" s="163"/>
      <c r="AS938" s="148"/>
      <c r="AT938" s="146"/>
      <c r="BE938" s="148"/>
      <c r="BF938" s="146"/>
      <c r="BL938" s="148"/>
      <c r="BM938" s="146"/>
      <c r="BP938" s="148"/>
      <c r="BQ938" s="146"/>
      <c r="BV938" s="148"/>
      <c r="BW938" s="146"/>
      <c r="CC938" s="146"/>
      <c r="CH938" s="148"/>
      <c r="CI938" s="146"/>
    </row>
    <row r="939">
      <c r="C939" s="146"/>
      <c r="I939" s="163"/>
      <c r="J939" s="163"/>
      <c r="K939" s="163"/>
      <c r="Q939" s="148"/>
      <c r="AF939" s="148"/>
      <c r="AG939" s="146"/>
      <c r="AK939" s="148"/>
      <c r="AL939" s="146"/>
      <c r="AO939" s="163"/>
      <c r="AP939" s="163"/>
      <c r="AS939" s="148"/>
      <c r="AT939" s="146"/>
      <c r="BE939" s="148"/>
      <c r="BF939" s="146"/>
      <c r="BL939" s="148"/>
      <c r="BM939" s="146"/>
      <c r="BP939" s="148"/>
      <c r="BQ939" s="146"/>
      <c r="BV939" s="148"/>
      <c r="BW939" s="146"/>
      <c r="CC939" s="146"/>
      <c r="CH939" s="148"/>
      <c r="CI939" s="146"/>
    </row>
    <row r="940">
      <c r="C940" s="146"/>
      <c r="I940" s="163"/>
      <c r="J940" s="163"/>
      <c r="K940" s="163"/>
      <c r="Q940" s="148"/>
      <c r="AF940" s="148"/>
      <c r="AG940" s="146"/>
      <c r="AK940" s="148"/>
      <c r="AL940" s="146"/>
      <c r="AO940" s="163"/>
      <c r="AP940" s="163"/>
      <c r="AS940" s="148"/>
      <c r="AT940" s="146"/>
      <c r="BE940" s="148"/>
      <c r="BF940" s="146"/>
      <c r="BL940" s="148"/>
      <c r="BM940" s="146"/>
      <c r="BP940" s="148"/>
      <c r="BQ940" s="146"/>
      <c r="BV940" s="148"/>
      <c r="BW940" s="146"/>
      <c r="CC940" s="146"/>
      <c r="CH940" s="148"/>
      <c r="CI940" s="146"/>
    </row>
    <row r="941">
      <c r="C941" s="146"/>
      <c r="I941" s="163"/>
      <c r="J941" s="163"/>
      <c r="K941" s="163"/>
      <c r="Q941" s="148"/>
      <c r="AF941" s="148"/>
      <c r="AG941" s="146"/>
      <c r="AK941" s="148"/>
      <c r="AL941" s="146"/>
      <c r="AO941" s="163"/>
      <c r="AP941" s="163"/>
      <c r="AS941" s="148"/>
      <c r="AT941" s="146"/>
      <c r="BE941" s="148"/>
      <c r="BF941" s="146"/>
      <c r="BL941" s="148"/>
      <c r="BM941" s="146"/>
      <c r="BP941" s="148"/>
      <c r="BQ941" s="146"/>
      <c r="BV941" s="148"/>
      <c r="BW941" s="146"/>
      <c r="CC941" s="146"/>
      <c r="CH941" s="148"/>
      <c r="CI941" s="146"/>
    </row>
    <row r="942">
      <c r="C942" s="146"/>
      <c r="I942" s="163"/>
      <c r="J942" s="163"/>
      <c r="K942" s="163"/>
      <c r="Q942" s="148"/>
      <c r="AF942" s="148"/>
      <c r="AG942" s="146"/>
      <c r="AK942" s="148"/>
      <c r="AL942" s="146"/>
      <c r="AO942" s="163"/>
      <c r="AP942" s="163"/>
      <c r="AS942" s="148"/>
      <c r="AT942" s="146"/>
      <c r="BE942" s="148"/>
      <c r="BF942" s="146"/>
      <c r="BL942" s="148"/>
      <c r="BM942" s="146"/>
      <c r="BP942" s="148"/>
      <c r="BQ942" s="146"/>
      <c r="BV942" s="148"/>
      <c r="BW942" s="146"/>
      <c r="CC942" s="146"/>
      <c r="CH942" s="148"/>
      <c r="CI942" s="146"/>
    </row>
    <row r="943">
      <c r="C943" s="146"/>
      <c r="I943" s="163"/>
      <c r="J943" s="163"/>
      <c r="K943" s="163"/>
      <c r="Q943" s="148"/>
      <c r="AF943" s="148"/>
      <c r="AG943" s="146"/>
      <c r="AK943" s="148"/>
      <c r="AL943" s="146"/>
      <c r="AO943" s="163"/>
      <c r="AP943" s="163"/>
      <c r="AS943" s="148"/>
      <c r="AT943" s="146"/>
      <c r="BE943" s="148"/>
      <c r="BF943" s="146"/>
      <c r="BL943" s="148"/>
      <c r="BM943" s="146"/>
      <c r="BP943" s="148"/>
      <c r="BQ943" s="146"/>
      <c r="BV943" s="148"/>
      <c r="BW943" s="146"/>
      <c r="CC943" s="146"/>
      <c r="CH943" s="148"/>
      <c r="CI943" s="146"/>
    </row>
    <row r="944">
      <c r="C944" s="146"/>
      <c r="I944" s="163"/>
      <c r="J944" s="163"/>
      <c r="K944" s="163"/>
      <c r="Q944" s="148"/>
      <c r="AF944" s="148"/>
      <c r="AG944" s="146"/>
      <c r="AK944" s="148"/>
      <c r="AL944" s="146"/>
      <c r="AO944" s="163"/>
      <c r="AP944" s="163"/>
      <c r="AS944" s="148"/>
      <c r="AT944" s="146"/>
      <c r="BE944" s="148"/>
      <c r="BF944" s="146"/>
      <c r="BL944" s="148"/>
      <c r="BM944" s="146"/>
      <c r="BP944" s="148"/>
      <c r="BQ944" s="146"/>
      <c r="BV944" s="148"/>
      <c r="BW944" s="146"/>
      <c r="CC944" s="146"/>
      <c r="CH944" s="148"/>
      <c r="CI944" s="146"/>
    </row>
    <row r="945">
      <c r="C945" s="146"/>
      <c r="I945" s="163"/>
      <c r="J945" s="163"/>
      <c r="K945" s="163"/>
      <c r="Q945" s="148"/>
      <c r="AF945" s="148"/>
      <c r="AG945" s="146"/>
      <c r="AK945" s="148"/>
      <c r="AL945" s="146"/>
      <c r="AO945" s="163"/>
      <c r="AP945" s="163"/>
      <c r="AS945" s="148"/>
      <c r="AT945" s="146"/>
      <c r="BE945" s="148"/>
      <c r="BF945" s="146"/>
      <c r="BL945" s="148"/>
      <c r="BM945" s="146"/>
      <c r="BP945" s="148"/>
      <c r="BQ945" s="146"/>
      <c r="BV945" s="148"/>
      <c r="BW945" s="146"/>
      <c r="CC945" s="146"/>
      <c r="CH945" s="148"/>
      <c r="CI945" s="146"/>
    </row>
    <row r="946">
      <c r="C946" s="146"/>
      <c r="I946" s="163"/>
      <c r="J946" s="163"/>
      <c r="K946" s="163"/>
      <c r="Q946" s="148"/>
      <c r="AF946" s="148"/>
      <c r="AG946" s="146"/>
      <c r="AK946" s="148"/>
      <c r="AL946" s="146"/>
      <c r="AO946" s="163"/>
      <c r="AP946" s="163"/>
      <c r="AS946" s="148"/>
      <c r="AT946" s="146"/>
      <c r="BE946" s="148"/>
      <c r="BF946" s="146"/>
      <c r="BL946" s="148"/>
      <c r="BM946" s="146"/>
      <c r="BP946" s="148"/>
      <c r="BQ946" s="146"/>
      <c r="BV946" s="148"/>
      <c r="BW946" s="146"/>
      <c r="CC946" s="146"/>
      <c r="CH946" s="148"/>
      <c r="CI946" s="146"/>
    </row>
    <row r="947">
      <c r="C947" s="146"/>
      <c r="I947" s="163"/>
      <c r="J947" s="163"/>
      <c r="K947" s="163"/>
      <c r="Q947" s="148"/>
      <c r="AF947" s="148"/>
      <c r="AG947" s="146"/>
      <c r="AK947" s="148"/>
      <c r="AL947" s="146"/>
      <c r="AO947" s="163"/>
      <c r="AP947" s="163"/>
      <c r="AS947" s="148"/>
      <c r="AT947" s="146"/>
      <c r="BE947" s="148"/>
      <c r="BF947" s="146"/>
      <c r="BL947" s="148"/>
      <c r="BM947" s="146"/>
      <c r="BP947" s="148"/>
      <c r="BQ947" s="146"/>
      <c r="BV947" s="148"/>
      <c r="BW947" s="146"/>
      <c r="CC947" s="146"/>
      <c r="CH947" s="148"/>
      <c r="CI947" s="146"/>
    </row>
    <row r="948">
      <c r="C948" s="146"/>
      <c r="I948" s="163"/>
      <c r="J948" s="163"/>
      <c r="K948" s="163"/>
      <c r="Q948" s="148"/>
      <c r="AF948" s="148"/>
      <c r="AG948" s="146"/>
      <c r="AK948" s="148"/>
      <c r="AL948" s="146"/>
      <c r="AO948" s="163"/>
      <c r="AP948" s="163"/>
      <c r="AS948" s="148"/>
      <c r="AT948" s="146"/>
      <c r="BE948" s="148"/>
      <c r="BF948" s="146"/>
      <c r="BL948" s="148"/>
      <c r="BM948" s="146"/>
      <c r="BP948" s="148"/>
      <c r="BQ948" s="146"/>
      <c r="BV948" s="148"/>
      <c r="BW948" s="146"/>
      <c r="CC948" s="146"/>
      <c r="CH948" s="148"/>
      <c r="CI948" s="146"/>
    </row>
    <row r="949">
      <c r="C949" s="146"/>
      <c r="I949" s="163"/>
      <c r="J949" s="163"/>
      <c r="K949" s="163"/>
      <c r="Q949" s="148"/>
      <c r="AF949" s="148"/>
      <c r="AG949" s="146"/>
      <c r="AK949" s="148"/>
      <c r="AL949" s="146"/>
      <c r="AO949" s="163"/>
      <c r="AP949" s="163"/>
      <c r="AS949" s="148"/>
      <c r="AT949" s="146"/>
      <c r="BE949" s="148"/>
      <c r="BF949" s="146"/>
      <c r="BL949" s="148"/>
      <c r="BM949" s="146"/>
      <c r="BP949" s="148"/>
      <c r="BQ949" s="146"/>
      <c r="BV949" s="148"/>
      <c r="BW949" s="146"/>
      <c r="CC949" s="146"/>
      <c r="CH949" s="148"/>
      <c r="CI949" s="146"/>
    </row>
    <row r="950">
      <c r="C950" s="146"/>
      <c r="I950" s="163"/>
      <c r="J950" s="163"/>
      <c r="K950" s="163"/>
      <c r="Q950" s="148"/>
      <c r="AF950" s="148"/>
      <c r="AG950" s="146"/>
      <c r="AK950" s="148"/>
      <c r="AL950" s="146"/>
      <c r="AO950" s="163"/>
      <c r="AP950" s="163"/>
      <c r="AS950" s="148"/>
      <c r="AT950" s="146"/>
      <c r="BE950" s="148"/>
      <c r="BF950" s="146"/>
      <c r="BL950" s="148"/>
      <c r="BM950" s="146"/>
      <c r="BP950" s="148"/>
      <c r="BQ950" s="146"/>
      <c r="BV950" s="148"/>
      <c r="BW950" s="146"/>
      <c r="CC950" s="146"/>
      <c r="CH950" s="148"/>
      <c r="CI950" s="146"/>
    </row>
    <row r="951">
      <c r="C951" s="146"/>
      <c r="I951" s="163"/>
      <c r="J951" s="163"/>
      <c r="K951" s="163"/>
      <c r="Q951" s="148"/>
      <c r="AF951" s="148"/>
      <c r="AG951" s="146"/>
      <c r="AK951" s="148"/>
      <c r="AL951" s="146"/>
      <c r="AO951" s="163"/>
      <c r="AP951" s="163"/>
      <c r="AS951" s="148"/>
      <c r="AT951" s="146"/>
      <c r="BE951" s="148"/>
      <c r="BF951" s="146"/>
      <c r="BL951" s="148"/>
      <c r="BM951" s="146"/>
      <c r="BP951" s="148"/>
      <c r="BQ951" s="146"/>
      <c r="BV951" s="148"/>
      <c r="BW951" s="146"/>
      <c r="CC951" s="146"/>
      <c r="CH951" s="148"/>
      <c r="CI951" s="146"/>
    </row>
    <row r="952">
      <c r="C952" s="146"/>
      <c r="I952" s="163"/>
      <c r="J952" s="163"/>
      <c r="K952" s="163"/>
      <c r="Q952" s="148"/>
      <c r="AF952" s="148"/>
      <c r="AG952" s="146"/>
      <c r="AK952" s="148"/>
      <c r="AL952" s="146"/>
      <c r="AO952" s="163"/>
      <c r="AP952" s="163"/>
      <c r="AS952" s="148"/>
      <c r="AT952" s="146"/>
      <c r="BE952" s="148"/>
      <c r="BF952" s="146"/>
      <c r="BL952" s="148"/>
      <c r="BM952" s="146"/>
      <c r="BP952" s="148"/>
      <c r="BQ952" s="146"/>
      <c r="BV952" s="148"/>
      <c r="BW952" s="146"/>
      <c r="CC952" s="146"/>
      <c r="CH952" s="148"/>
      <c r="CI952" s="146"/>
    </row>
    <row r="953">
      <c r="C953" s="146"/>
      <c r="I953" s="163"/>
      <c r="J953" s="163"/>
      <c r="K953" s="163"/>
      <c r="Q953" s="148"/>
      <c r="AF953" s="148"/>
      <c r="AG953" s="146"/>
      <c r="AK953" s="148"/>
      <c r="AL953" s="146"/>
      <c r="AO953" s="163"/>
      <c r="AP953" s="163"/>
      <c r="AS953" s="148"/>
      <c r="AT953" s="146"/>
      <c r="BE953" s="148"/>
      <c r="BF953" s="146"/>
      <c r="BL953" s="148"/>
      <c r="BM953" s="146"/>
      <c r="BP953" s="148"/>
      <c r="BQ953" s="146"/>
      <c r="BV953" s="148"/>
      <c r="BW953" s="146"/>
      <c r="CC953" s="146"/>
      <c r="CH953" s="148"/>
      <c r="CI953" s="146"/>
    </row>
    <row r="954">
      <c r="C954" s="146"/>
      <c r="I954" s="163"/>
      <c r="J954" s="163"/>
      <c r="K954" s="163"/>
      <c r="Q954" s="148"/>
      <c r="AF954" s="148"/>
      <c r="AG954" s="146"/>
      <c r="AK954" s="148"/>
      <c r="AL954" s="146"/>
      <c r="AO954" s="163"/>
      <c r="AP954" s="163"/>
      <c r="AS954" s="148"/>
      <c r="AT954" s="146"/>
      <c r="BE954" s="148"/>
      <c r="BF954" s="146"/>
      <c r="BL954" s="148"/>
      <c r="BM954" s="146"/>
      <c r="BP954" s="148"/>
      <c r="BQ954" s="146"/>
      <c r="BV954" s="148"/>
      <c r="BW954" s="146"/>
      <c r="CC954" s="146"/>
      <c r="CH954" s="148"/>
      <c r="CI954" s="146"/>
    </row>
    <row r="955">
      <c r="C955" s="146"/>
      <c r="I955" s="163"/>
      <c r="J955" s="163"/>
      <c r="K955" s="163"/>
      <c r="Q955" s="148"/>
      <c r="AF955" s="148"/>
      <c r="AG955" s="146"/>
      <c r="AK955" s="148"/>
      <c r="AL955" s="146"/>
      <c r="AO955" s="163"/>
      <c r="AP955" s="163"/>
      <c r="AS955" s="148"/>
      <c r="AT955" s="146"/>
      <c r="BE955" s="148"/>
      <c r="BF955" s="146"/>
      <c r="BL955" s="148"/>
      <c r="BM955" s="146"/>
      <c r="BP955" s="148"/>
      <c r="BQ955" s="146"/>
      <c r="BV955" s="148"/>
      <c r="BW955" s="146"/>
      <c r="CC955" s="146"/>
      <c r="CH955" s="148"/>
      <c r="CI955" s="146"/>
    </row>
    <row r="956">
      <c r="C956" s="146"/>
      <c r="I956" s="163"/>
      <c r="J956" s="163"/>
      <c r="K956" s="163"/>
      <c r="Q956" s="148"/>
      <c r="AF956" s="148"/>
      <c r="AG956" s="146"/>
      <c r="AK956" s="148"/>
      <c r="AL956" s="146"/>
      <c r="AO956" s="163"/>
      <c r="AP956" s="163"/>
      <c r="AS956" s="148"/>
      <c r="AT956" s="146"/>
      <c r="BE956" s="148"/>
      <c r="BF956" s="146"/>
      <c r="BL956" s="148"/>
      <c r="BM956" s="146"/>
      <c r="BP956" s="148"/>
      <c r="BQ956" s="146"/>
      <c r="BV956" s="148"/>
      <c r="BW956" s="146"/>
      <c r="CC956" s="146"/>
      <c r="CH956" s="148"/>
      <c r="CI956" s="146"/>
    </row>
    <row r="957">
      <c r="C957" s="146"/>
      <c r="I957" s="163"/>
      <c r="J957" s="163"/>
      <c r="K957" s="163"/>
      <c r="Q957" s="148"/>
      <c r="AF957" s="148"/>
      <c r="AG957" s="146"/>
      <c r="AK957" s="148"/>
      <c r="AL957" s="146"/>
      <c r="AO957" s="163"/>
      <c r="AP957" s="163"/>
      <c r="AS957" s="148"/>
      <c r="AT957" s="146"/>
      <c r="BE957" s="148"/>
      <c r="BF957" s="146"/>
      <c r="BL957" s="148"/>
      <c r="BM957" s="146"/>
      <c r="BP957" s="148"/>
      <c r="BQ957" s="146"/>
      <c r="BV957" s="148"/>
      <c r="BW957" s="146"/>
      <c r="CC957" s="146"/>
      <c r="CH957" s="148"/>
      <c r="CI957" s="146"/>
    </row>
    <row r="958">
      <c r="C958" s="146"/>
      <c r="I958" s="163"/>
      <c r="J958" s="163"/>
      <c r="K958" s="163"/>
      <c r="Q958" s="148"/>
      <c r="AF958" s="148"/>
      <c r="AG958" s="146"/>
      <c r="AK958" s="148"/>
      <c r="AL958" s="146"/>
      <c r="AO958" s="163"/>
      <c r="AP958" s="163"/>
      <c r="AS958" s="148"/>
      <c r="AT958" s="146"/>
      <c r="BE958" s="148"/>
      <c r="BF958" s="146"/>
      <c r="BL958" s="148"/>
      <c r="BM958" s="146"/>
      <c r="BP958" s="148"/>
      <c r="BQ958" s="146"/>
      <c r="BV958" s="148"/>
      <c r="BW958" s="146"/>
      <c r="CC958" s="146"/>
      <c r="CH958" s="148"/>
      <c r="CI958" s="146"/>
    </row>
    <row r="959">
      <c r="C959" s="146"/>
      <c r="I959" s="163"/>
      <c r="J959" s="163"/>
      <c r="K959" s="163"/>
      <c r="Q959" s="148"/>
      <c r="AF959" s="148"/>
      <c r="AG959" s="146"/>
      <c r="AK959" s="148"/>
      <c r="AL959" s="146"/>
      <c r="AO959" s="163"/>
      <c r="AP959" s="163"/>
      <c r="AS959" s="148"/>
      <c r="AT959" s="146"/>
      <c r="BE959" s="148"/>
      <c r="BF959" s="146"/>
      <c r="BL959" s="148"/>
      <c r="BM959" s="146"/>
      <c r="BP959" s="148"/>
      <c r="BQ959" s="146"/>
      <c r="BV959" s="148"/>
      <c r="BW959" s="146"/>
      <c r="CC959" s="146"/>
      <c r="CH959" s="148"/>
      <c r="CI959" s="146"/>
    </row>
    <row r="960">
      <c r="C960" s="146"/>
      <c r="I960" s="163"/>
      <c r="J960" s="163"/>
      <c r="K960" s="163"/>
      <c r="Q960" s="148"/>
      <c r="AF960" s="148"/>
      <c r="AG960" s="146"/>
      <c r="AK960" s="148"/>
      <c r="AL960" s="146"/>
      <c r="AO960" s="163"/>
      <c r="AP960" s="163"/>
      <c r="AS960" s="148"/>
      <c r="AT960" s="146"/>
      <c r="BE960" s="148"/>
      <c r="BF960" s="146"/>
      <c r="BL960" s="148"/>
      <c r="BM960" s="146"/>
      <c r="BP960" s="148"/>
      <c r="BQ960" s="146"/>
      <c r="BV960" s="148"/>
      <c r="BW960" s="146"/>
      <c r="CC960" s="146"/>
      <c r="CH960" s="148"/>
      <c r="CI960" s="146"/>
    </row>
    <row r="961">
      <c r="C961" s="146"/>
      <c r="I961" s="163"/>
      <c r="J961" s="163"/>
      <c r="K961" s="163"/>
      <c r="Q961" s="148"/>
      <c r="AF961" s="148"/>
      <c r="AG961" s="146"/>
      <c r="AK961" s="148"/>
      <c r="AL961" s="146"/>
      <c r="AO961" s="163"/>
      <c r="AP961" s="163"/>
      <c r="AS961" s="148"/>
      <c r="AT961" s="146"/>
      <c r="BE961" s="148"/>
      <c r="BF961" s="146"/>
      <c r="BL961" s="148"/>
      <c r="BM961" s="146"/>
      <c r="BP961" s="148"/>
      <c r="BQ961" s="146"/>
      <c r="BV961" s="148"/>
      <c r="BW961" s="146"/>
      <c r="CC961" s="146"/>
      <c r="CH961" s="148"/>
      <c r="CI961" s="146"/>
    </row>
    <row r="962">
      <c r="C962" s="146"/>
      <c r="I962" s="163"/>
      <c r="J962" s="163"/>
      <c r="K962" s="163"/>
      <c r="Q962" s="148"/>
      <c r="AF962" s="148"/>
      <c r="AG962" s="146"/>
      <c r="AK962" s="148"/>
      <c r="AL962" s="146"/>
      <c r="AO962" s="163"/>
      <c r="AP962" s="163"/>
      <c r="AS962" s="148"/>
      <c r="AT962" s="146"/>
      <c r="BE962" s="148"/>
      <c r="BF962" s="146"/>
      <c r="BL962" s="148"/>
      <c r="BM962" s="146"/>
      <c r="BP962" s="148"/>
      <c r="BQ962" s="146"/>
      <c r="BV962" s="148"/>
      <c r="BW962" s="146"/>
      <c r="CC962" s="146"/>
      <c r="CH962" s="148"/>
      <c r="CI962" s="146"/>
    </row>
    <row r="963">
      <c r="C963" s="146"/>
      <c r="I963" s="163"/>
      <c r="J963" s="163"/>
      <c r="K963" s="163"/>
      <c r="Q963" s="148"/>
      <c r="AF963" s="148"/>
      <c r="AG963" s="146"/>
      <c r="AK963" s="148"/>
      <c r="AL963" s="146"/>
      <c r="AO963" s="163"/>
      <c r="AP963" s="163"/>
      <c r="AS963" s="148"/>
      <c r="AT963" s="146"/>
      <c r="BE963" s="148"/>
      <c r="BF963" s="146"/>
      <c r="BL963" s="148"/>
      <c r="BM963" s="146"/>
      <c r="BP963" s="148"/>
      <c r="BQ963" s="146"/>
      <c r="BV963" s="148"/>
      <c r="BW963" s="146"/>
      <c r="CC963" s="146"/>
      <c r="CH963" s="148"/>
      <c r="CI963" s="146"/>
    </row>
    <row r="964">
      <c r="C964" s="146"/>
      <c r="I964" s="163"/>
      <c r="J964" s="163"/>
      <c r="K964" s="163"/>
      <c r="Q964" s="148"/>
      <c r="AF964" s="148"/>
      <c r="AG964" s="146"/>
      <c r="AK964" s="148"/>
      <c r="AL964" s="146"/>
      <c r="AO964" s="163"/>
      <c r="AP964" s="163"/>
      <c r="AS964" s="148"/>
      <c r="AT964" s="146"/>
      <c r="BE964" s="148"/>
      <c r="BF964" s="146"/>
      <c r="BL964" s="148"/>
      <c r="BM964" s="146"/>
      <c r="BP964" s="148"/>
      <c r="BQ964" s="146"/>
      <c r="BV964" s="148"/>
      <c r="BW964" s="146"/>
      <c r="CC964" s="146"/>
      <c r="CH964" s="148"/>
      <c r="CI964" s="146"/>
    </row>
    <row r="965">
      <c r="C965" s="146"/>
      <c r="I965" s="163"/>
      <c r="J965" s="163"/>
      <c r="K965" s="163"/>
      <c r="Q965" s="148"/>
      <c r="AF965" s="148"/>
      <c r="AG965" s="146"/>
      <c r="AK965" s="148"/>
      <c r="AL965" s="146"/>
      <c r="AO965" s="163"/>
      <c r="AP965" s="163"/>
      <c r="AS965" s="148"/>
      <c r="AT965" s="146"/>
      <c r="BE965" s="148"/>
      <c r="BF965" s="146"/>
      <c r="BL965" s="148"/>
      <c r="BM965" s="146"/>
      <c r="BP965" s="148"/>
      <c r="BQ965" s="146"/>
      <c r="BV965" s="148"/>
      <c r="BW965" s="146"/>
      <c r="CC965" s="146"/>
      <c r="CH965" s="148"/>
      <c r="CI965" s="146"/>
    </row>
    <row r="966">
      <c r="C966" s="146"/>
      <c r="I966" s="163"/>
      <c r="J966" s="163"/>
      <c r="K966" s="163"/>
      <c r="Q966" s="148"/>
      <c r="AF966" s="148"/>
      <c r="AG966" s="146"/>
      <c r="AK966" s="148"/>
      <c r="AL966" s="146"/>
      <c r="AO966" s="163"/>
      <c r="AP966" s="163"/>
      <c r="AS966" s="148"/>
      <c r="AT966" s="146"/>
      <c r="BE966" s="148"/>
      <c r="BF966" s="146"/>
      <c r="BL966" s="148"/>
      <c r="BM966" s="146"/>
      <c r="BP966" s="148"/>
      <c r="BQ966" s="146"/>
      <c r="BV966" s="148"/>
      <c r="BW966" s="146"/>
      <c r="CC966" s="146"/>
      <c r="CH966" s="148"/>
      <c r="CI966" s="146"/>
    </row>
    <row r="967">
      <c r="C967" s="146"/>
      <c r="I967" s="163"/>
      <c r="J967" s="163"/>
      <c r="K967" s="163"/>
      <c r="Q967" s="148"/>
      <c r="AF967" s="148"/>
      <c r="AG967" s="146"/>
      <c r="AK967" s="148"/>
      <c r="AL967" s="146"/>
      <c r="AO967" s="163"/>
      <c r="AP967" s="163"/>
      <c r="AS967" s="148"/>
      <c r="AT967" s="146"/>
      <c r="BE967" s="148"/>
      <c r="BF967" s="146"/>
      <c r="BL967" s="148"/>
      <c r="BM967" s="146"/>
      <c r="BP967" s="148"/>
      <c r="BQ967" s="146"/>
      <c r="BV967" s="148"/>
      <c r="BW967" s="146"/>
      <c r="CC967" s="146"/>
      <c r="CH967" s="148"/>
      <c r="CI967" s="146"/>
    </row>
    <row r="968">
      <c r="C968" s="146"/>
      <c r="I968" s="163"/>
      <c r="J968" s="163"/>
      <c r="K968" s="163"/>
      <c r="Q968" s="148"/>
      <c r="AF968" s="148"/>
      <c r="AG968" s="146"/>
      <c r="AK968" s="148"/>
      <c r="AL968" s="146"/>
      <c r="AO968" s="163"/>
      <c r="AP968" s="163"/>
      <c r="AS968" s="148"/>
      <c r="AT968" s="146"/>
      <c r="BE968" s="148"/>
      <c r="BF968" s="146"/>
      <c r="BL968" s="148"/>
      <c r="BM968" s="146"/>
      <c r="BP968" s="148"/>
      <c r="BQ968" s="146"/>
      <c r="BV968" s="148"/>
      <c r="BW968" s="146"/>
      <c r="CC968" s="146"/>
      <c r="CH968" s="148"/>
      <c r="CI968" s="146"/>
    </row>
    <row r="969">
      <c r="C969" s="146"/>
      <c r="I969" s="163"/>
      <c r="J969" s="163"/>
      <c r="K969" s="163"/>
      <c r="Q969" s="148"/>
      <c r="AF969" s="148"/>
      <c r="AG969" s="146"/>
      <c r="AK969" s="148"/>
      <c r="AL969" s="146"/>
      <c r="AO969" s="163"/>
      <c r="AP969" s="163"/>
      <c r="AS969" s="148"/>
      <c r="AT969" s="146"/>
      <c r="BE969" s="148"/>
      <c r="BF969" s="146"/>
      <c r="BL969" s="148"/>
      <c r="BM969" s="146"/>
      <c r="BP969" s="148"/>
      <c r="BQ969" s="146"/>
      <c r="BV969" s="148"/>
      <c r="BW969" s="146"/>
      <c r="CC969" s="146"/>
      <c r="CH969" s="148"/>
      <c r="CI969" s="146"/>
    </row>
    <row r="970">
      <c r="C970" s="146"/>
      <c r="I970" s="163"/>
      <c r="J970" s="163"/>
      <c r="K970" s="163"/>
      <c r="Q970" s="148"/>
      <c r="AF970" s="148"/>
      <c r="AG970" s="146"/>
      <c r="AK970" s="148"/>
      <c r="AL970" s="146"/>
      <c r="AO970" s="163"/>
      <c r="AP970" s="163"/>
      <c r="AS970" s="148"/>
      <c r="AT970" s="146"/>
      <c r="BE970" s="148"/>
      <c r="BF970" s="146"/>
      <c r="BL970" s="148"/>
      <c r="BM970" s="146"/>
      <c r="BP970" s="148"/>
      <c r="BQ970" s="146"/>
      <c r="BV970" s="148"/>
      <c r="BW970" s="146"/>
      <c r="CC970" s="146"/>
      <c r="CH970" s="148"/>
      <c r="CI970" s="146"/>
    </row>
    <row r="971">
      <c r="C971" s="146"/>
      <c r="I971" s="163"/>
      <c r="J971" s="163"/>
      <c r="K971" s="163"/>
      <c r="Q971" s="148"/>
      <c r="AF971" s="148"/>
      <c r="AG971" s="146"/>
      <c r="AK971" s="148"/>
      <c r="AL971" s="146"/>
      <c r="AO971" s="163"/>
      <c r="AP971" s="163"/>
      <c r="AS971" s="148"/>
      <c r="AT971" s="146"/>
      <c r="BE971" s="148"/>
      <c r="BF971" s="146"/>
      <c r="BL971" s="148"/>
      <c r="BM971" s="146"/>
      <c r="BP971" s="148"/>
      <c r="BQ971" s="146"/>
      <c r="BV971" s="148"/>
      <c r="BW971" s="146"/>
      <c r="CC971" s="146"/>
      <c r="CH971" s="148"/>
      <c r="CI971" s="146"/>
    </row>
    <row r="972">
      <c r="C972" s="146"/>
      <c r="I972" s="163"/>
      <c r="J972" s="163"/>
      <c r="K972" s="163"/>
      <c r="Q972" s="148"/>
      <c r="AF972" s="148"/>
      <c r="AG972" s="146"/>
      <c r="AK972" s="148"/>
      <c r="AL972" s="146"/>
      <c r="AO972" s="163"/>
      <c r="AP972" s="163"/>
      <c r="AS972" s="148"/>
      <c r="AT972" s="146"/>
      <c r="BE972" s="148"/>
      <c r="BF972" s="146"/>
      <c r="BL972" s="148"/>
      <c r="BM972" s="146"/>
      <c r="BP972" s="148"/>
      <c r="BQ972" s="146"/>
      <c r="BV972" s="148"/>
      <c r="BW972" s="146"/>
      <c r="CC972" s="146"/>
      <c r="CH972" s="148"/>
      <c r="CI972" s="146"/>
    </row>
    <row r="973">
      <c r="C973" s="146"/>
      <c r="I973" s="163"/>
      <c r="J973" s="163"/>
      <c r="K973" s="163"/>
      <c r="Q973" s="148"/>
      <c r="AF973" s="148"/>
      <c r="AG973" s="146"/>
      <c r="AK973" s="148"/>
      <c r="AL973" s="146"/>
      <c r="AO973" s="163"/>
      <c r="AP973" s="163"/>
      <c r="AS973" s="148"/>
      <c r="AT973" s="146"/>
      <c r="BE973" s="148"/>
      <c r="BF973" s="146"/>
      <c r="BL973" s="148"/>
      <c r="BM973" s="146"/>
      <c r="BP973" s="148"/>
      <c r="BQ973" s="146"/>
      <c r="BV973" s="148"/>
      <c r="BW973" s="146"/>
      <c r="CC973" s="146"/>
      <c r="CH973" s="148"/>
      <c r="CI973" s="146"/>
    </row>
    <row r="974">
      <c r="C974" s="146"/>
      <c r="I974" s="163"/>
      <c r="J974" s="163"/>
      <c r="K974" s="163"/>
      <c r="Q974" s="148"/>
      <c r="AF974" s="148"/>
      <c r="AG974" s="146"/>
      <c r="AK974" s="148"/>
      <c r="AL974" s="146"/>
      <c r="AO974" s="163"/>
      <c r="AP974" s="163"/>
      <c r="AS974" s="148"/>
      <c r="AT974" s="146"/>
      <c r="BE974" s="148"/>
      <c r="BF974" s="146"/>
      <c r="BL974" s="148"/>
      <c r="BM974" s="146"/>
      <c r="BP974" s="148"/>
      <c r="BQ974" s="146"/>
      <c r="BV974" s="148"/>
      <c r="BW974" s="146"/>
      <c r="CC974" s="146"/>
      <c r="CH974" s="148"/>
      <c r="CI974" s="146"/>
    </row>
    <row r="975">
      <c r="C975" s="146"/>
      <c r="I975" s="163"/>
      <c r="J975" s="163"/>
      <c r="K975" s="163"/>
      <c r="Q975" s="148"/>
      <c r="AF975" s="148"/>
      <c r="AG975" s="146"/>
      <c r="AK975" s="148"/>
      <c r="AL975" s="146"/>
      <c r="AO975" s="163"/>
      <c r="AP975" s="163"/>
      <c r="AS975" s="148"/>
      <c r="AT975" s="146"/>
      <c r="BE975" s="148"/>
      <c r="BF975" s="146"/>
      <c r="BL975" s="148"/>
      <c r="BM975" s="146"/>
      <c r="BP975" s="148"/>
      <c r="BQ975" s="146"/>
      <c r="BV975" s="148"/>
      <c r="BW975" s="146"/>
      <c r="CC975" s="146"/>
      <c r="CH975" s="148"/>
      <c r="CI975" s="146"/>
    </row>
    <row r="976">
      <c r="C976" s="146"/>
      <c r="I976" s="163"/>
      <c r="J976" s="163"/>
      <c r="K976" s="163"/>
      <c r="Q976" s="148"/>
      <c r="AF976" s="148"/>
      <c r="AG976" s="146"/>
      <c r="AK976" s="148"/>
      <c r="AL976" s="146"/>
      <c r="AO976" s="163"/>
      <c r="AP976" s="163"/>
      <c r="AS976" s="148"/>
      <c r="AT976" s="146"/>
      <c r="BE976" s="148"/>
      <c r="BF976" s="146"/>
      <c r="BL976" s="148"/>
      <c r="BM976" s="146"/>
      <c r="BP976" s="148"/>
      <c r="BQ976" s="146"/>
      <c r="BV976" s="148"/>
      <c r="BW976" s="146"/>
      <c r="CC976" s="146"/>
      <c r="CH976" s="148"/>
      <c r="CI976" s="146"/>
    </row>
    <row r="977">
      <c r="C977" s="146"/>
      <c r="I977" s="163"/>
      <c r="J977" s="163"/>
      <c r="K977" s="163"/>
      <c r="Q977" s="148"/>
      <c r="AF977" s="148"/>
      <c r="AG977" s="146"/>
      <c r="AK977" s="148"/>
      <c r="AL977" s="146"/>
      <c r="AO977" s="163"/>
      <c r="AP977" s="163"/>
      <c r="AS977" s="148"/>
      <c r="AT977" s="146"/>
      <c r="BE977" s="148"/>
      <c r="BF977" s="146"/>
      <c r="BL977" s="148"/>
      <c r="BM977" s="146"/>
      <c r="BP977" s="148"/>
      <c r="BQ977" s="146"/>
      <c r="BV977" s="148"/>
      <c r="BW977" s="146"/>
      <c r="CC977" s="146"/>
      <c r="CH977" s="148"/>
      <c r="CI977" s="146"/>
    </row>
    <row r="978">
      <c r="C978" s="146"/>
      <c r="I978" s="163"/>
      <c r="J978" s="163"/>
      <c r="K978" s="163"/>
      <c r="Q978" s="148"/>
      <c r="AF978" s="148"/>
      <c r="AG978" s="146"/>
      <c r="AK978" s="148"/>
      <c r="AL978" s="146"/>
      <c r="AO978" s="163"/>
      <c r="AP978" s="163"/>
      <c r="AS978" s="148"/>
      <c r="AT978" s="146"/>
      <c r="BE978" s="148"/>
      <c r="BF978" s="146"/>
      <c r="BL978" s="148"/>
      <c r="BM978" s="146"/>
      <c r="BP978" s="148"/>
      <c r="BQ978" s="146"/>
      <c r="BV978" s="148"/>
      <c r="BW978" s="146"/>
      <c r="CC978" s="146"/>
      <c r="CH978" s="148"/>
      <c r="CI978" s="146"/>
    </row>
    <row r="979">
      <c r="C979" s="146"/>
      <c r="I979" s="163"/>
      <c r="J979" s="163"/>
      <c r="K979" s="163"/>
      <c r="Q979" s="148"/>
      <c r="AF979" s="148"/>
      <c r="AG979" s="146"/>
      <c r="AK979" s="148"/>
      <c r="AL979" s="146"/>
      <c r="AO979" s="163"/>
      <c r="AP979" s="163"/>
      <c r="AS979" s="148"/>
      <c r="AT979" s="146"/>
      <c r="BE979" s="148"/>
      <c r="BF979" s="146"/>
      <c r="BL979" s="148"/>
      <c r="BM979" s="146"/>
      <c r="BP979" s="148"/>
      <c r="BQ979" s="146"/>
      <c r="BV979" s="148"/>
      <c r="BW979" s="146"/>
      <c r="CC979" s="146"/>
      <c r="CH979" s="148"/>
      <c r="CI979" s="146"/>
    </row>
    <row r="980">
      <c r="C980" s="146"/>
      <c r="I980" s="163"/>
      <c r="J980" s="163"/>
      <c r="K980" s="163"/>
      <c r="Q980" s="148"/>
      <c r="AF980" s="148"/>
      <c r="AG980" s="146"/>
      <c r="AK980" s="148"/>
      <c r="AL980" s="146"/>
      <c r="AO980" s="163"/>
      <c r="AP980" s="163"/>
      <c r="AS980" s="148"/>
      <c r="AT980" s="146"/>
      <c r="BE980" s="148"/>
      <c r="BF980" s="146"/>
      <c r="BL980" s="148"/>
      <c r="BM980" s="146"/>
      <c r="BP980" s="148"/>
      <c r="BQ980" s="146"/>
      <c r="BV980" s="148"/>
      <c r="BW980" s="146"/>
      <c r="CC980" s="146"/>
      <c r="CH980" s="148"/>
      <c r="CI980" s="146"/>
    </row>
    <row r="981">
      <c r="C981" s="146"/>
      <c r="I981" s="163"/>
      <c r="J981" s="163"/>
      <c r="K981" s="163"/>
      <c r="Q981" s="148"/>
      <c r="AF981" s="148"/>
      <c r="AG981" s="146"/>
      <c r="AK981" s="148"/>
      <c r="AL981" s="146"/>
      <c r="AO981" s="163"/>
      <c r="AP981" s="163"/>
      <c r="AS981" s="148"/>
      <c r="AT981" s="146"/>
      <c r="BE981" s="148"/>
      <c r="BF981" s="146"/>
      <c r="BL981" s="148"/>
      <c r="BM981" s="146"/>
      <c r="BP981" s="148"/>
      <c r="BQ981" s="146"/>
      <c r="BV981" s="148"/>
      <c r="BW981" s="146"/>
      <c r="CC981" s="146"/>
      <c r="CH981" s="148"/>
      <c r="CI981" s="146"/>
    </row>
    <row r="982">
      <c r="C982" s="146"/>
      <c r="I982" s="163"/>
      <c r="J982" s="163"/>
      <c r="K982" s="163"/>
      <c r="Q982" s="148"/>
      <c r="AF982" s="148"/>
      <c r="AG982" s="146"/>
      <c r="AK982" s="148"/>
      <c r="AL982" s="146"/>
      <c r="AO982" s="163"/>
      <c r="AP982" s="163"/>
      <c r="AS982" s="148"/>
      <c r="AT982" s="146"/>
      <c r="BE982" s="148"/>
      <c r="BF982" s="146"/>
      <c r="BL982" s="148"/>
      <c r="BM982" s="146"/>
      <c r="BP982" s="148"/>
      <c r="BQ982" s="146"/>
      <c r="BV982" s="148"/>
      <c r="BW982" s="146"/>
      <c r="CC982" s="146"/>
      <c r="CH982" s="148"/>
      <c r="CI982" s="146"/>
    </row>
    <row r="983">
      <c r="C983" s="146"/>
      <c r="I983" s="163"/>
      <c r="J983" s="163"/>
      <c r="K983" s="163"/>
      <c r="Q983" s="148"/>
      <c r="AF983" s="148"/>
      <c r="AG983" s="146"/>
      <c r="AK983" s="148"/>
      <c r="AL983" s="146"/>
      <c r="AO983" s="163"/>
      <c r="AP983" s="163"/>
      <c r="AS983" s="148"/>
      <c r="AT983" s="146"/>
      <c r="BE983" s="148"/>
      <c r="BF983" s="146"/>
      <c r="BL983" s="148"/>
      <c r="BM983" s="146"/>
      <c r="BP983" s="148"/>
      <c r="BQ983" s="146"/>
      <c r="BV983" s="148"/>
      <c r="BW983" s="146"/>
      <c r="CC983" s="146"/>
      <c r="CH983" s="148"/>
      <c r="CI983" s="146"/>
    </row>
    <row r="984">
      <c r="C984" s="146"/>
      <c r="I984" s="163"/>
      <c r="J984" s="163"/>
      <c r="K984" s="163"/>
      <c r="Q984" s="148"/>
      <c r="AF984" s="148"/>
      <c r="AG984" s="146"/>
      <c r="AK984" s="148"/>
      <c r="AL984" s="146"/>
      <c r="AO984" s="163"/>
      <c r="AP984" s="163"/>
      <c r="AS984" s="148"/>
      <c r="AT984" s="146"/>
      <c r="BE984" s="148"/>
      <c r="BF984" s="146"/>
      <c r="BL984" s="148"/>
      <c r="BM984" s="146"/>
      <c r="BP984" s="148"/>
      <c r="BQ984" s="146"/>
      <c r="BV984" s="148"/>
      <c r="BW984" s="146"/>
      <c r="CC984" s="146"/>
      <c r="CH984" s="148"/>
      <c r="CI984" s="146"/>
    </row>
    <row r="985">
      <c r="C985" s="146"/>
      <c r="I985" s="163"/>
      <c r="J985" s="163"/>
      <c r="K985" s="163"/>
      <c r="Q985" s="148"/>
      <c r="AF985" s="148"/>
      <c r="AG985" s="146"/>
      <c r="AK985" s="148"/>
      <c r="AL985" s="146"/>
      <c r="AO985" s="163"/>
      <c r="AP985" s="163"/>
      <c r="AS985" s="148"/>
      <c r="AT985" s="146"/>
      <c r="BE985" s="148"/>
      <c r="BF985" s="146"/>
      <c r="BL985" s="148"/>
      <c r="BM985" s="146"/>
      <c r="BP985" s="148"/>
      <c r="BQ985" s="146"/>
      <c r="BV985" s="148"/>
      <c r="BW985" s="146"/>
      <c r="CC985" s="146"/>
      <c r="CH985" s="148"/>
      <c r="CI985" s="146"/>
    </row>
    <row r="986">
      <c r="C986" s="146"/>
      <c r="I986" s="163"/>
      <c r="J986" s="163"/>
      <c r="K986" s="163"/>
      <c r="Q986" s="148"/>
      <c r="AF986" s="148"/>
      <c r="AG986" s="146"/>
      <c r="AK986" s="148"/>
      <c r="AL986" s="146"/>
      <c r="AO986" s="163"/>
      <c r="AP986" s="163"/>
      <c r="AS986" s="148"/>
      <c r="AT986" s="146"/>
      <c r="BE986" s="148"/>
      <c r="BF986" s="146"/>
      <c r="BL986" s="148"/>
      <c r="BM986" s="146"/>
      <c r="BP986" s="148"/>
      <c r="BQ986" s="146"/>
      <c r="BV986" s="148"/>
      <c r="BW986" s="146"/>
      <c r="CC986" s="146"/>
      <c r="CH986" s="148"/>
      <c r="CI986" s="146"/>
    </row>
    <row r="987">
      <c r="C987" s="146"/>
      <c r="I987" s="163"/>
      <c r="J987" s="163"/>
      <c r="K987" s="163"/>
      <c r="Q987" s="148"/>
      <c r="AF987" s="148"/>
      <c r="AG987" s="146"/>
      <c r="AK987" s="148"/>
      <c r="AL987" s="146"/>
      <c r="AO987" s="163"/>
      <c r="AP987" s="163"/>
      <c r="AS987" s="148"/>
      <c r="AT987" s="146"/>
      <c r="BE987" s="148"/>
      <c r="BF987" s="146"/>
      <c r="BL987" s="148"/>
      <c r="BM987" s="146"/>
      <c r="BP987" s="148"/>
      <c r="BQ987" s="146"/>
      <c r="BV987" s="148"/>
      <c r="BW987" s="146"/>
      <c r="CC987" s="146"/>
      <c r="CH987" s="148"/>
      <c r="CI987" s="146"/>
    </row>
    <row r="988">
      <c r="C988" s="146"/>
      <c r="I988" s="163"/>
      <c r="J988" s="163"/>
      <c r="K988" s="163"/>
      <c r="Q988" s="148"/>
      <c r="AF988" s="148"/>
      <c r="AG988" s="146"/>
      <c r="AK988" s="148"/>
      <c r="AL988" s="146"/>
      <c r="AO988" s="163"/>
      <c r="AP988" s="163"/>
      <c r="AS988" s="148"/>
      <c r="AT988" s="146"/>
      <c r="BE988" s="148"/>
      <c r="BF988" s="146"/>
      <c r="BL988" s="148"/>
      <c r="BM988" s="146"/>
      <c r="BP988" s="148"/>
      <c r="BQ988" s="146"/>
      <c r="BV988" s="148"/>
      <c r="BW988" s="146"/>
      <c r="CC988" s="146"/>
      <c r="CH988" s="148"/>
      <c r="CI988" s="146"/>
    </row>
    <row r="989">
      <c r="C989" s="146"/>
      <c r="I989" s="163"/>
      <c r="J989" s="163"/>
      <c r="K989" s="163"/>
      <c r="Q989" s="148"/>
      <c r="AF989" s="148"/>
      <c r="AG989" s="146"/>
      <c r="AK989" s="148"/>
      <c r="AL989" s="146"/>
      <c r="AO989" s="163"/>
      <c r="AP989" s="163"/>
      <c r="AS989" s="148"/>
      <c r="AT989" s="146"/>
      <c r="BE989" s="148"/>
      <c r="BF989" s="146"/>
      <c r="BL989" s="148"/>
      <c r="BM989" s="146"/>
      <c r="BP989" s="148"/>
      <c r="BQ989" s="146"/>
      <c r="BV989" s="148"/>
      <c r="BW989" s="146"/>
      <c r="CC989" s="146"/>
      <c r="CH989" s="148"/>
      <c r="CI989" s="146"/>
    </row>
    <row r="990">
      <c r="C990" s="146"/>
      <c r="I990" s="163"/>
      <c r="J990" s="163"/>
      <c r="K990" s="163"/>
      <c r="Q990" s="148"/>
      <c r="AF990" s="148"/>
      <c r="AG990" s="146"/>
      <c r="AK990" s="148"/>
      <c r="AL990" s="146"/>
      <c r="AO990" s="163"/>
      <c r="AP990" s="163"/>
      <c r="AS990" s="148"/>
      <c r="AT990" s="146"/>
      <c r="BE990" s="148"/>
      <c r="BF990" s="146"/>
      <c r="BL990" s="148"/>
      <c r="BM990" s="146"/>
      <c r="BP990" s="148"/>
      <c r="BQ990" s="146"/>
      <c r="BV990" s="148"/>
      <c r="BW990" s="146"/>
      <c r="CC990" s="146"/>
      <c r="CH990" s="148"/>
      <c r="CI990" s="146"/>
    </row>
    <row r="991">
      <c r="C991" s="146"/>
      <c r="I991" s="163"/>
      <c r="J991" s="163"/>
      <c r="K991" s="163"/>
      <c r="Q991" s="148"/>
      <c r="AF991" s="148"/>
      <c r="AG991" s="146"/>
      <c r="AK991" s="148"/>
      <c r="AL991" s="146"/>
      <c r="AO991" s="163"/>
      <c r="AP991" s="163"/>
      <c r="AS991" s="148"/>
      <c r="AT991" s="146"/>
      <c r="BE991" s="148"/>
      <c r="BF991" s="146"/>
      <c r="BL991" s="148"/>
      <c r="BM991" s="146"/>
      <c r="BP991" s="148"/>
      <c r="BQ991" s="146"/>
      <c r="BV991" s="148"/>
      <c r="BW991" s="146"/>
      <c r="CC991" s="146"/>
      <c r="CH991" s="148"/>
      <c r="CI991" s="146"/>
    </row>
    <row r="992">
      <c r="C992" s="146"/>
      <c r="I992" s="163"/>
      <c r="J992" s="163"/>
      <c r="K992" s="163"/>
      <c r="Q992" s="148"/>
      <c r="AF992" s="148"/>
      <c r="AG992" s="146"/>
      <c r="AK992" s="148"/>
      <c r="AL992" s="146"/>
      <c r="AO992" s="163"/>
      <c r="AP992" s="163"/>
      <c r="AS992" s="148"/>
      <c r="AT992" s="146"/>
      <c r="BE992" s="148"/>
      <c r="BF992" s="146"/>
      <c r="BL992" s="148"/>
      <c r="BM992" s="146"/>
      <c r="BP992" s="148"/>
      <c r="BQ992" s="146"/>
      <c r="BV992" s="148"/>
      <c r="BW992" s="146"/>
      <c r="CC992" s="146"/>
      <c r="CH992" s="148"/>
      <c r="CI992" s="146"/>
    </row>
    <row r="993">
      <c r="C993" s="146"/>
      <c r="I993" s="163"/>
      <c r="J993" s="163"/>
      <c r="K993" s="163"/>
      <c r="Q993" s="148"/>
      <c r="AF993" s="148"/>
      <c r="AG993" s="146"/>
      <c r="AK993" s="148"/>
      <c r="AL993" s="146"/>
      <c r="AO993" s="163"/>
      <c r="AP993" s="163"/>
      <c r="AS993" s="148"/>
      <c r="AT993" s="146"/>
      <c r="BE993" s="148"/>
      <c r="BF993" s="146"/>
      <c r="BL993" s="148"/>
      <c r="BM993" s="146"/>
      <c r="BP993" s="148"/>
      <c r="BQ993" s="146"/>
      <c r="BV993" s="148"/>
      <c r="BW993" s="146"/>
      <c r="CC993" s="146"/>
      <c r="CH993" s="148"/>
      <c r="CI993" s="146"/>
    </row>
    <row r="994">
      <c r="C994" s="146"/>
      <c r="I994" s="163"/>
      <c r="J994" s="163"/>
      <c r="K994" s="163"/>
      <c r="Q994" s="148"/>
      <c r="AF994" s="148"/>
      <c r="AG994" s="146"/>
      <c r="AK994" s="148"/>
      <c r="AL994" s="146"/>
      <c r="AO994" s="163"/>
      <c r="AP994" s="163"/>
      <c r="AS994" s="148"/>
      <c r="AT994" s="146"/>
      <c r="BE994" s="148"/>
      <c r="BF994" s="146"/>
      <c r="BL994" s="148"/>
      <c r="BM994" s="146"/>
      <c r="BP994" s="148"/>
      <c r="BQ994" s="146"/>
      <c r="BV994" s="148"/>
      <c r="BW994" s="146"/>
      <c r="CC994" s="146"/>
      <c r="CH994" s="148"/>
      <c r="CI994" s="146"/>
    </row>
    <row r="995">
      <c r="C995" s="146"/>
      <c r="I995" s="163"/>
      <c r="J995" s="163"/>
      <c r="K995" s="163"/>
      <c r="Q995" s="148"/>
      <c r="AF995" s="148"/>
      <c r="AG995" s="146"/>
      <c r="AK995" s="148"/>
      <c r="AL995" s="146"/>
      <c r="AO995" s="163"/>
      <c r="AP995" s="163"/>
      <c r="AS995" s="148"/>
      <c r="AT995" s="146"/>
      <c r="BE995" s="148"/>
      <c r="BF995" s="146"/>
      <c r="BL995" s="148"/>
      <c r="BM995" s="146"/>
      <c r="BP995" s="148"/>
      <c r="BQ995" s="146"/>
      <c r="BV995" s="148"/>
      <c r="BW995" s="146"/>
      <c r="CC995" s="146"/>
      <c r="CH995" s="148"/>
      <c r="CI995" s="146"/>
    </row>
    <row r="996">
      <c r="C996" s="146"/>
      <c r="I996" s="163"/>
      <c r="J996" s="163"/>
      <c r="K996" s="163"/>
      <c r="Q996" s="148"/>
      <c r="AF996" s="148"/>
      <c r="AG996" s="146"/>
      <c r="AK996" s="148"/>
      <c r="AL996" s="146"/>
      <c r="AO996" s="163"/>
      <c r="AP996" s="163"/>
      <c r="AS996" s="148"/>
      <c r="AT996" s="146"/>
      <c r="BE996" s="148"/>
      <c r="BF996" s="146"/>
      <c r="BL996" s="148"/>
      <c r="BM996" s="146"/>
      <c r="BP996" s="148"/>
      <c r="BQ996" s="146"/>
      <c r="BV996" s="148"/>
      <c r="BW996" s="146"/>
      <c r="CC996" s="146"/>
      <c r="CH996" s="148"/>
      <c r="CI996" s="146"/>
    </row>
    <row r="997">
      <c r="C997" s="146"/>
      <c r="I997" s="163"/>
      <c r="J997" s="163"/>
      <c r="K997" s="163"/>
      <c r="Q997" s="148"/>
      <c r="AF997" s="148"/>
      <c r="AG997" s="146"/>
      <c r="AK997" s="148"/>
      <c r="AL997" s="146"/>
      <c r="AO997" s="163"/>
      <c r="AP997" s="163"/>
      <c r="AS997" s="148"/>
      <c r="AT997" s="146"/>
      <c r="BE997" s="148"/>
      <c r="BF997" s="146"/>
      <c r="BL997" s="148"/>
      <c r="BM997" s="146"/>
      <c r="BP997" s="148"/>
      <c r="BQ997" s="146"/>
      <c r="BV997" s="148"/>
      <c r="BW997" s="146"/>
      <c r="CC997" s="146"/>
      <c r="CH997" s="148"/>
      <c r="CI997" s="146"/>
    </row>
    <row r="998">
      <c r="C998" s="146"/>
      <c r="I998" s="163"/>
      <c r="J998" s="163"/>
      <c r="K998" s="163"/>
      <c r="Q998" s="148"/>
      <c r="AF998" s="148"/>
      <c r="AG998" s="146"/>
      <c r="AK998" s="148"/>
      <c r="AL998" s="146"/>
      <c r="AO998" s="163"/>
      <c r="AP998" s="163"/>
      <c r="AS998" s="148"/>
      <c r="AT998" s="146"/>
      <c r="BE998" s="148"/>
      <c r="BF998" s="146"/>
      <c r="BL998" s="148"/>
      <c r="BM998" s="146"/>
      <c r="BP998" s="148"/>
      <c r="BQ998" s="146"/>
      <c r="BV998" s="148"/>
      <c r="BW998" s="146"/>
      <c r="CC998" s="146"/>
      <c r="CH998" s="148"/>
      <c r="CI998" s="146"/>
    </row>
    <row r="999">
      <c r="C999" s="146"/>
      <c r="I999" s="163"/>
      <c r="J999" s="163"/>
      <c r="K999" s="163"/>
      <c r="Q999" s="148"/>
      <c r="AF999" s="148"/>
      <c r="AG999" s="146"/>
      <c r="AK999" s="148"/>
      <c r="AL999" s="146"/>
      <c r="AO999" s="163"/>
      <c r="AP999" s="163"/>
      <c r="AS999" s="148"/>
      <c r="AT999" s="146"/>
      <c r="BE999" s="148"/>
      <c r="BF999" s="146"/>
      <c r="BL999" s="148"/>
      <c r="BM999" s="146"/>
      <c r="BP999" s="148"/>
      <c r="BQ999" s="146"/>
      <c r="BV999" s="148"/>
      <c r="BW999" s="146"/>
      <c r="CC999" s="146"/>
      <c r="CH999" s="148"/>
      <c r="CI999" s="146"/>
    </row>
    <row r="1000">
      <c r="C1000" s="146"/>
      <c r="I1000" s="163"/>
      <c r="J1000" s="163"/>
      <c r="K1000" s="163"/>
      <c r="Q1000" s="148"/>
      <c r="AF1000" s="148"/>
      <c r="AG1000" s="146"/>
      <c r="AK1000" s="148"/>
      <c r="AL1000" s="146"/>
      <c r="AO1000" s="163"/>
      <c r="AP1000" s="163"/>
      <c r="AS1000" s="148"/>
      <c r="AT1000" s="146"/>
      <c r="BE1000" s="148"/>
      <c r="BF1000" s="146"/>
      <c r="BL1000" s="148"/>
      <c r="BM1000" s="146"/>
      <c r="BP1000" s="148"/>
      <c r="BQ1000" s="146"/>
      <c r="BV1000" s="148"/>
      <c r="BW1000" s="146"/>
      <c r="CC1000" s="146"/>
      <c r="CH1000" s="148"/>
      <c r="CI1000" s="146"/>
    </row>
    <row r="1001">
      <c r="C1001" s="146"/>
      <c r="I1001" s="163"/>
      <c r="J1001" s="163"/>
      <c r="K1001" s="163"/>
      <c r="Q1001" s="148"/>
      <c r="AF1001" s="148"/>
      <c r="AG1001" s="146"/>
      <c r="AK1001" s="148"/>
      <c r="AL1001" s="146"/>
      <c r="AO1001" s="163"/>
      <c r="AP1001" s="163"/>
      <c r="AS1001" s="148"/>
      <c r="AT1001" s="146"/>
      <c r="BE1001" s="148"/>
      <c r="BF1001" s="146"/>
      <c r="BL1001" s="148"/>
      <c r="BM1001" s="146"/>
      <c r="BP1001" s="148"/>
      <c r="BQ1001" s="146"/>
      <c r="BV1001" s="148"/>
      <c r="BW1001" s="146"/>
      <c r="CC1001" s="146"/>
      <c r="CH1001" s="148"/>
      <c r="CI1001" s="146"/>
    </row>
    <row r="1002">
      <c r="C1002" s="146"/>
      <c r="I1002" s="163"/>
      <c r="J1002" s="163"/>
      <c r="K1002" s="163"/>
      <c r="Q1002" s="148"/>
      <c r="AF1002" s="148"/>
      <c r="AG1002" s="146"/>
      <c r="AK1002" s="148"/>
      <c r="AL1002" s="146"/>
      <c r="AO1002" s="163"/>
      <c r="AP1002" s="163"/>
      <c r="AS1002" s="148"/>
      <c r="AT1002" s="146"/>
      <c r="BE1002" s="148"/>
      <c r="BF1002" s="146"/>
      <c r="BL1002" s="148"/>
      <c r="BM1002" s="146"/>
      <c r="BP1002" s="148"/>
      <c r="BQ1002" s="146"/>
      <c r="BV1002" s="148"/>
      <c r="BW1002" s="146"/>
      <c r="CC1002" s="146"/>
      <c r="CH1002" s="148"/>
      <c r="CI1002" s="146"/>
    </row>
    <row r="1003">
      <c r="C1003" s="146"/>
      <c r="I1003" s="163"/>
      <c r="J1003" s="163"/>
      <c r="K1003" s="163"/>
      <c r="Q1003" s="148"/>
      <c r="AF1003" s="148"/>
      <c r="AG1003" s="146"/>
      <c r="AK1003" s="148"/>
      <c r="AL1003" s="146"/>
      <c r="AO1003" s="163"/>
      <c r="AP1003" s="163"/>
      <c r="AS1003" s="148"/>
      <c r="AT1003" s="146"/>
      <c r="BE1003" s="148"/>
      <c r="BF1003" s="146"/>
      <c r="BL1003" s="148"/>
      <c r="BM1003" s="146"/>
      <c r="BP1003" s="148"/>
      <c r="BQ1003" s="146"/>
      <c r="BV1003" s="148"/>
      <c r="BW1003" s="146"/>
      <c r="CC1003" s="146"/>
      <c r="CH1003" s="148"/>
      <c r="CI1003" s="146"/>
    </row>
    <row r="1004">
      <c r="C1004" s="146"/>
      <c r="I1004" s="163"/>
      <c r="J1004" s="163"/>
      <c r="K1004" s="163"/>
      <c r="Q1004" s="148"/>
      <c r="AF1004" s="148"/>
      <c r="AG1004" s="146"/>
      <c r="AK1004" s="148"/>
      <c r="AL1004" s="146"/>
      <c r="AO1004" s="163"/>
      <c r="AP1004" s="163"/>
      <c r="AS1004" s="148"/>
      <c r="AT1004" s="146"/>
      <c r="BE1004" s="148"/>
      <c r="BF1004" s="146"/>
      <c r="BL1004" s="148"/>
      <c r="BM1004" s="146"/>
      <c r="BP1004" s="148"/>
      <c r="BQ1004" s="146"/>
      <c r="BV1004" s="148"/>
      <c r="BW1004" s="146"/>
      <c r="CC1004" s="146"/>
      <c r="CH1004" s="148"/>
      <c r="CI1004" s="146"/>
    </row>
  </sheetData>
  <mergeCells count="10">
    <mergeCell ref="BQ2:BV2"/>
    <mergeCell ref="BW2:CB2"/>
    <mergeCell ref="CC2:CH2"/>
    <mergeCell ref="C2:Q2"/>
    <mergeCell ref="R2:AF2"/>
    <mergeCell ref="AG2:AK2"/>
    <mergeCell ref="AL2:AQ2"/>
    <mergeCell ref="AT2:BE2"/>
    <mergeCell ref="BF2:BK2"/>
    <mergeCell ref="BM2:BP2"/>
  </mergeCells>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hidden="1" min="4" max="8" width="12.63"/>
    <col hidden="1" min="18" max="21" width="12.63"/>
  </cols>
  <sheetData>
    <row r="1">
      <c r="A1" s="164" t="s">
        <v>1179</v>
      </c>
      <c r="B1" s="164" t="s">
        <v>7</v>
      </c>
      <c r="C1" s="162" t="s">
        <v>468</v>
      </c>
      <c r="D1" s="154" t="s">
        <v>469</v>
      </c>
      <c r="E1" s="154" t="s">
        <v>480</v>
      </c>
      <c r="F1" s="154" t="s">
        <v>470</v>
      </c>
      <c r="G1" s="154" t="s">
        <v>481</v>
      </c>
      <c r="H1" s="162" t="s">
        <v>487</v>
      </c>
      <c r="I1" s="154" t="s">
        <v>536</v>
      </c>
      <c r="J1" s="154" t="s">
        <v>479</v>
      </c>
      <c r="K1" s="2" t="s">
        <v>428</v>
      </c>
      <c r="L1" s="2" t="s">
        <v>632</v>
      </c>
      <c r="M1" s="2" t="s">
        <v>630</v>
      </c>
      <c r="N1" s="2" t="s">
        <v>631</v>
      </c>
      <c r="O1" s="2" t="s">
        <v>629</v>
      </c>
      <c r="P1" s="2" t="s">
        <v>723</v>
      </c>
      <c r="Q1" s="2" t="s">
        <v>532</v>
      </c>
      <c r="R1" s="2" t="s">
        <v>1180</v>
      </c>
      <c r="S1" s="2" t="s">
        <v>1181</v>
      </c>
      <c r="T1" s="2" t="s">
        <v>1182</v>
      </c>
      <c r="U1" s="2" t="s">
        <v>1183</v>
      </c>
      <c r="V1" s="2" t="s">
        <v>722</v>
      </c>
      <c r="W1" s="2" t="s">
        <v>644</v>
      </c>
      <c r="X1" s="2" t="s">
        <v>731</v>
      </c>
      <c r="Y1" s="2" t="s">
        <v>735</v>
      </c>
      <c r="Z1" s="2" t="s">
        <v>736</v>
      </c>
    </row>
    <row r="2">
      <c r="A2" s="164" t="s">
        <v>1184</v>
      </c>
      <c r="B2" s="162"/>
      <c r="C2" s="394" t="s">
        <v>1185</v>
      </c>
      <c r="D2" s="164" t="s">
        <v>1186</v>
      </c>
      <c r="E2" s="164" t="s">
        <v>1186</v>
      </c>
      <c r="F2" s="164" t="s">
        <v>1186</v>
      </c>
      <c r="G2" s="164" t="s">
        <v>1186</v>
      </c>
      <c r="H2" s="164" t="s">
        <v>1187</v>
      </c>
      <c r="I2" s="394" t="s">
        <v>1188</v>
      </c>
      <c r="J2" s="395" t="s">
        <v>1189</v>
      </c>
      <c r="K2" s="2" t="s">
        <v>1186</v>
      </c>
      <c r="L2" s="2" t="s">
        <v>1190</v>
      </c>
      <c r="M2" s="2" t="s">
        <v>1190</v>
      </c>
      <c r="O2" s="2" t="s">
        <v>1191</v>
      </c>
      <c r="P2" s="2" t="s">
        <v>1192</v>
      </c>
      <c r="Q2" s="2" t="s">
        <v>1193</v>
      </c>
    </row>
    <row r="3">
      <c r="A3" s="164" t="s">
        <v>1194</v>
      </c>
      <c r="B3" s="2"/>
      <c r="C3" s="2">
        <v>150.0</v>
      </c>
      <c r="D3" s="225">
        <f>120*10^3</f>
        <v>120000</v>
      </c>
      <c r="E3" s="225">
        <v>3000.0</v>
      </c>
      <c r="F3" s="225">
        <v>15.0</v>
      </c>
      <c r="G3" s="225">
        <v>200.0</v>
      </c>
      <c r="H3" s="225">
        <v>0.15</v>
      </c>
      <c r="I3" s="2">
        <v>300.0</v>
      </c>
      <c r="K3" s="225">
        <v>2.0</v>
      </c>
      <c r="L3" s="2">
        <v>35.0</v>
      </c>
      <c r="M3" s="2">
        <v>4960.0</v>
      </c>
      <c r="N3" s="225">
        <v>0.12</v>
      </c>
      <c r="O3" s="218">
        <v>1.0</v>
      </c>
      <c r="P3" s="225">
        <v>0.4</v>
      </c>
      <c r="Q3" s="225">
        <v>0.5</v>
      </c>
      <c r="V3" s="225">
        <v>200.0</v>
      </c>
    </row>
    <row r="4">
      <c r="A4" s="164" t="s">
        <v>1195</v>
      </c>
      <c r="B4" s="164"/>
      <c r="C4" s="164" t="s">
        <v>1196</v>
      </c>
      <c r="D4" s="2" t="s">
        <v>1196</v>
      </c>
      <c r="E4" s="2" t="s">
        <v>1196</v>
      </c>
      <c r="F4" s="164" t="s">
        <v>906</v>
      </c>
      <c r="G4" s="2" t="s">
        <v>1196</v>
      </c>
      <c r="H4" s="164" t="s">
        <v>906</v>
      </c>
      <c r="I4" s="2" t="s">
        <v>1196</v>
      </c>
      <c r="J4" s="164" t="s">
        <v>911</v>
      </c>
      <c r="K4" s="2" t="s">
        <v>195</v>
      </c>
      <c r="L4" s="2" t="s">
        <v>1196</v>
      </c>
      <c r="M4" s="2" t="s">
        <v>1196</v>
      </c>
      <c r="N4" s="2" t="s">
        <v>195</v>
      </c>
      <c r="O4" s="2" t="s">
        <v>195</v>
      </c>
      <c r="P4" s="2" t="s">
        <v>195</v>
      </c>
      <c r="Q4" s="2" t="s">
        <v>195</v>
      </c>
      <c r="V4" s="2" t="s">
        <v>1197</v>
      </c>
    </row>
    <row r="5">
      <c r="A5" s="164" t="s">
        <v>1198</v>
      </c>
      <c r="B5" s="286"/>
      <c r="C5" s="286">
        <f t="shared" ref="C5:E5" si="1">C3/10^3</f>
        <v>0.15</v>
      </c>
      <c r="D5" s="142">
        <f t="shared" si="1"/>
        <v>120</v>
      </c>
      <c r="E5" s="142">
        <f t="shared" si="1"/>
        <v>3</v>
      </c>
      <c r="F5" s="142">
        <f>F3</f>
        <v>15</v>
      </c>
      <c r="G5" s="142">
        <f>G3/10^3</f>
        <v>0.2</v>
      </c>
      <c r="H5" s="142">
        <f>H3</f>
        <v>0.15</v>
      </c>
      <c r="I5" s="142">
        <f>I3/10^3</f>
        <v>0.3</v>
      </c>
      <c r="J5" s="142">
        <f>W5</f>
        <v>0.5</v>
      </c>
      <c r="K5" s="142">
        <f>K3</f>
        <v>2</v>
      </c>
      <c r="L5" s="142">
        <f t="shared" ref="L5:M5" si="2">L3/10^3</f>
        <v>0.035</v>
      </c>
      <c r="M5" s="142">
        <f t="shared" si="2"/>
        <v>4.96</v>
      </c>
      <c r="N5" s="142">
        <f t="shared" ref="N5:Q5" si="3">N3</f>
        <v>0.12</v>
      </c>
      <c r="O5" s="142">
        <f t="shared" si="3"/>
        <v>1</v>
      </c>
      <c r="P5" s="142">
        <f t="shared" si="3"/>
        <v>0.4</v>
      </c>
      <c r="Q5" s="142">
        <f t="shared" si="3"/>
        <v>0.5</v>
      </c>
      <c r="V5" s="142">
        <f>V3/10^3</f>
        <v>0.2</v>
      </c>
      <c r="W5" s="2">
        <v>0.5</v>
      </c>
      <c r="X5" s="2">
        <v>0.0</v>
      </c>
      <c r="Y5" s="2">
        <v>0.0</v>
      </c>
      <c r="Z5" s="2">
        <v>0.5</v>
      </c>
    </row>
    <row r="6">
      <c r="A6" s="164" t="s">
        <v>1107</v>
      </c>
      <c r="B6" s="164"/>
      <c r="C6" s="164" t="s">
        <v>195</v>
      </c>
      <c r="D6" s="164" t="s">
        <v>195</v>
      </c>
      <c r="E6" s="164" t="s">
        <v>195</v>
      </c>
      <c r="F6" s="164" t="s">
        <v>906</v>
      </c>
      <c r="G6" s="164" t="s">
        <v>195</v>
      </c>
      <c r="H6" s="164" t="s">
        <v>906</v>
      </c>
      <c r="I6" s="164" t="s">
        <v>195</v>
      </c>
      <c r="J6" s="164" t="s">
        <v>911</v>
      </c>
      <c r="K6" s="2" t="s">
        <v>195</v>
      </c>
      <c r="L6" s="164" t="s">
        <v>195</v>
      </c>
      <c r="M6" s="164" t="s">
        <v>195</v>
      </c>
      <c r="N6" s="2" t="s">
        <v>195</v>
      </c>
      <c r="O6" s="2" t="s">
        <v>195</v>
      </c>
      <c r="P6" s="2" t="s">
        <v>195</v>
      </c>
      <c r="Q6" s="2" t="s">
        <v>195</v>
      </c>
      <c r="V6" s="164" t="s">
        <v>195</v>
      </c>
      <c r="W6" s="164" t="s">
        <v>911</v>
      </c>
      <c r="Z6" s="2" t="s">
        <v>195</v>
      </c>
    </row>
    <row r="7">
      <c r="A7" s="2" t="s">
        <v>1199</v>
      </c>
      <c r="B7" s="2"/>
      <c r="C7" s="2">
        <v>124.0</v>
      </c>
      <c r="D7" s="134"/>
      <c r="E7" s="134"/>
      <c r="G7" s="134"/>
      <c r="I7" s="2">
        <v>270.0</v>
      </c>
      <c r="L7" s="2">
        <v>35.0</v>
      </c>
      <c r="M7" s="2">
        <v>4960.0</v>
      </c>
      <c r="R7" s="2">
        <v>48.0</v>
      </c>
      <c r="S7" s="2">
        <v>100.0</v>
      </c>
      <c r="T7" s="2">
        <v>1154.0</v>
      </c>
      <c r="U7" s="2">
        <v>0.5</v>
      </c>
    </row>
    <row r="8">
      <c r="A8" s="2" t="s">
        <v>1200</v>
      </c>
      <c r="B8" s="2"/>
      <c r="C8" s="2" t="s">
        <v>1196</v>
      </c>
      <c r="G8" s="134"/>
      <c r="I8" s="2" t="s">
        <v>1196</v>
      </c>
      <c r="L8" s="2" t="s">
        <v>1196</v>
      </c>
      <c r="M8" s="2" t="s">
        <v>1196</v>
      </c>
      <c r="R8" s="2" t="s">
        <v>1196</v>
      </c>
      <c r="S8" s="2" t="s">
        <v>1196</v>
      </c>
      <c r="T8" s="2" t="s">
        <v>1196</v>
      </c>
      <c r="U8" s="164" t="s">
        <v>911</v>
      </c>
    </row>
    <row r="9">
      <c r="A9" s="2" t="s">
        <v>1201</v>
      </c>
      <c r="B9" s="2" t="s">
        <v>1202</v>
      </c>
      <c r="C9" s="2">
        <v>0.83</v>
      </c>
      <c r="F9" s="134"/>
      <c r="I9" s="2">
        <v>0.53</v>
      </c>
      <c r="J9" s="2">
        <v>0.0</v>
      </c>
      <c r="K9" s="225">
        <v>2.5</v>
      </c>
      <c r="L9" s="2">
        <v>0.006</v>
      </c>
      <c r="M9" s="214">
        <v>4.0</v>
      </c>
      <c r="N9" s="2">
        <v>0.14</v>
      </c>
      <c r="P9" s="225">
        <v>1.5</v>
      </c>
      <c r="Q9" s="214">
        <v>0.4</v>
      </c>
      <c r="S9" s="214">
        <v>0.04</v>
      </c>
      <c r="T9" s="2">
        <v>0.66</v>
      </c>
      <c r="U9" s="2">
        <v>0.0</v>
      </c>
      <c r="V9" s="214">
        <v>0.25</v>
      </c>
      <c r="W9" s="2">
        <v>0.0</v>
      </c>
    </row>
    <row r="10">
      <c r="A10" s="2" t="s">
        <v>1203</v>
      </c>
      <c r="B10" s="134"/>
      <c r="C10" s="2" t="s">
        <v>1204</v>
      </c>
      <c r="D10" s="2" t="s">
        <v>1204</v>
      </c>
      <c r="E10" s="2" t="s">
        <v>1204</v>
      </c>
      <c r="F10" s="2" t="s">
        <v>1205</v>
      </c>
      <c r="G10" s="2" t="s">
        <v>1204</v>
      </c>
      <c r="H10" s="2" t="s">
        <v>1206</v>
      </c>
      <c r="I10" s="2" t="s">
        <v>1204</v>
      </c>
      <c r="J10" s="2" t="s">
        <v>1205</v>
      </c>
      <c r="K10" s="2" t="s">
        <v>1204</v>
      </c>
      <c r="L10" s="2" t="s">
        <v>1204</v>
      </c>
      <c r="M10" s="2" t="s">
        <v>1204</v>
      </c>
      <c r="N10" s="2" t="s">
        <v>1204</v>
      </c>
      <c r="O10" s="2" t="s">
        <v>1204</v>
      </c>
      <c r="P10" s="2" t="s">
        <v>1204</v>
      </c>
      <c r="Q10" s="2" t="s">
        <v>1204</v>
      </c>
      <c r="R10" s="2" t="s">
        <v>1205</v>
      </c>
      <c r="S10" s="2" t="s">
        <v>1205</v>
      </c>
      <c r="T10" s="2" t="s">
        <v>1205</v>
      </c>
      <c r="U10" s="2" t="s">
        <v>1205</v>
      </c>
      <c r="V10" s="2" t="s">
        <v>1204</v>
      </c>
      <c r="W10" s="2" t="s">
        <v>1205</v>
      </c>
    </row>
    <row r="11">
      <c r="A11" s="2" t="s">
        <v>1207</v>
      </c>
      <c r="B11" s="134"/>
      <c r="D11" s="134"/>
      <c r="F11" s="134"/>
    </row>
    <row r="12">
      <c r="A12" s="142"/>
      <c r="C12" s="134"/>
    </row>
    <row r="15">
      <c r="C15" s="134"/>
    </row>
    <row r="16">
      <c r="C16" s="134"/>
    </row>
    <row r="17">
      <c r="C17" s="134"/>
    </row>
    <row r="18">
      <c r="C18" s="134"/>
    </row>
    <row r="22">
      <c r="H22" s="134"/>
    </row>
    <row r="28">
      <c r="E28" s="134"/>
    </row>
  </sheetData>
  <hyperlinks>
    <hyperlink r:id="rId2" ref="C2"/>
    <hyperlink r:id="rId3" ref="I2"/>
    <hyperlink r:id="rId4" ref="J2"/>
  </hyperlinks>
  <drawing r:id="rId5"/>
  <legacyDrawing r:id="rId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sheetData>
    <row r="1">
      <c r="A1" s="249" t="s">
        <v>1208</v>
      </c>
      <c r="B1" s="396" t="s">
        <v>1209</v>
      </c>
      <c r="C1" s="396" t="s">
        <v>1210</v>
      </c>
      <c r="D1" s="249" t="s">
        <v>1211</v>
      </c>
      <c r="E1" s="397" t="s">
        <v>1212</v>
      </c>
      <c r="F1" s="397" t="s">
        <v>1213</v>
      </c>
      <c r="G1" s="397" t="s">
        <v>56</v>
      </c>
      <c r="H1" s="397" t="s">
        <v>1214</v>
      </c>
      <c r="I1" s="397" t="s">
        <v>1215</v>
      </c>
      <c r="J1" s="397" t="s">
        <v>1216</v>
      </c>
      <c r="K1" s="397" t="s">
        <v>1217</v>
      </c>
      <c r="L1" s="249" t="s">
        <v>1218</v>
      </c>
      <c r="M1" s="249" t="s">
        <v>1219</v>
      </c>
      <c r="N1" s="397" t="s">
        <v>1220</v>
      </c>
    </row>
    <row r="2">
      <c r="A2" s="5" t="s">
        <v>1221</v>
      </c>
      <c r="B2" s="5"/>
      <c r="C2" s="5"/>
      <c r="D2" s="5" t="s">
        <v>16</v>
      </c>
      <c r="E2" s="23" t="s">
        <v>1222</v>
      </c>
      <c r="F2" s="23" t="s">
        <v>1223</v>
      </c>
      <c r="G2" s="23" t="s">
        <v>1224</v>
      </c>
      <c r="H2" s="23" t="s">
        <v>1225</v>
      </c>
      <c r="I2" s="23"/>
      <c r="J2" s="23"/>
      <c r="K2" s="23"/>
      <c r="L2" s="5" t="s">
        <v>1226</v>
      </c>
      <c r="M2" s="5" t="s">
        <v>1227</v>
      </c>
      <c r="N2" s="23" t="s">
        <v>1228</v>
      </c>
      <c r="O2" s="20"/>
      <c r="P2" s="20"/>
      <c r="Q2" s="20"/>
      <c r="R2" s="20"/>
      <c r="S2" s="20"/>
      <c r="T2" s="20"/>
      <c r="U2" s="20"/>
      <c r="V2" s="20"/>
      <c r="W2" s="20"/>
      <c r="X2" s="20"/>
      <c r="Y2" s="20"/>
      <c r="Z2" s="20"/>
      <c r="AA2" s="20"/>
      <c r="AB2" s="20"/>
      <c r="AC2" s="20"/>
    </row>
    <row r="3">
      <c r="A3" s="2" t="s">
        <v>1229</v>
      </c>
      <c r="B3" s="5" t="s">
        <v>1230</v>
      </c>
      <c r="C3" s="5"/>
      <c r="D3" s="2" t="s">
        <v>1231</v>
      </c>
      <c r="E3" s="224" t="s">
        <v>1231</v>
      </c>
      <c r="F3" s="224" t="s">
        <v>1231</v>
      </c>
      <c r="G3" s="224" t="s">
        <v>1231</v>
      </c>
      <c r="H3" s="224" t="s">
        <v>1232</v>
      </c>
      <c r="I3" s="224" t="s">
        <v>1232</v>
      </c>
      <c r="J3" s="224" t="s">
        <v>1232</v>
      </c>
      <c r="K3" s="224" t="s">
        <v>1232</v>
      </c>
      <c r="L3" s="2" t="s">
        <v>1232</v>
      </c>
      <c r="M3" s="2" t="s">
        <v>1232</v>
      </c>
      <c r="N3" s="224" t="s">
        <v>1232</v>
      </c>
    </row>
    <row r="4">
      <c r="B4" s="5" t="s">
        <v>1233</v>
      </c>
      <c r="C4" s="5"/>
      <c r="D4" s="2" t="s">
        <v>1231</v>
      </c>
      <c r="E4" s="224" t="s">
        <v>1231</v>
      </c>
      <c r="F4" s="224" t="s">
        <v>1231</v>
      </c>
      <c r="G4" s="224" t="s">
        <v>1234</v>
      </c>
      <c r="H4" s="224" t="s">
        <v>1232</v>
      </c>
      <c r="I4" s="224" t="s">
        <v>1232</v>
      </c>
      <c r="J4" s="224" t="s">
        <v>1232</v>
      </c>
      <c r="K4" s="224" t="s">
        <v>1232</v>
      </c>
      <c r="L4" s="2" t="s">
        <v>1232</v>
      </c>
      <c r="M4" s="2" t="s">
        <v>1232</v>
      </c>
      <c r="N4" s="224" t="s">
        <v>1232</v>
      </c>
    </row>
    <row r="5">
      <c r="B5" s="5" t="s">
        <v>1235</v>
      </c>
      <c r="C5" s="5"/>
      <c r="D5" s="2" t="s">
        <v>1232</v>
      </c>
      <c r="E5" s="224" t="s">
        <v>1232</v>
      </c>
      <c r="F5" s="224" t="s">
        <v>1232</v>
      </c>
      <c r="G5" s="224" t="s">
        <v>1232</v>
      </c>
      <c r="H5" s="224" t="s">
        <v>1231</v>
      </c>
      <c r="I5" s="224" t="s">
        <v>1231</v>
      </c>
      <c r="J5" s="224" t="s">
        <v>1231</v>
      </c>
      <c r="K5" s="224" t="s">
        <v>1231</v>
      </c>
      <c r="L5" s="2" t="s">
        <v>1231</v>
      </c>
      <c r="M5" s="2" t="s">
        <v>1234</v>
      </c>
      <c r="N5" s="224" t="s">
        <v>1234</v>
      </c>
    </row>
    <row r="6">
      <c r="B6" s="5" t="s">
        <v>1236</v>
      </c>
      <c r="C6" s="5"/>
      <c r="D6" s="2" t="s">
        <v>1232</v>
      </c>
      <c r="E6" s="224" t="s">
        <v>1232</v>
      </c>
      <c r="F6" s="224" t="s">
        <v>1232</v>
      </c>
      <c r="G6" s="224" t="s">
        <v>1232</v>
      </c>
      <c r="H6" s="224" t="s">
        <v>1231</v>
      </c>
      <c r="I6" s="224" t="s">
        <v>1231</v>
      </c>
      <c r="J6" s="224" t="s">
        <v>1231</v>
      </c>
      <c r="K6" s="224" t="s">
        <v>1231</v>
      </c>
      <c r="L6" s="2" t="s">
        <v>1231</v>
      </c>
      <c r="M6" s="2" t="s">
        <v>1231</v>
      </c>
      <c r="N6" s="224" t="s">
        <v>1231</v>
      </c>
    </row>
    <row r="7">
      <c r="A7" s="2" t="s">
        <v>1237</v>
      </c>
      <c r="B7" s="5" t="s">
        <v>1238</v>
      </c>
      <c r="C7" s="5" t="s">
        <v>1239</v>
      </c>
      <c r="D7" s="2" t="s">
        <v>1232</v>
      </c>
      <c r="E7" s="224" t="s">
        <v>1232</v>
      </c>
      <c r="F7" s="224" t="s">
        <v>1232</v>
      </c>
      <c r="G7" s="224" t="s">
        <v>1232</v>
      </c>
      <c r="H7" s="224" t="s">
        <v>1231</v>
      </c>
      <c r="I7" s="224" t="s">
        <v>1231</v>
      </c>
      <c r="J7" s="224" t="s">
        <v>1231</v>
      </c>
      <c r="K7" s="224" t="s">
        <v>1231</v>
      </c>
      <c r="L7" s="2" t="s">
        <v>1231</v>
      </c>
      <c r="M7" s="2" t="s">
        <v>1234</v>
      </c>
      <c r="N7" s="224" t="s">
        <v>1232</v>
      </c>
    </row>
    <row r="8">
      <c r="B8" s="5" t="s">
        <v>1240</v>
      </c>
      <c r="C8" s="5" t="s">
        <v>1239</v>
      </c>
      <c r="D8" s="2" t="s">
        <v>1232</v>
      </c>
      <c r="E8" s="224" t="s">
        <v>1232</v>
      </c>
      <c r="F8" s="224" t="s">
        <v>1232</v>
      </c>
      <c r="G8" s="224" t="s">
        <v>1232</v>
      </c>
      <c r="H8" s="224" t="s">
        <v>1232</v>
      </c>
      <c r="I8" s="224" t="s">
        <v>1232</v>
      </c>
      <c r="J8" s="224" t="s">
        <v>1232</v>
      </c>
      <c r="K8" s="224" t="s">
        <v>1232</v>
      </c>
      <c r="L8" s="2" t="s">
        <v>1232</v>
      </c>
      <c r="M8" s="2" t="s">
        <v>1231</v>
      </c>
      <c r="N8" s="224" t="s">
        <v>1231</v>
      </c>
    </row>
    <row r="9">
      <c r="B9" s="5" t="s">
        <v>1241</v>
      </c>
      <c r="C9" s="5" t="s">
        <v>1239</v>
      </c>
      <c r="D9" s="2" t="s">
        <v>1232</v>
      </c>
      <c r="E9" s="224" t="s">
        <v>1232</v>
      </c>
      <c r="F9" s="224" t="s">
        <v>1232</v>
      </c>
      <c r="G9" s="224" t="s">
        <v>1232</v>
      </c>
      <c r="H9" s="224" t="s">
        <v>1231</v>
      </c>
      <c r="I9" s="224" t="s">
        <v>1231</v>
      </c>
      <c r="J9" s="224" t="s">
        <v>1231</v>
      </c>
      <c r="K9" s="224" t="s">
        <v>1231</v>
      </c>
      <c r="L9" s="2" t="s">
        <v>1231</v>
      </c>
      <c r="M9" s="2" t="s">
        <v>1231</v>
      </c>
      <c r="N9" s="224" t="s">
        <v>1232</v>
      </c>
    </row>
    <row r="10">
      <c r="B10" s="5" t="s">
        <v>1242</v>
      </c>
      <c r="C10" s="5" t="s">
        <v>1239</v>
      </c>
      <c r="D10" s="2" t="s">
        <v>1232</v>
      </c>
      <c r="E10" s="224" t="s">
        <v>1232</v>
      </c>
      <c r="F10" s="224" t="s">
        <v>1232</v>
      </c>
      <c r="G10" s="224" t="s">
        <v>1232</v>
      </c>
      <c r="H10" s="224" t="s">
        <v>1234</v>
      </c>
      <c r="I10" s="224" t="s">
        <v>1234</v>
      </c>
      <c r="J10" s="224" t="s">
        <v>1234</v>
      </c>
      <c r="K10" s="224" t="s">
        <v>1234</v>
      </c>
      <c r="L10" s="2" t="s">
        <v>1232</v>
      </c>
      <c r="M10" s="2" t="s">
        <v>1234</v>
      </c>
      <c r="N10" s="224" t="s">
        <v>1232</v>
      </c>
    </row>
    <row r="11">
      <c r="B11" s="5" t="s">
        <v>1243</v>
      </c>
      <c r="C11" s="5" t="s">
        <v>1239</v>
      </c>
      <c r="D11" s="2" t="s">
        <v>1232</v>
      </c>
      <c r="E11" s="224" t="s">
        <v>1232</v>
      </c>
      <c r="F11" s="224" t="s">
        <v>1232</v>
      </c>
      <c r="G11" s="224" t="s">
        <v>1232</v>
      </c>
      <c r="H11" s="224" t="s">
        <v>1232</v>
      </c>
      <c r="I11" s="224" t="s">
        <v>1232</v>
      </c>
      <c r="J11" s="224" t="s">
        <v>1232</v>
      </c>
      <c r="K11" s="224" t="s">
        <v>1232</v>
      </c>
      <c r="L11" s="2" t="s">
        <v>1231</v>
      </c>
      <c r="M11" s="2" t="s">
        <v>1232</v>
      </c>
      <c r="N11" s="224" t="s">
        <v>1232</v>
      </c>
    </row>
    <row r="12">
      <c r="B12" s="5" t="s">
        <v>1244</v>
      </c>
      <c r="C12" s="5"/>
      <c r="D12" s="2" t="s">
        <v>1232</v>
      </c>
      <c r="E12" s="224" t="s">
        <v>1232</v>
      </c>
      <c r="F12" s="224" t="s">
        <v>1232</v>
      </c>
      <c r="G12" s="224" t="s">
        <v>1232</v>
      </c>
      <c r="H12" s="224" t="s">
        <v>1231</v>
      </c>
      <c r="I12" s="224" t="s">
        <v>1231</v>
      </c>
      <c r="J12" s="224" t="s">
        <v>1231</v>
      </c>
      <c r="K12" s="224" t="s">
        <v>1232</v>
      </c>
      <c r="L12" s="2" t="s">
        <v>1232</v>
      </c>
      <c r="M12" s="2" t="s">
        <v>1232</v>
      </c>
      <c r="N12" s="224" t="s">
        <v>1232</v>
      </c>
    </row>
    <row r="13">
      <c r="A13" s="2"/>
      <c r="B13" s="5" t="s">
        <v>1245</v>
      </c>
      <c r="C13" s="5"/>
      <c r="D13" s="2" t="s">
        <v>1232</v>
      </c>
      <c r="E13" s="224" t="s">
        <v>1232</v>
      </c>
      <c r="F13" s="224" t="s">
        <v>1232</v>
      </c>
      <c r="G13" s="224" t="s">
        <v>1232</v>
      </c>
      <c r="H13" s="224" t="s">
        <v>1232</v>
      </c>
      <c r="I13" s="224" t="s">
        <v>1231</v>
      </c>
      <c r="J13" s="224" t="s">
        <v>1232</v>
      </c>
      <c r="K13" s="224" t="s">
        <v>1231</v>
      </c>
      <c r="L13" s="2" t="s">
        <v>1232</v>
      </c>
      <c r="M13" s="2" t="s">
        <v>1232</v>
      </c>
      <c r="N13" s="224" t="s">
        <v>1232</v>
      </c>
    </row>
    <row r="14">
      <c r="A14" s="2"/>
      <c r="B14" s="5" t="s">
        <v>1246</v>
      </c>
      <c r="C14" s="5"/>
      <c r="D14" s="2" t="s">
        <v>1232</v>
      </c>
      <c r="E14" s="224" t="s">
        <v>1232</v>
      </c>
      <c r="F14" s="224" t="s">
        <v>1232</v>
      </c>
      <c r="G14" s="224" t="s">
        <v>1232</v>
      </c>
      <c r="H14" s="224" t="s">
        <v>1232</v>
      </c>
      <c r="I14" s="224" t="s">
        <v>1232</v>
      </c>
      <c r="J14" s="224" t="s">
        <v>1231</v>
      </c>
      <c r="K14" s="224" t="s">
        <v>1231</v>
      </c>
      <c r="L14" s="2" t="s">
        <v>1232</v>
      </c>
      <c r="M14" s="2" t="s">
        <v>1232</v>
      </c>
      <c r="N14" s="224" t="s">
        <v>1232</v>
      </c>
    </row>
    <row r="15">
      <c r="A15" s="2" t="s">
        <v>1247</v>
      </c>
      <c r="B15" s="5" t="s">
        <v>996</v>
      </c>
      <c r="C15" s="5" t="s">
        <v>1248</v>
      </c>
      <c r="D15" s="2" t="s">
        <v>1232</v>
      </c>
      <c r="E15" s="224" t="s">
        <v>1232</v>
      </c>
      <c r="F15" s="224" t="s">
        <v>1232</v>
      </c>
      <c r="G15" s="224" t="s">
        <v>1232</v>
      </c>
      <c r="H15" s="224" t="s">
        <v>1231</v>
      </c>
      <c r="I15" s="224" t="s">
        <v>1231</v>
      </c>
      <c r="J15" s="224" t="s">
        <v>1231</v>
      </c>
      <c r="K15" s="224" t="s">
        <v>1231</v>
      </c>
      <c r="L15" s="2" t="s">
        <v>1232</v>
      </c>
      <c r="M15" s="2" t="s">
        <v>1232</v>
      </c>
      <c r="N15" s="224" t="s">
        <v>1232</v>
      </c>
    </row>
    <row r="16">
      <c r="B16" s="5" t="s">
        <v>993</v>
      </c>
      <c r="C16" s="5" t="s">
        <v>1248</v>
      </c>
      <c r="D16" s="2" t="s">
        <v>1232</v>
      </c>
      <c r="E16" s="224" t="s">
        <v>1232</v>
      </c>
      <c r="F16" s="224" t="s">
        <v>1232</v>
      </c>
      <c r="G16" s="224" t="s">
        <v>1232</v>
      </c>
      <c r="H16" s="224" t="s">
        <v>1231</v>
      </c>
      <c r="I16" s="224" t="s">
        <v>1231</v>
      </c>
      <c r="J16" s="224" t="s">
        <v>1231</v>
      </c>
      <c r="K16" s="224" t="s">
        <v>1231</v>
      </c>
      <c r="L16" s="2" t="s">
        <v>1232</v>
      </c>
      <c r="M16" s="2" t="s">
        <v>1232</v>
      </c>
      <c r="N16" s="224" t="s">
        <v>1232</v>
      </c>
    </row>
    <row r="17">
      <c r="B17" s="5" t="s">
        <v>1249</v>
      </c>
      <c r="C17" s="5" t="s">
        <v>1248</v>
      </c>
      <c r="D17" s="2" t="s">
        <v>1232</v>
      </c>
      <c r="E17" s="224" t="s">
        <v>1232</v>
      </c>
      <c r="F17" s="224" t="s">
        <v>1232</v>
      </c>
      <c r="G17" s="224" t="s">
        <v>1232</v>
      </c>
      <c r="H17" s="224" t="s">
        <v>1232</v>
      </c>
      <c r="I17" s="224" t="s">
        <v>1232</v>
      </c>
      <c r="J17" s="224" t="s">
        <v>1232</v>
      </c>
      <c r="K17" s="224" t="s">
        <v>1232</v>
      </c>
      <c r="L17" s="2" t="s">
        <v>1231</v>
      </c>
      <c r="M17" s="2" t="s">
        <v>1232</v>
      </c>
      <c r="N17" s="224" t="s">
        <v>1232</v>
      </c>
    </row>
    <row r="18">
      <c r="A18" s="2" t="s">
        <v>1250</v>
      </c>
      <c r="B18" s="5" t="s">
        <v>1251</v>
      </c>
      <c r="C18" s="5"/>
      <c r="D18" s="2" t="s">
        <v>1232</v>
      </c>
      <c r="E18" s="224" t="s">
        <v>1232</v>
      </c>
      <c r="F18" s="224" t="s">
        <v>1232</v>
      </c>
      <c r="G18" s="224" t="s">
        <v>1232</v>
      </c>
      <c r="H18" s="224" t="s">
        <v>1232</v>
      </c>
      <c r="I18" s="224" t="s">
        <v>1232</v>
      </c>
      <c r="J18" s="224" t="s">
        <v>1232</v>
      </c>
      <c r="K18" s="224" t="s">
        <v>1232</v>
      </c>
      <c r="L18" s="2" t="s">
        <v>1232</v>
      </c>
      <c r="M18" s="2" t="s">
        <v>1231</v>
      </c>
      <c r="N18" s="224" t="s">
        <v>1232</v>
      </c>
    </row>
    <row r="19">
      <c r="B19" s="5" t="s">
        <v>1252</v>
      </c>
      <c r="C19" s="5"/>
      <c r="D19" s="2" t="s">
        <v>1232</v>
      </c>
      <c r="E19" s="224" t="s">
        <v>1232</v>
      </c>
      <c r="F19" s="224" t="s">
        <v>1232</v>
      </c>
      <c r="G19" s="224" t="s">
        <v>1232</v>
      </c>
      <c r="H19" s="224" t="s">
        <v>1232</v>
      </c>
      <c r="I19" s="224" t="s">
        <v>1232</v>
      </c>
      <c r="J19" s="224" t="s">
        <v>1232</v>
      </c>
      <c r="K19" s="224" t="s">
        <v>1232</v>
      </c>
      <c r="L19" s="2" t="s">
        <v>1232</v>
      </c>
      <c r="M19" s="2" t="s">
        <v>1232</v>
      </c>
      <c r="N19" s="224" t="s">
        <v>1231</v>
      </c>
    </row>
    <row r="20">
      <c r="B20" s="5" t="s">
        <v>1253</v>
      </c>
      <c r="C20" s="5"/>
      <c r="D20" s="2" t="s">
        <v>1232</v>
      </c>
      <c r="E20" s="224" t="s">
        <v>1232</v>
      </c>
      <c r="F20" s="224" t="s">
        <v>1232</v>
      </c>
      <c r="G20" s="224" t="s">
        <v>1232</v>
      </c>
      <c r="H20" s="224" t="s">
        <v>1231</v>
      </c>
      <c r="I20" s="224" t="s">
        <v>1231</v>
      </c>
      <c r="J20" s="224" t="s">
        <v>1231</v>
      </c>
      <c r="K20" s="224" t="s">
        <v>1231</v>
      </c>
      <c r="L20" s="2" t="s">
        <v>1231</v>
      </c>
      <c r="M20" s="2" t="s">
        <v>1232</v>
      </c>
      <c r="N20" s="224" t="s">
        <v>1232</v>
      </c>
    </row>
    <row r="21">
      <c r="A21" s="2" t="s">
        <v>1254</v>
      </c>
      <c r="B21" s="5" t="s">
        <v>1255</v>
      </c>
      <c r="C21" s="5" t="s">
        <v>1256</v>
      </c>
      <c r="D21" s="2" t="s">
        <v>1231</v>
      </c>
      <c r="E21" s="224" t="s">
        <v>1232</v>
      </c>
      <c r="F21" s="224" t="s">
        <v>1232</v>
      </c>
      <c r="G21" s="224" t="s">
        <v>1234</v>
      </c>
      <c r="H21" s="224" t="s">
        <v>65</v>
      </c>
      <c r="I21" s="224" t="s">
        <v>65</v>
      </c>
      <c r="J21" s="224" t="s">
        <v>65</v>
      </c>
      <c r="K21" s="224" t="s">
        <v>65</v>
      </c>
      <c r="L21" s="2" t="s">
        <v>1231</v>
      </c>
      <c r="M21" s="2" t="s">
        <v>1231</v>
      </c>
      <c r="N21" s="224" t="s">
        <v>1231</v>
      </c>
    </row>
    <row r="22">
      <c r="B22" s="5" t="s">
        <v>755</v>
      </c>
      <c r="C22" s="5" t="s">
        <v>1256</v>
      </c>
      <c r="D22" s="2" t="s">
        <v>1231</v>
      </c>
      <c r="E22" s="224" t="s">
        <v>1232</v>
      </c>
      <c r="F22" s="224" t="s">
        <v>1232</v>
      </c>
      <c r="G22" s="224" t="s">
        <v>1234</v>
      </c>
      <c r="H22" s="224" t="s">
        <v>1231</v>
      </c>
      <c r="I22" s="224" t="s">
        <v>1231</v>
      </c>
      <c r="J22" s="224" t="s">
        <v>1231</v>
      </c>
      <c r="K22" s="224" t="s">
        <v>1231</v>
      </c>
      <c r="L22" s="2" t="s">
        <v>1231</v>
      </c>
      <c r="M22" s="2" t="s">
        <v>1231</v>
      </c>
      <c r="N22" s="224" t="s">
        <v>1231</v>
      </c>
    </row>
    <row r="23">
      <c r="B23" s="5" t="s">
        <v>1257</v>
      </c>
      <c r="C23" s="5" t="s">
        <v>1256</v>
      </c>
      <c r="D23" s="2" t="s">
        <v>1232</v>
      </c>
      <c r="E23" s="224" t="s">
        <v>1232</v>
      </c>
      <c r="F23" s="224" t="s">
        <v>1232</v>
      </c>
      <c r="G23" s="224" t="s">
        <v>1232</v>
      </c>
      <c r="H23" s="224" t="s">
        <v>65</v>
      </c>
      <c r="I23" s="224" t="s">
        <v>65</v>
      </c>
      <c r="J23" s="224" t="s">
        <v>65</v>
      </c>
      <c r="K23" s="224" t="s">
        <v>65</v>
      </c>
      <c r="L23" s="2" t="s">
        <v>1231</v>
      </c>
      <c r="M23" s="2" t="s">
        <v>1231</v>
      </c>
      <c r="N23" s="224" t="s">
        <v>1231</v>
      </c>
    </row>
    <row r="24">
      <c r="B24" s="5" t="s">
        <v>1258</v>
      </c>
      <c r="C24" s="5" t="s">
        <v>1259</v>
      </c>
      <c r="D24" s="2" t="s">
        <v>1232</v>
      </c>
      <c r="E24" s="224" t="s">
        <v>1232</v>
      </c>
      <c r="F24" s="224" t="s">
        <v>1231</v>
      </c>
      <c r="G24" s="224" t="s">
        <v>1234</v>
      </c>
      <c r="H24" s="224" t="s">
        <v>1234</v>
      </c>
      <c r="I24" s="224" t="s">
        <v>1234</v>
      </c>
      <c r="J24" s="224" t="s">
        <v>1234</v>
      </c>
      <c r="K24" s="224" t="s">
        <v>1234</v>
      </c>
      <c r="L24" s="2" t="s">
        <v>1234</v>
      </c>
      <c r="M24" s="2" t="s">
        <v>1231</v>
      </c>
      <c r="N24" s="224" t="s">
        <v>1231</v>
      </c>
    </row>
    <row r="25">
      <c r="A25" s="2" t="s">
        <v>1260</v>
      </c>
      <c r="B25" s="5" t="s">
        <v>1261</v>
      </c>
      <c r="C25" s="5" t="s">
        <v>1256</v>
      </c>
      <c r="D25" s="2" t="s">
        <v>1231</v>
      </c>
      <c r="E25" s="224" t="s">
        <v>1231</v>
      </c>
      <c r="F25" s="224" t="s">
        <v>1231</v>
      </c>
      <c r="G25" s="224" t="s">
        <v>1231</v>
      </c>
      <c r="H25" s="224" t="s">
        <v>1234</v>
      </c>
      <c r="I25" s="224" t="s">
        <v>1234</v>
      </c>
      <c r="J25" s="224" t="s">
        <v>1234</v>
      </c>
      <c r="K25" s="224" t="s">
        <v>1234</v>
      </c>
      <c r="L25" s="2" t="s">
        <v>1231</v>
      </c>
      <c r="M25" s="2" t="s">
        <v>1231</v>
      </c>
      <c r="N25" s="224" t="s">
        <v>1231</v>
      </c>
    </row>
    <row r="26">
      <c r="B26" s="5" t="s">
        <v>1262</v>
      </c>
      <c r="C26" s="5"/>
      <c r="D26" s="2" t="s">
        <v>1232</v>
      </c>
      <c r="E26" s="224" t="s">
        <v>1232</v>
      </c>
      <c r="F26" s="224" t="s">
        <v>1232</v>
      </c>
      <c r="G26" s="224" t="s">
        <v>1232</v>
      </c>
      <c r="H26" s="224" t="s">
        <v>65</v>
      </c>
      <c r="I26" s="224" t="s">
        <v>65</v>
      </c>
      <c r="J26" s="224" t="s">
        <v>65</v>
      </c>
      <c r="K26" s="224" t="s">
        <v>65</v>
      </c>
      <c r="L26" s="2" t="s">
        <v>65</v>
      </c>
      <c r="M26" s="2" t="s">
        <v>1231</v>
      </c>
      <c r="N26" s="224" t="s">
        <v>1231</v>
      </c>
    </row>
    <row r="27">
      <c r="B27" s="5" t="s">
        <v>1263</v>
      </c>
      <c r="C27" s="5" t="s">
        <v>1264</v>
      </c>
      <c r="D27" s="2" t="s">
        <v>1232</v>
      </c>
      <c r="E27" s="224" t="s">
        <v>1232</v>
      </c>
      <c r="F27" s="224" t="s">
        <v>1232</v>
      </c>
      <c r="G27" s="224" t="s">
        <v>1232</v>
      </c>
      <c r="H27" s="224" t="s">
        <v>1231</v>
      </c>
      <c r="I27" s="224" t="s">
        <v>1231</v>
      </c>
      <c r="J27" s="224" t="s">
        <v>1231</v>
      </c>
      <c r="K27" s="224" t="s">
        <v>1231</v>
      </c>
      <c r="L27" s="2" t="s">
        <v>1231</v>
      </c>
      <c r="M27" s="2" t="s">
        <v>1231</v>
      </c>
      <c r="N27" s="224" t="s">
        <v>1231</v>
      </c>
    </row>
    <row r="28">
      <c r="A28" s="2" t="s">
        <v>1265</v>
      </c>
      <c r="B28" s="5" t="s">
        <v>450</v>
      </c>
      <c r="C28" s="5"/>
      <c r="D28" s="2" t="s">
        <v>1232</v>
      </c>
      <c r="E28" s="224" t="s">
        <v>1231</v>
      </c>
      <c r="F28" s="224" t="s">
        <v>1232</v>
      </c>
      <c r="G28" s="224" t="s">
        <v>1234</v>
      </c>
      <c r="H28" s="224" t="s">
        <v>1232</v>
      </c>
      <c r="I28" s="224" t="s">
        <v>1232</v>
      </c>
      <c r="J28" s="224" t="s">
        <v>1232</v>
      </c>
      <c r="K28" s="224" t="s">
        <v>1232</v>
      </c>
      <c r="L28" s="2" t="s">
        <v>1232</v>
      </c>
      <c r="M28" s="2" t="s">
        <v>1232</v>
      </c>
      <c r="N28" s="224" t="s">
        <v>1232</v>
      </c>
    </row>
    <row r="29">
      <c r="B29" s="5" t="s">
        <v>1016</v>
      </c>
      <c r="C29" s="5"/>
      <c r="D29" s="2" t="s">
        <v>1232</v>
      </c>
      <c r="E29" s="224" t="s">
        <v>1232</v>
      </c>
      <c r="F29" s="224" t="s">
        <v>1231</v>
      </c>
      <c r="G29" s="224" t="s">
        <v>1234</v>
      </c>
      <c r="H29" s="224" t="s">
        <v>1232</v>
      </c>
      <c r="I29" s="224" t="s">
        <v>1232</v>
      </c>
      <c r="J29" s="224" t="s">
        <v>1232</v>
      </c>
      <c r="K29" s="224" t="s">
        <v>1232</v>
      </c>
      <c r="L29" s="2" t="s">
        <v>1232</v>
      </c>
      <c r="M29" s="2" t="s">
        <v>1232</v>
      </c>
      <c r="N29" s="224" t="s">
        <v>1231</v>
      </c>
    </row>
    <row r="30">
      <c r="B30" s="5" t="s">
        <v>1017</v>
      </c>
      <c r="C30" s="5"/>
      <c r="D30" s="2" t="s">
        <v>1232</v>
      </c>
      <c r="E30" s="224" t="s">
        <v>1232</v>
      </c>
      <c r="F30" s="224" t="s">
        <v>1232</v>
      </c>
      <c r="G30" s="224" t="s">
        <v>1231</v>
      </c>
      <c r="H30" s="224" t="s">
        <v>1232</v>
      </c>
      <c r="I30" s="224" t="s">
        <v>1232</v>
      </c>
      <c r="J30" s="224" t="s">
        <v>1232</v>
      </c>
      <c r="K30" s="224" t="s">
        <v>1232</v>
      </c>
      <c r="L30" s="2" t="s">
        <v>1232</v>
      </c>
      <c r="M30" s="2" t="s">
        <v>1232</v>
      </c>
      <c r="N30" s="224" t="s">
        <v>1232</v>
      </c>
    </row>
    <row r="31">
      <c r="B31" s="5" t="s">
        <v>1018</v>
      </c>
      <c r="C31" s="5"/>
      <c r="D31" s="2" t="s">
        <v>1232</v>
      </c>
      <c r="E31" s="224" t="s">
        <v>1231</v>
      </c>
      <c r="F31" s="224" t="s">
        <v>1231</v>
      </c>
      <c r="G31" s="224" t="s">
        <v>1231</v>
      </c>
      <c r="H31" s="224" t="s">
        <v>1232</v>
      </c>
      <c r="I31" s="224" t="s">
        <v>1232</v>
      </c>
      <c r="J31" s="224" t="s">
        <v>1232</v>
      </c>
      <c r="K31" s="224" t="s">
        <v>1232</v>
      </c>
      <c r="L31" s="2" t="s">
        <v>1232</v>
      </c>
      <c r="M31" s="2" t="s">
        <v>1232</v>
      </c>
      <c r="N31" s="224" t="s">
        <v>1232</v>
      </c>
    </row>
    <row r="32">
      <c r="A32" s="2" t="s">
        <v>1266</v>
      </c>
      <c r="B32" s="5" t="s">
        <v>1267</v>
      </c>
      <c r="C32" s="5" t="s">
        <v>1256</v>
      </c>
      <c r="D32" s="2" t="s">
        <v>1231</v>
      </c>
      <c r="E32" s="224" t="s">
        <v>1231</v>
      </c>
      <c r="F32" s="224" t="s">
        <v>1231</v>
      </c>
      <c r="G32" s="224" t="s">
        <v>1231</v>
      </c>
      <c r="H32" s="224" t="s">
        <v>1231</v>
      </c>
      <c r="I32" s="224" t="s">
        <v>1231</v>
      </c>
      <c r="J32" s="224" t="s">
        <v>1231</v>
      </c>
      <c r="K32" s="224" t="s">
        <v>1231</v>
      </c>
      <c r="L32" s="2" t="s">
        <v>1231</v>
      </c>
      <c r="M32" s="2" t="s">
        <v>1231</v>
      </c>
      <c r="N32" s="224" t="s">
        <v>1231</v>
      </c>
    </row>
    <row r="33">
      <c r="B33" s="5" t="s">
        <v>1268</v>
      </c>
      <c r="C33" s="5" t="s">
        <v>1256</v>
      </c>
      <c r="D33" s="2" t="s">
        <v>1231</v>
      </c>
      <c r="E33" s="224" t="s">
        <v>1232</v>
      </c>
      <c r="F33" s="224" t="s">
        <v>1232</v>
      </c>
      <c r="G33" s="224" t="s">
        <v>1232</v>
      </c>
      <c r="H33" s="224" t="s">
        <v>1234</v>
      </c>
      <c r="I33" s="224" t="s">
        <v>1234</v>
      </c>
      <c r="J33" s="224" t="s">
        <v>1234</v>
      </c>
      <c r="K33" s="224" t="s">
        <v>1234</v>
      </c>
      <c r="L33" s="2" t="s">
        <v>1234</v>
      </c>
      <c r="M33" s="2" t="s">
        <v>1234</v>
      </c>
      <c r="N33" s="224" t="s">
        <v>1234</v>
      </c>
    </row>
    <row r="34">
      <c r="A34" s="2" t="s">
        <v>1269</v>
      </c>
      <c r="B34" s="5" t="s">
        <v>1270</v>
      </c>
      <c r="C34" s="5"/>
      <c r="D34" s="2" t="s">
        <v>65</v>
      </c>
      <c r="E34" s="224" t="s">
        <v>65</v>
      </c>
      <c r="F34" s="224" t="s">
        <v>65</v>
      </c>
      <c r="G34" s="224" t="s">
        <v>65</v>
      </c>
      <c r="H34" s="224" t="s">
        <v>65</v>
      </c>
      <c r="I34" s="224" t="s">
        <v>65</v>
      </c>
      <c r="J34" s="224" t="s">
        <v>65</v>
      </c>
      <c r="K34" s="224" t="s">
        <v>65</v>
      </c>
      <c r="L34" s="2" t="s">
        <v>65</v>
      </c>
      <c r="M34" s="2" t="s">
        <v>65</v>
      </c>
      <c r="N34" s="224" t="s">
        <v>65</v>
      </c>
    </row>
    <row r="35">
      <c r="B35" s="5" t="s">
        <v>1271</v>
      </c>
      <c r="C35" s="5" t="s">
        <v>1272</v>
      </c>
      <c r="D35" s="2" t="s">
        <v>1232</v>
      </c>
      <c r="E35" s="224" t="s">
        <v>65</v>
      </c>
      <c r="F35" s="224" t="s">
        <v>65</v>
      </c>
      <c r="G35" s="224" t="s">
        <v>1231</v>
      </c>
      <c r="H35" s="224" t="s">
        <v>1234</v>
      </c>
      <c r="I35" s="224" t="s">
        <v>1234</v>
      </c>
      <c r="J35" s="224" t="s">
        <v>1234</v>
      </c>
      <c r="K35" s="224" t="s">
        <v>1234</v>
      </c>
      <c r="L35" s="2" t="s">
        <v>1234</v>
      </c>
      <c r="M35" s="2" t="s">
        <v>1234</v>
      </c>
      <c r="N35" s="224" t="s">
        <v>1234</v>
      </c>
    </row>
    <row r="36">
      <c r="B36" s="5" t="s">
        <v>1025</v>
      </c>
      <c r="C36" s="5" t="s">
        <v>1272</v>
      </c>
      <c r="D36" s="2" t="s">
        <v>1232</v>
      </c>
      <c r="E36" s="224" t="s">
        <v>1234</v>
      </c>
      <c r="F36" s="224" t="s">
        <v>1234</v>
      </c>
      <c r="G36" s="224" t="s">
        <v>1234</v>
      </c>
      <c r="H36" s="224" t="s">
        <v>1231</v>
      </c>
      <c r="I36" s="224" t="s">
        <v>1231</v>
      </c>
      <c r="J36" s="224" t="s">
        <v>1231</v>
      </c>
      <c r="K36" s="224" t="s">
        <v>1231</v>
      </c>
      <c r="L36" s="2" t="s">
        <v>1231</v>
      </c>
      <c r="M36" s="2" t="s">
        <v>1231</v>
      </c>
      <c r="N36" s="224" t="s">
        <v>1231</v>
      </c>
    </row>
    <row r="37">
      <c r="B37" s="5" t="s">
        <v>1273</v>
      </c>
      <c r="C37" s="5"/>
      <c r="D37" s="2" t="s">
        <v>1232</v>
      </c>
      <c r="E37" s="224" t="s">
        <v>1234</v>
      </c>
      <c r="F37" s="224" t="s">
        <v>1234</v>
      </c>
      <c r="G37" s="224" t="s">
        <v>1234</v>
      </c>
      <c r="H37" s="224" t="s">
        <v>1234</v>
      </c>
      <c r="I37" s="224" t="s">
        <v>1234</v>
      </c>
      <c r="J37" s="224" t="s">
        <v>1234</v>
      </c>
      <c r="K37" s="224" t="s">
        <v>1234</v>
      </c>
      <c r="L37" s="2" t="s">
        <v>1234</v>
      </c>
      <c r="M37" s="2" t="s">
        <v>1234</v>
      </c>
      <c r="N37" s="224" t="s">
        <v>1234</v>
      </c>
    </row>
    <row r="38">
      <c r="A38" s="2" t="s">
        <v>1274</v>
      </c>
      <c r="B38" s="5" t="s">
        <v>1275</v>
      </c>
      <c r="C38" s="5"/>
      <c r="D38" s="2" t="s">
        <v>1231</v>
      </c>
      <c r="E38" s="224" t="s">
        <v>1231</v>
      </c>
      <c r="F38" s="224" t="s">
        <v>1231</v>
      </c>
      <c r="G38" s="224" t="s">
        <v>1231</v>
      </c>
      <c r="H38" s="224" t="s">
        <v>1231</v>
      </c>
      <c r="I38" s="224" t="s">
        <v>1231</v>
      </c>
      <c r="J38" s="224" t="s">
        <v>1231</v>
      </c>
      <c r="K38" s="224" t="s">
        <v>1231</v>
      </c>
      <c r="L38" s="2" t="s">
        <v>1231</v>
      </c>
      <c r="M38" s="2" t="s">
        <v>1231</v>
      </c>
      <c r="N38" s="224" t="s">
        <v>1231</v>
      </c>
    </row>
    <row r="39">
      <c r="B39" s="5" t="s">
        <v>1276</v>
      </c>
      <c r="C39" s="5"/>
      <c r="D39" s="2" t="s">
        <v>1231</v>
      </c>
      <c r="E39" s="224" t="s">
        <v>1231</v>
      </c>
      <c r="F39" s="224" t="s">
        <v>1231</v>
      </c>
      <c r="G39" s="224" t="s">
        <v>1231</v>
      </c>
      <c r="H39" s="224" t="s">
        <v>1231</v>
      </c>
      <c r="I39" s="224" t="s">
        <v>1231</v>
      </c>
      <c r="J39" s="224" t="s">
        <v>1231</v>
      </c>
      <c r="K39" s="224" t="s">
        <v>1231</v>
      </c>
      <c r="L39" s="2" t="s">
        <v>1231</v>
      </c>
      <c r="M39" s="2" t="s">
        <v>1231</v>
      </c>
      <c r="N39" s="224" t="s">
        <v>1231</v>
      </c>
    </row>
    <row r="40">
      <c r="A40" s="2" t="s">
        <v>1277</v>
      </c>
      <c r="B40" s="5" t="s">
        <v>1278</v>
      </c>
      <c r="C40" s="5"/>
      <c r="D40" s="2" t="s">
        <v>1232</v>
      </c>
      <c r="E40" s="224" t="s">
        <v>1232</v>
      </c>
      <c r="F40" s="224" t="s">
        <v>1232</v>
      </c>
      <c r="G40" s="224" t="s">
        <v>1232</v>
      </c>
      <c r="H40" s="224" t="s">
        <v>1231</v>
      </c>
      <c r="I40" s="224" t="s">
        <v>1231</v>
      </c>
      <c r="J40" s="224" t="s">
        <v>1231</v>
      </c>
      <c r="K40" s="224" t="s">
        <v>1231</v>
      </c>
      <c r="L40" s="2" t="s">
        <v>1231</v>
      </c>
      <c r="M40" s="2" t="s">
        <v>1231</v>
      </c>
      <c r="N40" s="224" t="s">
        <v>1231</v>
      </c>
    </row>
    <row r="41">
      <c r="B41" s="5" t="s">
        <v>1279</v>
      </c>
      <c r="C41" s="5"/>
      <c r="D41" s="2" t="s">
        <v>1232</v>
      </c>
      <c r="E41" s="224" t="s">
        <v>1231</v>
      </c>
      <c r="F41" s="224" t="s">
        <v>1231</v>
      </c>
      <c r="G41" s="224" t="s">
        <v>1231</v>
      </c>
      <c r="H41" s="224" t="s">
        <v>1232</v>
      </c>
      <c r="I41" s="224" t="s">
        <v>1232</v>
      </c>
      <c r="J41" s="224" t="s">
        <v>1232</v>
      </c>
      <c r="K41" s="224" t="s">
        <v>1232</v>
      </c>
      <c r="L41" s="2" t="s">
        <v>1232</v>
      </c>
      <c r="M41" s="2" t="s">
        <v>1232</v>
      </c>
      <c r="N41" s="224" t="s">
        <v>1232</v>
      </c>
    </row>
    <row r="42">
      <c r="A42" s="2" t="s">
        <v>1280</v>
      </c>
      <c r="B42" s="5" t="s">
        <v>1281</v>
      </c>
      <c r="C42" s="5"/>
      <c r="D42" s="2" t="s">
        <v>1232</v>
      </c>
      <c r="E42" s="224" t="s">
        <v>1232</v>
      </c>
      <c r="F42" s="224" t="s">
        <v>1232</v>
      </c>
      <c r="G42" s="224" t="s">
        <v>1232</v>
      </c>
      <c r="H42" s="224" t="s">
        <v>1232</v>
      </c>
      <c r="I42" s="224" t="s">
        <v>1232</v>
      </c>
      <c r="J42" s="224" t="s">
        <v>1232</v>
      </c>
      <c r="K42" s="224" t="s">
        <v>1232</v>
      </c>
      <c r="L42" s="2" t="s">
        <v>1232</v>
      </c>
      <c r="M42" s="2" t="s">
        <v>1231</v>
      </c>
      <c r="N42" s="224" t="s">
        <v>1232</v>
      </c>
    </row>
    <row r="43" ht="6.75" customHeight="1">
      <c r="A43" s="398"/>
      <c r="B43" s="399"/>
      <c r="C43" s="399"/>
      <c r="D43" s="398"/>
      <c r="E43" s="400"/>
      <c r="F43" s="400"/>
      <c r="G43" s="400"/>
      <c r="H43" s="400"/>
      <c r="I43" s="400"/>
      <c r="J43" s="400"/>
      <c r="K43" s="400"/>
      <c r="L43" s="398"/>
      <c r="M43" s="398"/>
      <c r="N43" s="400"/>
      <c r="O43" s="398"/>
      <c r="P43" s="398"/>
      <c r="Q43" s="398"/>
      <c r="R43" s="398"/>
      <c r="S43" s="398"/>
      <c r="T43" s="398"/>
      <c r="U43" s="398"/>
      <c r="V43" s="398"/>
      <c r="W43" s="398"/>
      <c r="X43" s="398"/>
      <c r="Y43" s="398"/>
      <c r="Z43" s="398"/>
      <c r="AA43" s="398"/>
      <c r="AB43" s="398"/>
      <c r="AC43" s="398"/>
    </row>
    <row r="44">
      <c r="B44" s="20"/>
      <c r="C44" s="5"/>
      <c r="D44" s="401" t="s">
        <v>1230</v>
      </c>
      <c r="E44" s="402" t="s">
        <v>1230</v>
      </c>
      <c r="F44" s="403" t="s">
        <v>1230</v>
      </c>
      <c r="G44" s="404" t="s">
        <v>1230</v>
      </c>
      <c r="H44" s="405" t="s">
        <v>1235</v>
      </c>
      <c r="I44" s="402" t="s">
        <v>1235</v>
      </c>
      <c r="J44" s="402" t="s">
        <v>1235</v>
      </c>
      <c r="K44" s="402" t="s">
        <v>1235</v>
      </c>
      <c r="L44" s="112" t="s">
        <v>1235</v>
      </c>
      <c r="M44" s="406" t="s">
        <v>1282</v>
      </c>
      <c r="N44" s="407" t="s">
        <v>1282</v>
      </c>
    </row>
    <row r="45">
      <c r="B45" s="20"/>
      <c r="C45" s="5"/>
      <c r="D45" s="8" t="s">
        <v>1233</v>
      </c>
      <c r="E45" s="23" t="s">
        <v>1233</v>
      </c>
      <c r="F45" s="408" t="s">
        <v>1233</v>
      </c>
      <c r="G45" s="70"/>
      <c r="H45" s="65" t="s">
        <v>1236</v>
      </c>
      <c r="I45" s="23" t="s">
        <v>1236</v>
      </c>
      <c r="J45" s="23" t="s">
        <v>1236</v>
      </c>
      <c r="K45" s="23" t="s">
        <v>1236</v>
      </c>
      <c r="L45" s="105" t="s">
        <v>1236</v>
      </c>
      <c r="M45" s="406" t="s">
        <v>1236</v>
      </c>
      <c r="N45" s="407" t="s">
        <v>1236</v>
      </c>
    </row>
    <row r="46">
      <c r="B46" s="20"/>
      <c r="C46" s="5"/>
      <c r="D46" s="409" t="s">
        <v>1261</v>
      </c>
      <c r="E46" s="410" t="s">
        <v>1261</v>
      </c>
      <c r="F46" s="411" t="s">
        <v>1261</v>
      </c>
      <c r="G46" s="70"/>
      <c r="H46" s="405" t="s">
        <v>71</v>
      </c>
      <c r="I46" s="402" t="s">
        <v>71</v>
      </c>
      <c r="J46" s="402" t="s">
        <v>71</v>
      </c>
      <c r="K46" s="403" t="s">
        <v>71</v>
      </c>
      <c r="L46" s="112" t="s">
        <v>71</v>
      </c>
      <c r="M46" s="401" t="s">
        <v>1283</v>
      </c>
      <c r="N46" s="403" t="s">
        <v>1283</v>
      </c>
    </row>
    <row r="47">
      <c r="B47" s="20"/>
      <c r="C47" s="5"/>
      <c r="D47" s="20"/>
      <c r="E47" s="70"/>
      <c r="F47" s="70"/>
      <c r="G47" s="70"/>
      <c r="H47" s="65" t="s">
        <v>1241</v>
      </c>
      <c r="I47" s="23" t="s">
        <v>1241</v>
      </c>
      <c r="J47" s="23" t="s">
        <v>1241</v>
      </c>
      <c r="K47" s="408" t="s">
        <v>1241</v>
      </c>
      <c r="L47" s="7" t="s">
        <v>1241</v>
      </c>
      <c r="M47" s="409" t="s">
        <v>1241</v>
      </c>
      <c r="N47" s="411" t="s">
        <v>1241</v>
      </c>
    </row>
    <row r="48">
      <c r="B48" s="20"/>
      <c r="C48" s="5"/>
      <c r="D48" s="20"/>
      <c r="E48" s="70"/>
      <c r="F48" s="70"/>
      <c r="G48" s="70"/>
      <c r="H48" s="65" t="s">
        <v>1284</v>
      </c>
      <c r="I48" s="23" t="s">
        <v>1284</v>
      </c>
      <c r="J48" s="23" t="s">
        <v>1284</v>
      </c>
      <c r="K48" s="408" t="s">
        <v>1284</v>
      </c>
      <c r="L48" s="279" t="s">
        <v>1243</v>
      </c>
      <c r="M48" s="134"/>
      <c r="N48" s="138"/>
    </row>
    <row r="49">
      <c r="B49" s="20"/>
      <c r="C49" s="20"/>
      <c r="D49" s="20"/>
      <c r="E49" s="70"/>
      <c r="F49" s="70"/>
      <c r="G49" s="70"/>
      <c r="H49" s="65"/>
      <c r="I49" s="23" t="s">
        <v>1285</v>
      </c>
      <c r="J49" s="23" t="s">
        <v>1286</v>
      </c>
      <c r="K49" s="408" t="s">
        <v>1286</v>
      </c>
      <c r="L49" s="412" t="s">
        <v>755</v>
      </c>
      <c r="M49" s="5"/>
      <c r="N49" s="70"/>
    </row>
    <row r="50">
      <c r="B50" s="20"/>
      <c r="C50" s="20"/>
      <c r="E50" s="139"/>
      <c r="F50" s="139"/>
      <c r="G50" s="139"/>
      <c r="H50" s="413"/>
      <c r="I50" s="414"/>
      <c r="J50" s="414"/>
      <c r="K50" s="411" t="s">
        <v>1285</v>
      </c>
      <c r="N50" s="139"/>
    </row>
    <row r="51">
      <c r="B51" s="20"/>
      <c r="C51" s="20"/>
      <c r="D51" s="406" t="s">
        <v>111</v>
      </c>
      <c r="E51" s="404" t="s">
        <v>439</v>
      </c>
      <c r="F51" s="407" t="s">
        <v>1287</v>
      </c>
      <c r="G51" s="405" t="s">
        <v>1288</v>
      </c>
      <c r="H51" s="405" t="s">
        <v>996</v>
      </c>
      <c r="I51" s="402" t="s">
        <v>996</v>
      </c>
      <c r="J51" s="402" t="s">
        <v>996</v>
      </c>
      <c r="K51" s="403" t="s">
        <v>996</v>
      </c>
      <c r="L51" s="20"/>
      <c r="M51" s="20"/>
      <c r="N51" s="70"/>
    </row>
    <row r="52">
      <c r="B52" s="20"/>
      <c r="C52" s="20"/>
      <c r="D52" s="20"/>
      <c r="E52" s="70"/>
      <c r="F52" s="70"/>
      <c r="G52" s="65" t="s">
        <v>1289</v>
      </c>
      <c r="H52" s="65" t="s">
        <v>993</v>
      </c>
      <c r="I52" s="23" t="s">
        <v>993</v>
      </c>
      <c r="J52" s="23" t="s">
        <v>993</v>
      </c>
      <c r="K52" s="408" t="s">
        <v>993</v>
      </c>
      <c r="L52" s="112" t="s">
        <v>1249</v>
      </c>
      <c r="M52" s="20"/>
      <c r="N52" s="70"/>
    </row>
    <row r="53">
      <c r="B53" s="20"/>
      <c r="C53" s="20"/>
      <c r="D53" s="20"/>
      <c r="E53" s="70"/>
      <c r="F53" s="139"/>
      <c r="G53" s="65" t="s">
        <v>1261</v>
      </c>
      <c r="H53" s="65" t="s">
        <v>1251</v>
      </c>
      <c r="I53" s="23" t="s">
        <v>1251</v>
      </c>
      <c r="J53" s="23" t="s">
        <v>1251</v>
      </c>
      <c r="K53" s="408" t="s">
        <v>1251</v>
      </c>
      <c r="L53" s="7" t="s">
        <v>1253</v>
      </c>
      <c r="M53" s="415" t="s">
        <v>1251</v>
      </c>
      <c r="N53" s="416" t="s">
        <v>1252</v>
      </c>
    </row>
    <row r="54">
      <c r="B54" s="20"/>
      <c r="C54" s="20"/>
      <c r="D54" s="20"/>
      <c r="E54" s="70"/>
      <c r="F54" s="139"/>
      <c r="G54" s="417" t="s">
        <v>1290</v>
      </c>
      <c r="H54" s="418" t="s">
        <v>1263</v>
      </c>
      <c r="I54" s="410" t="s">
        <v>1263</v>
      </c>
      <c r="J54" s="410" t="s">
        <v>1263</v>
      </c>
      <c r="K54" s="411" t="s">
        <v>1263</v>
      </c>
      <c r="L54" s="7" t="s">
        <v>1263</v>
      </c>
      <c r="M54" s="419" t="s">
        <v>1263</v>
      </c>
      <c r="N54" s="420" t="s">
        <v>1263</v>
      </c>
    </row>
    <row r="55">
      <c r="B55" s="20"/>
      <c r="C55" s="20"/>
      <c r="E55" s="139"/>
      <c r="F55" s="139"/>
      <c r="G55" s="139"/>
      <c r="H55" s="139"/>
      <c r="I55" s="139"/>
      <c r="J55" s="139"/>
      <c r="K55" s="139"/>
      <c r="L55" s="419" t="s">
        <v>1255</v>
      </c>
      <c r="M55" s="111"/>
      <c r="N55" s="420" t="s">
        <v>1258</v>
      </c>
    </row>
    <row r="56">
      <c r="B56" s="20"/>
      <c r="C56" s="20"/>
      <c r="D56" s="20"/>
      <c r="E56" s="70"/>
      <c r="F56" s="70"/>
      <c r="G56" s="70"/>
      <c r="H56" s="70"/>
      <c r="I56" s="70"/>
      <c r="J56" s="70"/>
      <c r="K56" s="70"/>
      <c r="L56" s="111"/>
      <c r="N56" s="417" t="s">
        <v>1025</v>
      </c>
    </row>
    <row r="57">
      <c r="B57" s="20"/>
      <c r="C57" s="20"/>
      <c r="D57" s="401" t="s">
        <v>1267</v>
      </c>
      <c r="E57" s="402" t="s">
        <v>1267</v>
      </c>
      <c r="F57" s="402" t="s">
        <v>1267</v>
      </c>
      <c r="G57" s="402" t="s">
        <v>1267</v>
      </c>
      <c r="H57" s="402" t="s">
        <v>1267</v>
      </c>
      <c r="I57" s="402" t="s">
        <v>1267</v>
      </c>
      <c r="J57" s="402"/>
      <c r="K57" s="402"/>
      <c r="L57" s="109" t="s">
        <v>1267</v>
      </c>
      <c r="M57" s="109" t="s">
        <v>1267</v>
      </c>
      <c r="N57" s="403" t="s">
        <v>1267</v>
      </c>
    </row>
    <row r="58">
      <c r="B58" s="20"/>
      <c r="C58" s="20"/>
      <c r="D58" s="8" t="s">
        <v>755</v>
      </c>
      <c r="E58" s="23" t="s">
        <v>755</v>
      </c>
      <c r="F58" s="23" t="s">
        <v>755</v>
      </c>
      <c r="G58" s="23" t="s">
        <v>755</v>
      </c>
      <c r="H58" s="23" t="s">
        <v>755</v>
      </c>
      <c r="I58" s="23" t="s">
        <v>755</v>
      </c>
      <c r="J58" s="23"/>
      <c r="K58" s="23"/>
      <c r="L58" s="5" t="s">
        <v>755</v>
      </c>
      <c r="M58" s="5" t="s">
        <v>755</v>
      </c>
      <c r="N58" s="408" t="s">
        <v>755</v>
      </c>
    </row>
    <row r="59">
      <c r="B59" s="20"/>
      <c r="C59" s="20"/>
      <c r="D59" s="8" t="s">
        <v>1275</v>
      </c>
      <c r="E59" s="23" t="s">
        <v>1275</v>
      </c>
      <c r="F59" s="23" t="s">
        <v>1275</v>
      </c>
      <c r="G59" s="23" t="s">
        <v>1275</v>
      </c>
      <c r="H59" s="23" t="s">
        <v>1275</v>
      </c>
      <c r="I59" s="23" t="s">
        <v>1275</v>
      </c>
      <c r="J59" s="23"/>
      <c r="K59" s="23"/>
      <c r="L59" s="5" t="s">
        <v>1275</v>
      </c>
      <c r="M59" s="5" t="s">
        <v>1275</v>
      </c>
      <c r="N59" s="408" t="s">
        <v>1275</v>
      </c>
    </row>
    <row r="60">
      <c r="B60" s="20"/>
      <c r="C60" s="20"/>
      <c r="D60" s="409" t="s">
        <v>1276</v>
      </c>
      <c r="E60" s="410" t="s">
        <v>1276</v>
      </c>
      <c r="F60" s="410" t="s">
        <v>1276</v>
      </c>
      <c r="G60" s="410" t="s">
        <v>1276</v>
      </c>
      <c r="H60" s="410" t="s">
        <v>1276</v>
      </c>
      <c r="I60" s="410" t="s">
        <v>1276</v>
      </c>
      <c r="J60" s="410"/>
      <c r="K60" s="410"/>
      <c r="L60" s="102" t="s">
        <v>1276</v>
      </c>
      <c r="M60" s="102" t="s">
        <v>1276</v>
      </c>
      <c r="N60" s="411" t="s">
        <v>1276</v>
      </c>
    </row>
    <row r="61">
      <c r="B61" s="20"/>
      <c r="C61" s="20"/>
      <c r="D61" s="406" t="s">
        <v>1291</v>
      </c>
      <c r="E61" s="421" t="s">
        <v>1291</v>
      </c>
      <c r="F61" s="421" t="s">
        <v>1291</v>
      </c>
      <c r="G61" s="407" t="s">
        <v>1291</v>
      </c>
      <c r="H61" s="70"/>
      <c r="I61" s="70"/>
      <c r="J61" s="70"/>
      <c r="K61" s="70"/>
      <c r="L61" s="20"/>
      <c r="M61" s="20"/>
      <c r="N61" s="70"/>
    </row>
    <row r="62">
      <c r="B62" s="20"/>
      <c r="C62" s="20"/>
      <c r="D62" s="20"/>
      <c r="E62" s="422" t="s">
        <v>1018</v>
      </c>
      <c r="F62" s="421" t="s">
        <v>1018</v>
      </c>
      <c r="G62" s="407" t="s">
        <v>1018</v>
      </c>
      <c r="H62" s="422" t="s">
        <v>1278</v>
      </c>
      <c r="I62" s="421" t="s">
        <v>1278</v>
      </c>
      <c r="J62" s="421"/>
      <c r="K62" s="421"/>
      <c r="L62" s="423" t="s">
        <v>1278</v>
      </c>
      <c r="M62" s="423" t="s">
        <v>1278</v>
      </c>
      <c r="N62" s="407" t="s">
        <v>1278</v>
      </c>
    </row>
    <row r="63">
      <c r="B63" s="20"/>
      <c r="C63" s="20"/>
      <c r="E63" s="139"/>
      <c r="F63" s="139"/>
      <c r="G63" s="139"/>
      <c r="H63" s="139"/>
      <c r="I63" s="139"/>
      <c r="J63" s="139"/>
      <c r="K63" s="139"/>
      <c r="N63" s="139"/>
    </row>
    <row r="64">
      <c r="B64" s="20"/>
      <c r="C64" s="20"/>
      <c r="E64" s="139"/>
      <c r="F64" s="139"/>
      <c r="G64" s="139"/>
      <c r="H64" s="139"/>
      <c r="I64" s="139"/>
      <c r="J64" s="139"/>
      <c r="K64" s="139"/>
      <c r="N64" s="139"/>
    </row>
    <row r="65">
      <c r="B65" s="20"/>
      <c r="C65" s="20"/>
      <c r="E65" s="139"/>
      <c r="F65" s="139"/>
      <c r="G65" s="139"/>
      <c r="H65" s="139"/>
      <c r="I65" s="139"/>
      <c r="J65" s="139"/>
      <c r="K65" s="139"/>
      <c r="N65" s="139"/>
    </row>
    <row r="66">
      <c r="B66" s="20"/>
      <c r="C66" s="20"/>
      <c r="E66" s="139"/>
      <c r="F66" s="139"/>
      <c r="G66" s="139"/>
      <c r="H66" s="139"/>
      <c r="I66" s="139"/>
      <c r="J66" s="139"/>
      <c r="K66" s="139"/>
      <c r="N66" s="139"/>
    </row>
    <row r="67">
      <c r="B67" s="20"/>
      <c r="C67" s="20"/>
      <c r="E67" s="139"/>
      <c r="F67" s="139"/>
      <c r="G67" s="139"/>
      <c r="H67" s="139"/>
      <c r="I67" s="139"/>
      <c r="J67" s="139"/>
      <c r="K67" s="139"/>
      <c r="N67" s="139"/>
    </row>
    <row r="68">
      <c r="B68" s="20"/>
      <c r="C68" s="20"/>
      <c r="E68" s="139"/>
      <c r="F68" s="139"/>
      <c r="G68" s="139"/>
      <c r="H68" s="139"/>
      <c r="I68" s="139"/>
      <c r="J68" s="139"/>
      <c r="K68" s="139"/>
      <c r="N68" s="139"/>
    </row>
    <row r="69">
      <c r="B69" s="20"/>
      <c r="C69" s="20"/>
      <c r="E69" s="139"/>
      <c r="F69" s="139"/>
      <c r="G69" s="139"/>
      <c r="H69" s="139"/>
      <c r="I69" s="139"/>
      <c r="J69" s="139"/>
      <c r="K69" s="139"/>
      <c r="N69" s="139"/>
    </row>
    <row r="70">
      <c r="B70" s="20"/>
      <c r="C70" s="20"/>
      <c r="E70" s="139"/>
      <c r="F70" s="139"/>
      <c r="G70" s="139"/>
      <c r="H70" s="139"/>
      <c r="I70" s="139"/>
      <c r="J70" s="139"/>
      <c r="K70" s="139"/>
      <c r="N70" s="139"/>
    </row>
    <row r="71">
      <c r="B71" s="20"/>
      <c r="C71" s="20"/>
      <c r="E71" s="139"/>
      <c r="F71" s="139"/>
      <c r="G71" s="139"/>
      <c r="H71" s="139"/>
      <c r="I71" s="139"/>
      <c r="J71" s="139"/>
      <c r="K71" s="139"/>
      <c r="N71" s="139"/>
    </row>
    <row r="72">
      <c r="B72" s="20"/>
      <c r="C72" s="20"/>
      <c r="E72" s="139"/>
      <c r="F72" s="139"/>
      <c r="G72" s="139"/>
      <c r="H72" s="139"/>
      <c r="I72" s="139"/>
      <c r="J72" s="139"/>
      <c r="K72" s="139"/>
      <c r="N72" s="139"/>
    </row>
    <row r="73">
      <c r="B73" s="20"/>
      <c r="C73" s="20"/>
      <c r="E73" s="139"/>
      <c r="F73" s="139"/>
      <c r="G73" s="139"/>
      <c r="H73" s="139"/>
      <c r="I73" s="139"/>
      <c r="J73" s="139"/>
      <c r="K73" s="139"/>
      <c r="N73" s="139"/>
    </row>
    <row r="74">
      <c r="B74" s="20"/>
      <c r="C74" s="20"/>
      <c r="E74" s="139"/>
      <c r="F74" s="139"/>
      <c r="G74" s="139"/>
      <c r="H74" s="139"/>
      <c r="I74" s="139"/>
      <c r="J74" s="139"/>
      <c r="K74" s="139"/>
      <c r="N74" s="139"/>
    </row>
    <row r="75">
      <c r="B75" s="20"/>
      <c r="C75" s="20"/>
      <c r="E75" s="139"/>
      <c r="F75" s="139"/>
      <c r="G75" s="139"/>
      <c r="H75" s="139"/>
      <c r="I75" s="139"/>
      <c r="J75" s="139"/>
      <c r="K75" s="139"/>
      <c r="N75" s="139"/>
    </row>
    <row r="76">
      <c r="B76" s="20"/>
      <c r="C76" s="20"/>
      <c r="E76" s="139"/>
      <c r="F76" s="139"/>
      <c r="G76" s="139"/>
      <c r="H76" s="139"/>
      <c r="I76" s="139"/>
      <c r="J76" s="139"/>
      <c r="K76" s="139"/>
      <c r="N76" s="139"/>
    </row>
    <row r="77">
      <c r="B77" s="20"/>
      <c r="C77" s="20"/>
      <c r="E77" s="139"/>
      <c r="F77" s="139"/>
      <c r="G77" s="139"/>
      <c r="H77" s="139"/>
      <c r="I77" s="139"/>
      <c r="J77" s="139"/>
      <c r="K77" s="139"/>
      <c r="N77" s="139"/>
    </row>
    <row r="78">
      <c r="B78" s="20"/>
      <c r="C78" s="20"/>
      <c r="E78" s="139"/>
      <c r="F78" s="139"/>
      <c r="G78" s="139"/>
      <c r="H78" s="139"/>
      <c r="I78" s="139"/>
      <c r="J78" s="139"/>
      <c r="K78" s="139"/>
      <c r="N78" s="139"/>
    </row>
    <row r="79">
      <c r="B79" s="20"/>
      <c r="C79" s="20"/>
      <c r="E79" s="139"/>
      <c r="F79" s="139"/>
      <c r="G79" s="139"/>
      <c r="H79" s="139"/>
      <c r="I79" s="139"/>
      <c r="J79" s="139"/>
      <c r="K79" s="139"/>
      <c r="N79" s="139"/>
    </row>
    <row r="80">
      <c r="B80" s="20"/>
      <c r="C80" s="20"/>
      <c r="E80" s="139"/>
      <c r="F80" s="139"/>
      <c r="G80" s="139"/>
      <c r="H80" s="139"/>
      <c r="I80" s="139"/>
      <c r="J80" s="139"/>
      <c r="K80" s="139"/>
      <c r="N80" s="139"/>
    </row>
    <row r="81">
      <c r="B81" s="20"/>
      <c r="C81" s="20"/>
      <c r="E81" s="139"/>
      <c r="F81" s="139"/>
      <c r="G81" s="139"/>
      <c r="H81" s="139"/>
      <c r="I81" s="139"/>
      <c r="J81" s="139"/>
      <c r="K81" s="139"/>
      <c r="N81" s="139"/>
    </row>
    <row r="82">
      <c r="B82" s="20"/>
      <c r="C82" s="20"/>
      <c r="E82" s="139"/>
      <c r="F82" s="139"/>
      <c r="G82" s="139"/>
      <c r="H82" s="139"/>
      <c r="I82" s="139"/>
      <c r="J82" s="139"/>
      <c r="K82" s="139"/>
      <c r="N82" s="139"/>
    </row>
    <row r="83">
      <c r="B83" s="20"/>
      <c r="C83" s="20"/>
      <c r="E83" s="139"/>
      <c r="F83" s="139"/>
      <c r="G83" s="139"/>
      <c r="H83" s="139"/>
      <c r="I83" s="139"/>
      <c r="J83" s="139"/>
      <c r="K83" s="139"/>
      <c r="N83" s="139"/>
    </row>
    <row r="84">
      <c r="B84" s="20"/>
      <c r="C84" s="20"/>
      <c r="E84" s="139"/>
      <c r="F84" s="139"/>
      <c r="G84" s="139"/>
      <c r="H84" s="139"/>
      <c r="I84" s="139"/>
      <c r="J84" s="139"/>
      <c r="K84" s="139"/>
      <c r="N84" s="139"/>
    </row>
    <row r="85">
      <c r="B85" s="20"/>
      <c r="C85" s="20"/>
      <c r="E85" s="139"/>
      <c r="F85" s="139"/>
      <c r="G85" s="139"/>
      <c r="H85" s="139"/>
      <c r="I85" s="139"/>
      <c r="J85" s="139"/>
      <c r="K85" s="139"/>
      <c r="N85" s="139"/>
    </row>
    <row r="86">
      <c r="B86" s="20"/>
      <c r="C86" s="20"/>
      <c r="E86" s="139"/>
      <c r="F86" s="139"/>
      <c r="G86" s="139"/>
      <c r="H86" s="139"/>
      <c r="I86" s="139"/>
      <c r="J86" s="139"/>
      <c r="K86" s="139"/>
      <c r="N86" s="139"/>
    </row>
    <row r="87">
      <c r="B87" s="20"/>
      <c r="C87" s="20"/>
      <c r="E87" s="139"/>
      <c r="F87" s="139"/>
      <c r="G87" s="139"/>
      <c r="H87" s="139"/>
      <c r="I87" s="139"/>
      <c r="J87" s="139"/>
      <c r="K87" s="139"/>
      <c r="N87" s="139"/>
    </row>
    <row r="88">
      <c r="B88" s="20"/>
      <c r="C88" s="20"/>
      <c r="E88" s="139"/>
      <c r="F88" s="139"/>
      <c r="G88" s="139"/>
      <c r="H88" s="139"/>
      <c r="I88" s="139"/>
      <c r="J88" s="139"/>
      <c r="K88" s="139"/>
      <c r="N88" s="139"/>
    </row>
    <row r="89">
      <c r="B89" s="20"/>
      <c r="C89" s="20"/>
      <c r="E89" s="139"/>
      <c r="F89" s="139"/>
      <c r="G89" s="139"/>
      <c r="H89" s="139"/>
      <c r="I89" s="139"/>
      <c r="J89" s="139"/>
      <c r="K89" s="139"/>
      <c r="N89" s="139"/>
    </row>
    <row r="90">
      <c r="B90" s="20"/>
      <c r="C90" s="20"/>
      <c r="E90" s="139"/>
      <c r="F90" s="139"/>
      <c r="G90" s="139"/>
      <c r="H90" s="139"/>
      <c r="I90" s="139"/>
      <c r="J90" s="139"/>
      <c r="K90" s="139"/>
      <c r="N90" s="139"/>
    </row>
    <row r="91">
      <c r="B91" s="20"/>
      <c r="C91" s="20"/>
      <c r="E91" s="139"/>
      <c r="F91" s="139"/>
      <c r="G91" s="139"/>
      <c r="H91" s="139"/>
      <c r="I91" s="139"/>
      <c r="J91" s="139"/>
      <c r="K91" s="139"/>
      <c r="N91" s="139"/>
    </row>
    <row r="92">
      <c r="B92" s="20"/>
      <c r="C92" s="20"/>
      <c r="E92" s="139"/>
      <c r="F92" s="139"/>
      <c r="G92" s="139"/>
      <c r="H92" s="139"/>
      <c r="I92" s="139"/>
      <c r="J92" s="139"/>
      <c r="K92" s="139"/>
      <c r="N92" s="139"/>
    </row>
    <row r="93">
      <c r="B93" s="20"/>
      <c r="C93" s="20"/>
      <c r="E93" s="139"/>
      <c r="F93" s="139"/>
      <c r="G93" s="139"/>
      <c r="H93" s="139"/>
      <c r="I93" s="139"/>
      <c r="J93" s="139"/>
      <c r="K93" s="139"/>
      <c r="N93" s="139"/>
    </row>
    <row r="94">
      <c r="B94" s="20"/>
      <c r="C94" s="20"/>
      <c r="E94" s="139"/>
      <c r="F94" s="139"/>
      <c r="G94" s="139"/>
      <c r="H94" s="139"/>
      <c r="I94" s="139"/>
      <c r="J94" s="139"/>
      <c r="K94" s="139"/>
      <c r="N94" s="139"/>
    </row>
    <row r="95">
      <c r="B95" s="20"/>
      <c r="C95" s="20"/>
      <c r="E95" s="139"/>
      <c r="F95" s="139"/>
      <c r="G95" s="139"/>
      <c r="H95" s="139"/>
      <c r="I95" s="139"/>
      <c r="J95" s="139"/>
      <c r="K95" s="139"/>
      <c r="N95" s="139"/>
    </row>
    <row r="96">
      <c r="B96" s="20"/>
      <c r="C96" s="20"/>
      <c r="E96" s="139"/>
      <c r="F96" s="139"/>
      <c r="G96" s="139"/>
      <c r="H96" s="139"/>
      <c r="I96" s="139"/>
      <c r="J96" s="139"/>
      <c r="K96" s="139"/>
      <c r="N96" s="139"/>
    </row>
    <row r="97">
      <c r="B97" s="20"/>
      <c r="C97" s="20"/>
      <c r="E97" s="139"/>
      <c r="F97" s="139"/>
      <c r="G97" s="139"/>
      <c r="H97" s="139"/>
      <c r="I97" s="139"/>
      <c r="J97" s="139"/>
      <c r="K97" s="139"/>
      <c r="N97" s="139"/>
    </row>
    <row r="98">
      <c r="B98" s="20"/>
      <c r="C98" s="20"/>
      <c r="E98" s="139"/>
      <c r="F98" s="139"/>
      <c r="G98" s="139"/>
      <c r="H98" s="139"/>
      <c r="I98" s="139"/>
      <c r="J98" s="139"/>
      <c r="K98" s="139"/>
      <c r="N98" s="139"/>
    </row>
    <row r="99">
      <c r="B99" s="20"/>
      <c r="C99" s="20"/>
      <c r="E99" s="139"/>
      <c r="F99" s="139"/>
      <c r="G99" s="139"/>
      <c r="H99" s="139"/>
      <c r="I99" s="139"/>
      <c r="J99" s="139"/>
      <c r="K99" s="139"/>
      <c r="N99" s="139"/>
    </row>
    <row r="100">
      <c r="B100" s="20"/>
      <c r="C100" s="20"/>
      <c r="E100" s="139"/>
      <c r="F100" s="139"/>
      <c r="G100" s="139"/>
      <c r="H100" s="139"/>
      <c r="I100" s="139"/>
      <c r="J100" s="139"/>
      <c r="K100" s="139"/>
      <c r="N100" s="139"/>
    </row>
    <row r="101">
      <c r="B101" s="20"/>
      <c r="C101" s="20"/>
      <c r="E101" s="139"/>
      <c r="F101" s="139"/>
      <c r="G101" s="139"/>
      <c r="H101" s="139"/>
      <c r="I101" s="139"/>
      <c r="J101" s="139"/>
      <c r="K101" s="139"/>
      <c r="N101" s="139"/>
    </row>
    <row r="102">
      <c r="B102" s="20"/>
      <c r="C102" s="20"/>
      <c r="E102" s="139"/>
      <c r="F102" s="139"/>
      <c r="G102" s="139"/>
      <c r="H102" s="139"/>
      <c r="I102" s="139"/>
      <c r="J102" s="139"/>
      <c r="K102" s="139"/>
      <c r="N102" s="139"/>
    </row>
    <row r="103">
      <c r="B103" s="20"/>
      <c r="C103" s="20"/>
      <c r="E103" s="139"/>
      <c r="F103" s="139"/>
      <c r="G103" s="139"/>
      <c r="H103" s="139"/>
      <c r="I103" s="139"/>
      <c r="J103" s="139"/>
      <c r="K103" s="139"/>
      <c r="N103" s="139"/>
    </row>
    <row r="104">
      <c r="B104" s="20"/>
      <c r="C104" s="20"/>
      <c r="E104" s="139"/>
      <c r="F104" s="139"/>
      <c r="G104" s="139"/>
      <c r="H104" s="139"/>
      <c r="I104" s="139"/>
      <c r="J104" s="139"/>
      <c r="K104" s="139"/>
      <c r="N104" s="139"/>
    </row>
    <row r="105">
      <c r="B105" s="20"/>
      <c r="C105" s="20"/>
      <c r="E105" s="139"/>
      <c r="F105" s="139"/>
      <c r="G105" s="139"/>
      <c r="H105" s="139"/>
      <c r="I105" s="139"/>
      <c r="J105" s="139"/>
      <c r="K105" s="139"/>
      <c r="N105" s="139"/>
    </row>
    <row r="106">
      <c r="B106" s="20"/>
      <c r="C106" s="20"/>
      <c r="E106" s="139"/>
      <c r="F106" s="139"/>
      <c r="G106" s="139"/>
      <c r="H106" s="139"/>
      <c r="I106" s="139"/>
      <c r="J106" s="139"/>
      <c r="K106" s="139"/>
      <c r="N106" s="139"/>
    </row>
    <row r="107">
      <c r="B107" s="20"/>
      <c r="C107" s="20"/>
      <c r="E107" s="139"/>
      <c r="F107" s="139"/>
      <c r="G107" s="139"/>
      <c r="H107" s="139"/>
      <c r="I107" s="139"/>
      <c r="J107" s="139"/>
      <c r="K107" s="139"/>
      <c r="N107" s="139"/>
    </row>
    <row r="108">
      <c r="B108" s="20"/>
      <c r="C108" s="20"/>
      <c r="E108" s="139"/>
      <c r="F108" s="139"/>
      <c r="G108" s="139"/>
      <c r="H108" s="139"/>
      <c r="I108" s="139"/>
      <c r="J108" s="139"/>
      <c r="K108" s="139"/>
      <c r="N108" s="139"/>
    </row>
    <row r="109">
      <c r="B109" s="20"/>
      <c r="C109" s="20"/>
      <c r="E109" s="139"/>
      <c r="F109" s="139"/>
      <c r="G109" s="139"/>
      <c r="H109" s="139"/>
      <c r="I109" s="139"/>
      <c r="J109" s="139"/>
      <c r="K109" s="139"/>
      <c r="N109" s="139"/>
    </row>
    <row r="110">
      <c r="B110" s="20"/>
      <c r="C110" s="20"/>
      <c r="E110" s="139"/>
      <c r="F110" s="139"/>
      <c r="G110" s="139"/>
      <c r="H110" s="139"/>
      <c r="I110" s="139"/>
      <c r="J110" s="139"/>
      <c r="K110" s="139"/>
      <c r="N110" s="139"/>
    </row>
    <row r="111">
      <c r="B111" s="20"/>
      <c r="C111" s="20"/>
      <c r="E111" s="139"/>
      <c r="F111" s="139"/>
      <c r="G111" s="139"/>
      <c r="H111" s="139"/>
      <c r="I111" s="139"/>
      <c r="J111" s="139"/>
      <c r="K111" s="139"/>
      <c r="N111" s="139"/>
    </row>
    <row r="112">
      <c r="B112" s="20"/>
      <c r="C112" s="20"/>
      <c r="E112" s="139"/>
      <c r="F112" s="139"/>
      <c r="G112" s="139"/>
      <c r="H112" s="139"/>
      <c r="I112" s="139"/>
      <c r="J112" s="139"/>
      <c r="K112" s="139"/>
      <c r="N112" s="139"/>
    </row>
    <row r="113">
      <c r="B113" s="20"/>
      <c r="C113" s="20"/>
      <c r="E113" s="139"/>
      <c r="F113" s="139"/>
      <c r="G113" s="139"/>
      <c r="H113" s="139"/>
      <c r="I113" s="139"/>
      <c r="J113" s="139"/>
      <c r="K113" s="139"/>
      <c r="N113" s="139"/>
    </row>
    <row r="114">
      <c r="B114" s="20"/>
      <c r="C114" s="20"/>
      <c r="E114" s="139"/>
      <c r="F114" s="139"/>
      <c r="G114" s="139"/>
      <c r="H114" s="139"/>
      <c r="I114" s="139"/>
      <c r="J114" s="139"/>
      <c r="K114" s="139"/>
      <c r="N114" s="139"/>
    </row>
    <row r="115">
      <c r="B115" s="20"/>
      <c r="C115" s="20"/>
      <c r="E115" s="139"/>
      <c r="F115" s="139"/>
      <c r="G115" s="139"/>
      <c r="H115" s="139"/>
      <c r="I115" s="139"/>
      <c r="J115" s="139"/>
      <c r="K115" s="139"/>
      <c r="N115" s="139"/>
    </row>
    <row r="116">
      <c r="B116" s="20"/>
      <c r="C116" s="20"/>
      <c r="E116" s="139"/>
      <c r="F116" s="139"/>
      <c r="G116" s="139"/>
      <c r="H116" s="139"/>
      <c r="I116" s="139"/>
      <c r="J116" s="139"/>
      <c r="K116" s="139"/>
      <c r="N116" s="139"/>
    </row>
    <row r="117">
      <c r="B117" s="20"/>
      <c r="C117" s="20"/>
      <c r="E117" s="139"/>
      <c r="F117" s="139"/>
      <c r="G117" s="139"/>
      <c r="H117" s="139"/>
      <c r="I117" s="139"/>
      <c r="J117" s="139"/>
      <c r="K117" s="139"/>
      <c r="N117" s="139"/>
    </row>
    <row r="118">
      <c r="B118" s="20"/>
      <c r="C118" s="20"/>
      <c r="E118" s="139"/>
      <c r="F118" s="139"/>
      <c r="G118" s="139"/>
      <c r="H118" s="139"/>
      <c r="I118" s="139"/>
      <c r="J118" s="139"/>
      <c r="K118" s="139"/>
      <c r="N118" s="139"/>
    </row>
    <row r="119">
      <c r="B119" s="20"/>
      <c r="C119" s="20"/>
      <c r="E119" s="139"/>
      <c r="F119" s="139"/>
      <c r="G119" s="139"/>
      <c r="H119" s="139"/>
      <c r="I119" s="139"/>
      <c r="J119" s="139"/>
      <c r="K119" s="139"/>
      <c r="N119" s="139"/>
    </row>
    <row r="120">
      <c r="B120" s="20"/>
      <c r="C120" s="20"/>
      <c r="E120" s="139"/>
      <c r="F120" s="139"/>
      <c r="G120" s="139"/>
      <c r="H120" s="139"/>
      <c r="I120" s="139"/>
      <c r="J120" s="139"/>
      <c r="K120" s="139"/>
      <c r="N120" s="139"/>
    </row>
    <row r="121">
      <c r="B121" s="20"/>
      <c r="C121" s="20"/>
      <c r="E121" s="139"/>
      <c r="F121" s="139"/>
      <c r="G121" s="139"/>
      <c r="H121" s="139"/>
      <c r="I121" s="139"/>
      <c r="J121" s="139"/>
      <c r="K121" s="139"/>
      <c r="N121" s="139"/>
    </row>
    <row r="122">
      <c r="B122" s="20"/>
      <c r="C122" s="20"/>
      <c r="E122" s="139"/>
      <c r="F122" s="139"/>
      <c r="G122" s="139"/>
      <c r="H122" s="139"/>
      <c r="I122" s="139"/>
      <c r="J122" s="139"/>
      <c r="K122" s="139"/>
      <c r="N122" s="139"/>
    </row>
    <row r="123">
      <c r="B123" s="20"/>
      <c r="C123" s="20"/>
      <c r="E123" s="139"/>
      <c r="F123" s="139"/>
      <c r="G123" s="139"/>
      <c r="H123" s="139"/>
      <c r="I123" s="139"/>
      <c r="J123" s="139"/>
      <c r="K123" s="139"/>
      <c r="N123" s="139"/>
    </row>
    <row r="124">
      <c r="B124" s="20"/>
      <c r="C124" s="20"/>
      <c r="E124" s="139"/>
      <c r="F124" s="139"/>
      <c r="G124" s="139"/>
      <c r="H124" s="139"/>
      <c r="I124" s="139"/>
      <c r="J124" s="139"/>
      <c r="K124" s="139"/>
      <c r="N124" s="139"/>
    </row>
    <row r="125">
      <c r="B125" s="20"/>
      <c r="C125" s="20"/>
      <c r="E125" s="139"/>
      <c r="F125" s="139"/>
      <c r="G125" s="139"/>
      <c r="H125" s="139"/>
      <c r="I125" s="139"/>
      <c r="J125" s="139"/>
      <c r="K125" s="139"/>
      <c r="N125" s="139"/>
    </row>
    <row r="126">
      <c r="B126" s="20"/>
      <c r="C126" s="20"/>
      <c r="E126" s="139"/>
      <c r="F126" s="139"/>
      <c r="G126" s="139"/>
      <c r="H126" s="139"/>
      <c r="I126" s="139"/>
      <c r="J126" s="139"/>
      <c r="K126" s="139"/>
      <c r="N126" s="139"/>
    </row>
    <row r="127">
      <c r="B127" s="20"/>
      <c r="C127" s="20"/>
      <c r="E127" s="139"/>
      <c r="F127" s="139"/>
      <c r="G127" s="139"/>
      <c r="H127" s="139"/>
      <c r="I127" s="139"/>
      <c r="J127" s="139"/>
      <c r="K127" s="139"/>
      <c r="N127" s="139"/>
    </row>
    <row r="128">
      <c r="B128" s="20"/>
      <c r="C128" s="20"/>
      <c r="E128" s="139"/>
      <c r="F128" s="139"/>
      <c r="G128" s="139"/>
      <c r="H128" s="139"/>
      <c r="I128" s="139"/>
      <c r="J128" s="139"/>
      <c r="K128" s="139"/>
      <c r="N128" s="139"/>
    </row>
    <row r="129">
      <c r="B129" s="20"/>
      <c r="C129" s="20"/>
      <c r="E129" s="139"/>
      <c r="F129" s="139"/>
      <c r="G129" s="139"/>
      <c r="H129" s="139"/>
      <c r="I129" s="139"/>
      <c r="J129" s="139"/>
      <c r="K129" s="139"/>
      <c r="N129" s="139"/>
    </row>
    <row r="130">
      <c r="B130" s="20"/>
      <c r="C130" s="20"/>
      <c r="E130" s="139"/>
      <c r="F130" s="139"/>
      <c r="G130" s="139"/>
      <c r="H130" s="139"/>
      <c r="I130" s="139"/>
      <c r="J130" s="139"/>
      <c r="K130" s="139"/>
      <c r="N130" s="139"/>
    </row>
    <row r="131">
      <c r="B131" s="20"/>
      <c r="C131" s="20"/>
      <c r="E131" s="139"/>
      <c r="F131" s="139"/>
      <c r="G131" s="139"/>
      <c r="H131" s="139"/>
      <c r="I131" s="139"/>
      <c r="J131" s="139"/>
      <c r="K131" s="139"/>
      <c r="N131" s="139"/>
    </row>
    <row r="132">
      <c r="B132" s="20"/>
      <c r="C132" s="20"/>
      <c r="E132" s="139"/>
      <c r="F132" s="139"/>
      <c r="G132" s="139"/>
      <c r="H132" s="139"/>
      <c r="I132" s="139"/>
      <c r="J132" s="139"/>
      <c r="K132" s="139"/>
      <c r="N132" s="139"/>
    </row>
    <row r="133">
      <c r="B133" s="20"/>
      <c r="C133" s="20"/>
      <c r="E133" s="139"/>
      <c r="F133" s="139"/>
      <c r="G133" s="139"/>
      <c r="H133" s="139"/>
      <c r="I133" s="139"/>
      <c r="J133" s="139"/>
      <c r="K133" s="139"/>
      <c r="N133" s="139"/>
    </row>
    <row r="134">
      <c r="B134" s="20"/>
      <c r="C134" s="20"/>
      <c r="E134" s="139"/>
      <c r="F134" s="139"/>
      <c r="G134" s="139"/>
      <c r="H134" s="139"/>
      <c r="I134" s="139"/>
      <c r="J134" s="139"/>
      <c r="K134" s="139"/>
      <c r="N134" s="139"/>
    </row>
    <row r="135">
      <c r="B135" s="20"/>
      <c r="C135" s="20"/>
      <c r="E135" s="139"/>
      <c r="F135" s="139"/>
      <c r="G135" s="139"/>
      <c r="H135" s="139"/>
      <c r="I135" s="139"/>
      <c r="J135" s="139"/>
      <c r="K135" s="139"/>
      <c r="N135" s="139"/>
    </row>
    <row r="136">
      <c r="B136" s="20"/>
      <c r="C136" s="20"/>
      <c r="E136" s="139"/>
      <c r="F136" s="139"/>
      <c r="G136" s="139"/>
      <c r="H136" s="139"/>
      <c r="I136" s="139"/>
      <c r="J136" s="139"/>
      <c r="K136" s="139"/>
      <c r="N136" s="139"/>
    </row>
    <row r="137">
      <c r="B137" s="20"/>
      <c r="C137" s="20"/>
      <c r="E137" s="139"/>
      <c r="F137" s="139"/>
      <c r="G137" s="139"/>
      <c r="H137" s="139"/>
      <c r="I137" s="139"/>
      <c r="J137" s="139"/>
      <c r="K137" s="139"/>
      <c r="N137" s="139"/>
    </row>
    <row r="138">
      <c r="B138" s="20"/>
      <c r="C138" s="20"/>
      <c r="E138" s="139"/>
      <c r="F138" s="139"/>
      <c r="G138" s="139"/>
      <c r="H138" s="139"/>
      <c r="I138" s="139"/>
      <c r="J138" s="139"/>
      <c r="K138" s="139"/>
      <c r="N138" s="139"/>
    </row>
    <row r="139">
      <c r="B139" s="20"/>
      <c r="C139" s="20"/>
      <c r="E139" s="139"/>
      <c r="F139" s="139"/>
      <c r="G139" s="139"/>
      <c r="H139" s="139"/>
      <c r="I139" s="139"/>
      <c r="J139" s="139"/>
      <c r="K139" s="139"/>
      <c r="N139" s="139"/>
    </row>
    <row r="140">
      <c r="B140" s="20"/>
      <c r="C140" s="20"/>
      <c r="E140" s="139"/>
      <c r="F140" s="139"/>
      <c r="G140" s="139"/>
      <c r="H140" s="139"/>
      <c r="I140" s="139"/>
      <c r="J140" s="139"/>
      <c r="K140" s="139"/>
      <c r="N140" s="139"/>
    </row>
    <row r="141">
      <c r="B141" s="20"/>
      <c r="C141" s="20"/>
      <c r="E141" s="139"/>
      <c r="F141" s="139"/>
      <c r="G141" s="139"/>
      <c r="H141" s="139"/>
      <c r="I141" s="139"/>
      <c r="J141" s="139"/>
      <c r="K141" s="139"/>
      <c r="N141" s="139"/>
    </row>
    <row r="142">
      <c r="B142" s="20"/>
      <c r="C142" s="20"/>
      <c r="E142" s="139"/>
      <c r="F142" s="139"/>
      <c r="G142" s="139"/>
      <c r="H142" s="139"/>
      <c r="I142" s="139"/>
      <c r="J142" s="139"/>
      <c r="K142" s="139"/>
      <c r="N142" s="139"/>
    </row>
    <row r="143">
      <c r="B143" s="20"/>
      <c r="C143" s="20"/>
      <c r="E143" s="139"/>
      <c r="F143" s="139"/>
      <c r="G143" s="139"/>
      <c r="H143" s="139"/>
      <c r="I143" s="139"/>
      <c r="J143" s="139"/>
      <c r="K143" s="139"/>
      <c r="N143" s="139"/>
    </row>
    <row r="144">
      <c r="B144" s="20"/>
      <c r="C144" s="20"/>
      <c r="E144" s="139"/>
      <c r="F144" s="139"/>
      <c r="G144" s="139"/>
      <c r="H144" s="139"/>
      <c r="I144" s="139"/>
      <c r="J144" s="139"/>
      <c r="K144" s="139"/>
      <c r="N144" s="139"/>
    </row>
    <row r="145">
      <c r="B145" s="20"/>
      <c r="C145" s="20"/>
      <c r="E145" s="139"/>
      <c r="F145" s="139"/>
      <c r="G145" s="139"/>
      <c r="H145" s="139"/>
      <c r="I145" s="139"/>
      <c r="J145" s="139"/>
      <c r="K145" s="139"/>
      <c r="N145" s="139"/>
    </row>
    <row r="146">
      <c r="B146" s="20"/>
      <c r="C146" s="20"/>
      <c r="E146" s="139"/>
      <c r="F146" s="139"/>
      <c r="G146" s="139"/>
      <c r="H146" s="139"/>
      <c r="I146" s="139"/>
      <c r="J146" s="139"/>
      <c r="K146" s="139"/>
      <c r="N146" s="139"/>
    </row>
    <row r="147">
      <c r="B147" s="20"/>
      <c r="C147" s="20"/>
      <c r="E147" s="139"/>
      <c r="F147" s="139"/>
      <c r="G147" s="139"/>
      <c r="H147" s="139"/>
      <c r="I147" s="139"/>
      <c r="J147" s="139"/>
      <c r="K147" s="139"/>
      <c r="N147" s="139"/>
    </row>
    <row r="148">
      <c r="B148" s="20"/>
      <c r="C148" s="20"/>
      <c r="E148" s="139"/>
      <c r="F148" s="139"/>
      <c r="G148" s="139"/>
      <c r="H148" s="139"/>
      <c r="I148" s="139"/>
      <c r="J148" s="139"/>
      <c r="K148" s="139"/>
      <c r="N148" s="139"/>
    </row>
    <row r="149">
      <c r="B149" s="20"/>
      <c r="C149" s="20"/>
      <c r="E149" s="139"/>
      <c r="F149" s="139"/>
      <c r="G149" s="139"/>
      <c r="H149" s="139"/>
      <c r="I149" s="139"/>
      <c r="J149" s="139"/>
      <c r="K149" s="139"/>
      <c r="N149" s="139"/>
    </row>
    <row r="150">
      <c r="B150" s="20"/>
      <c r="C150" s="20"/>
      <c r="E150" s="139"/>
      <c r="F150" s="139"/>
      <c r="G150" s="139"/>
      <c r="H150" s="139"/>
      <c r="I150" s="139"/>
      <c r="J150" s="139"/>
      <c r="K150" s="139"/>
      <c r="N150" s="139"/>
    </row>
    <row r="151">
      <c r="B151" s="20"/>
      <c r="C151" s="20"/>
      <c r="E151" s="139"/>
      <c r="F151" s="139"/>
      <c r="G151" s="139"/>
      <c r="H151" s="139"/>
      <c r="I151" s="139"/>
      <c r="J151" s="139"/>
      <c r="K151" s="139"/>
      <c r="N151" s="139"/>
    </row>
    <row r="152">
      <c r="B152" s="20"/>
      <c r="C152" s="20"/>
      <c r="E152" s="139"/>
      <c r="F152" s="139"/>
      <c r="G152" s="139"/>
      <c r="H152" s="139"/>
      <c r="I152" s="139"/>
      <c r="J152" s="139"/>
      <c r="K152" s="139"/>
      <c r="N152" s="139"/>
    </row>
    <row r="153">
      <c r="B153" s="20"/>
      <c r="C153" s="20"/>
      <c r="E153" s="139"/>
      <c r="F153" s="139"/>
      <c r="G153" s="139"/>
      <c r="H153" s="139"/>
      <c r="I153" s="139"/>
      <c r="J153" s="139"/>
      <c r="K153" s="139"/>
      <c r="N153" s="139"/>
    </row>
    <row r="154">
      <c r="B154" s="20"/>
      <c r="C154" s="20"/>
      <c r="E154" s="139"/>
      <c r="F154" s="139"/>
      <c r="G154" s="139"/>
      <c r="H154" s="139"/>
      <c r="I154" s="139"/>
      <c r="J154" s="139"/>
      <c r="K154" s="139"/>
      <c r="N154" s="139"/>
    </row>
    <row r="155">
      <c r="B155" s="20"/>
      <c r="C155" s="20"/>
      <c r="E155" s="139"/>
      <c r="F155" s="139"/>
      <c r="G155" s="139"/>
      <c r="H155" s="139"/>
      <c r="I155" s="139"/>
      <c r="J155" s="139"/>
      <c r="K155" s="139"/>
      <c r="N155" s="139"/>
    </row>
    <row r="156">
      <c r="B156" s="20"/>
      <c r="C156" s="20"/>
      <c r="E156" s="139"/>
      <c r="F156" s="139"/>
      <c r="G156" s="139"/>
      <c r="H156" s="139"/>
      <c r="I156" s="139"/>
      <c r="J156" s="139"/>
      <c r="K156" s="139"/>
      <c r="N156" s="139"/>
    </row>
    <row r="157">
      <c r="B157" s="20"/>
      <c r="C157" s="20"/>
      <c r="E157" s="139"/>
      <c r="F157" s="139"/>
      <c r="G157" s="139"/>
      <c r="H157" s="139"/>
      <c r="I157" s="139"/>
      <c r="J157" s="139"/>
      <c r="K157" s="139"/>
      <c r="N157" s="139"/>
    </row>
    <row r="158">
      <c r="B158" s="20"/>
      <c r="C158" s="20"/>
      <c r="E158" s="139"/>
      <c r="F158" s="139"/>
      <c r="G158" s="139"/>
      <c r="H158" s="139"/>
      <c r="I158" s="139"/>
      <c r="J158" s="139"/>
      <c r="K158" s="139"/>
      <c r="N158" s="139"/>
    </row>
    <row r="159">
      <c r="B159" s="20"/>
      <c r="C159" s="20"/>
      <c r="E159" s="139"/>
      <c r="F159" s="139"/>
      <c r="G159" s="139"/>
      <c r="H159" s="139"/>
      <c r="I159" s="139"/>
      <c r="J159" s="139"/>
      <c r="K159" s="139"/>
      <c r="N159" s="139"/>
    </row>
    <row r="160">
      <c r="B160" s="20"/>
      <c r="C160" s="20"/>
      <c r="E160" s="139"/>
      <c r="F160" s="139"/>
      <c r="G160" s="139"/>
      <c r="H160" s="139"/>
      <c r="I160" s="139"/>
      <c r="J160" s="139"/>
      <c r="K160" s="139"/>
      <c r="N160" s="139"/>
    </row>
    <row r="161">
      <c r="B161" s="20"/>
      <c r="C161" s="20"/>
      <c r="E161" s="139"/>
      <c r="F161" s="139"/>
      <c r="G161" s="139"/>
      <c r="H161" s="139"/>
      <c r="I161" s="139"/>
      <c r="J161" s="139"/>
      <c r="K161" s="139"/>
      <c r="N161" s="139"/>
    </row>
    <row r="162">
      <c r="B162" s="20"/>
      <c r="C162" s="20"/>
      <c r="E162" s="139"/>
      <c r="F162" s="139"/>
      <c r="G162" s="139"/>
      <c r="H162" s="139"/>
      <c r="I162" s="139"/>
      <c r="J162" s="139"/>
      <c r="K162" s="139"/>
      <c r="N162" s="139"/>
    </row>
    <row r="163">
      <c r="B163" s="20"/>
      <c r="C163" s="20"/>
      <c r="E163" s="139"/>
      <c r="F163" s="139"/>
      <c r="G163" s="139"/>
      <c r="H163" s="139"/>
      <c r="I163" s="139"/>
      <c r="J163" s="139"/>
      <c r="K163" s="139"/>
      <c r="N163" s="139"/>
    </row>
    <row r="164">
      <c r="B164" s="20"/>
      <c r="C164" s="20"/>
      <c r="E164" s="139"/>
      <c r="F164" s="139"/>
      <c r="G164" s="139"/>
      <c r="H164" s="139"/>
      <c r="I164" s="139"/>
      <c r="J164" s="139"/>
      <c r="K164" s="139"/>
      <c r="N164" s="139"/>
    </row>
    <row r="165">
      <c r="B165" s="20"/>
      <c r="C165" s="20"/>
      <c r="E165" s="139"/>
      <c r="F165" s="139"/>
      <c r="G165" s="139"/>
      <c r="H165" s="139"/>
      <c r="I165" s="139"/>
      <c r="J165" s="139"/>
      <c r="K165" s="139"/>
      <c r="N165" s="139"/>
    </row>
    <row r="166">
      <c r="B166" s="20"/>
      <c r="C166" s="20"/>
      <c r="E166" s="139"/>
      <c r="F166" s="139"/>
      <c r="G166" s="139"/>
      <c r="H166" s="139"/>
      <c r="I166" s="139"/>
      <c r="J166" s="139"/>
      <c r="K166" s="139"/>
      <c r="N166" s="139"/>
    </row>
    <row r="167">
      <c r="B167" s="20"/>
      <c r="C167" s="20"/>
      <c r="E167" s="139"/>
      <c r="F167" s="139"/>
      <c r="G167" s="139"/>
      <c r="H167" s="139"/>
      <c r="I167" s="139"/>
      <c r="J167" s="139"/>
      <c r="K167" s="139"/>
      <c r="N167" s="139"/>
    </row>
    <row r="168">
      <c r="B168" s="20"/>
      <c r="C168" s="20"/>
      <c r="E168" s="139"/>
      <c r="F168" s="139"/>
      <c r="G168" s="139"/>
      <c r="H168" s="139"/>
      <c r="I168" s="139"/>
      <c r="J168" s="139"/>
      <c r="K168" s="139"/>
      <c r="N168" s="139"/>
    </row>
    <row r="169">
      <c r="B169" s="20"/>
      <c r="C169" s="20"/>
      <c r="E169" s="139"/>
      <c r="F169" s="139"/>
      <c r="G169" s="139"/>
      <c r="H169" s="139"/>
      <c r="I169" s="139"/>
      <c r="J169" s="139"/>
      <c r="K169" s="139"/>
      <c r="N169" s="139"/>
    </row>
    <row r="170">
      <c r="B170" s="20"/>
      <c r="C170" s="20"/>
      <c r="E170" s="139"/>
      <c r="F170" s="139"/>
      <c r="G170" s="139"/>
      <c r="H170" s="139"/>
      <c r="I170" s="139"/>
      <c r="J170" s="139"/>
      <c r="K170" s="139"/>
      <c r="N170" s="139"/>
    </row>
    <row r="171">
      <c r="B171" s="20"/>
      <c r="C171" s="20"/>
      <c r="E171" s="139"/>
      <c r="F171" s="139"/>
      <c r="G171" s="139"/>
      <c r="H171" s="139"/>
      <c r="I171" s="139"/>
      <c r="J171" s="139"/>
      <c r="K171" s="139"/>
      <c r="N171" s="139"/>
    </row>
    <row r="172">
      <c r="B172" s="20"/>
      <c r="C172" s="20"/>
      <c r="E172" s="139"/>
      <c r="F172" s="139"/>
      <c r="G172" s="139"/>
      <c r="H172" s="139"/>
      <c r="I172" s="139"/>
      <c r="J172" s="139"/>
      <c r="K172" s="139"/>
      <c r="N172" s="139"/>
    </row>
    <row r="173">
      <c r="B173" s="20"/>
      <c r="C173" s="20"/>
      <c r="E173" s="139"/>
      <c r="F173" s="139"/>
      <c r="G173" s="139"/>
      <c r="H173" s="139"/>
      <c r="I173" s="139"/>
      <c r="J173" s="139"/>
      <c r="K173" s="139"/>
      <c r="N173" s="139"/>
    </row>
    <row r="174">
      <c r="B174" s="20"/>
      <c r="C174" s="20"/>
      <c r="E174" s="139"/>
      <c r="F174" s="139"/>
      <c r="G174" s="139"/>
      <c r="H174" s="139"/>
      <c r="I174" s="139"/>
      <c r="J174" s="139"/>
      <c r="K174" s="139"/>
      <c r="N174" s="139"/>
    </row>
    <row r="175">
      <c r="B175" s="20"/>
      <c r="C175" s="20"/>
      <c r="E175" s="139"/>
      <c r="F175" s="139"/>
      <c r="G175" s="139"/>
      <c r="H175" s="139"/>
      <c r="I175" s="139"/>
      <c r="J175" s="139"/>
      <c r="K175" s="139"/>
      <c r="N175" s="139"/>
    </row>
    <row r="176">
      <c r="B176" s="20"/>
      <c r="C176" s="20"/>
      <c r="E176" s="139"/>
      <c r="F176" s="139"/>
      <c r="G176" s="139"/>
      <c r="H176" s="139"/>
      <c r="I176" s="139"/>
      <c r="J176" s="139"/>
      <c r="K176" s="139"/>
      <c r="N176" s="139"/>
    </row>
    <row r="177">
      <c r="B177" s="20"/>
      <c r="C177" s="20"/>
      <c r="E177" s="139"/>
      <c r="F177" s="139"/>
      <c r="G177" s="139"/>
      <c r="H177" s="139"/>
      <c r="I177" s="139"/>
      <c r="J177" s="139"/>
      <c r="K177" s="139"/>
      <c r="N177" s="139"/>
    </row>
    <row r="178">
      <c r="B178" s="20"/>
      <c r="C178" s="20"/>
      <c r="E178" s="139"/>
      <c r="F178" s="139"/>
      <c r="G178" s="139"/>
      <c r="H178" s="139"/>
      <c r="I178" s="139"/>
      <c r="J178" s="139"/>
      <c r="K178" s="139"/>
      <c r="N178" s="139"/>
    </row>
    <row r="179">
      <c r="B179" s="20"/>
      <c r="C179" s="20"/>
      <c r="E179" s="139"/>
      <c r="F179" s="139"/>
      <c r="G179" s="139"/>
      <c r="H179" s="139"/>
      <c r="I179" s="139"/>
      <c r="J179" s="139"/>
      <c r="K179" s="139"/>
      <c r="N179" s="139"/>
    </row>
    <row r="180">
      <c r="B180" s="20"/>
      <c r="C180" s="20"/>
      <c r="E180" s="139"/>
      <c r="F180" s="139"/>
      <c r="G180" s="139"/>
      <c r="H180" s="139"/>
      <c r="I180" s="139"/>
      <c r="J180" s="139"/>
      <c r="K180" s="139"/>
      <c r="N180" s="139"/>
    </row>
    <row r="181">
      <c r="B181" s="20"/>
      <c r="C181" s="20"/>
      <c r="E181" s="139"/>
      <c r="F181" s="139"/>
      <c r="G181" s="139"/>
      <c r="H181" s="139"/>
      <c r="I181" s="139"/>
      <c r="J181" s="139"/>
      <c r="K181" s="139"/>
      <c r="N181" s="139"/>
    </row>
    <row r="182">
      <c r="B182" s="20"/>
      <c r="C182" s="20"/>
      <c r="E182" s="139"/>
      <c r="F182" s="139"/>
      <c r="G182" s="139"/>
      <c r="H182" s="139"/>
      <c r="I182" s="139"/>
      <c r="J182" s="139"/>
      <c r="K182" s="139"/>
      <c r="N182" s="139"/>
    </row>
    <row r="183">
      <c r="B183" s="20"/>
      <c r="C183" s="20"/>
      <c r="E183" s="139"/>
      <c r="F183" s="139"/>
      <c r="G183" s="139"/>
      <c r="H183" s="139"/>
      <c r="I183" s="139"/>
      <c r="J183" s="139"/>
      <c r="K183" s="139"/>
      <c r="N183" s="139"/>
    </row>
    <row r="184">
      <c r="B184" s="20"/>
      <c r="C184" s="20"/>
      <c r="E184" s="139"/>
      <c r="F184" s="139"/>
      <c r="G184" s="139"/>
      <c r="H184" s="139"/>
      <c r="I184" s="139"/>
      <c r="J184" s="139"/>
      <c r="K184" s="139"/>
      <c r="N184" s="139"/>
    </row>
    <row r="185">
      <c r="B185" s="20"/>
      <c r="C185" s="20"/>
      <c r="E185" s="139"/>
      <c r="F185" s="139"/>
      <c r="G185" s="139"/>
      <c r="H185" s="139"/>
      <c r="I185" s="139"/>
      <c r="J185" s="139"/>
      <c r="K185" s="139"/>
      <c r="N185" s="139"/>
    </row>
    <row r="186">
      <c r="B186" s="20"/>
      <c r="C186" s="20"/>
      <c r="E186" s="139"/>
      <c r="F186" s="139"/>
      <c r="G186" s="139"/>
      <c r="H186" s="139"/>
      <c r="I186" s="139"/>
      <c r="J186" s="139"/>
      <c r="K186" s="139"/>
      <c r="N186" s="139"/>
    </row>
    <row r="187">
      <c r="B187" s="20"/>
      <c r="C187" s="20"/>
      <c r="E187" s="139"/>
      <c r="F187" s="139"/>
      <c r="G187" s="139"/>
      <c r="H187" s="139"/>
      <c r="I187" s="139"/>
      <c r="J187" s="139"/>
      <c r="K187" s="139"/>
      <c r="N187" s="139"/>
    </row>
    <row r="188">
      <c r="B188" s="20"/>
      <c r="C188" s="20"/>
      <c r="E188" s="139"/>
      <c r="F188" s="139"/>
      <c r="G188" s="139"/>
      <c r="H188" s="139"/>
      <c r="I188" s="139"/>
      <c r="J188" s="139"/>
      <c r="K188" s="139"/>
      <c r="N188" s="139"/>
    </row>
    <row r="189">
      <c r="B189" s="20"/>
      <c r="C189" s="20"/>
      <c r="E189" s="139"/>
      <c r="F189" s="139"/>
      <c r="G189" s="139"/>
      <c r="H189" s="139"/>
      <c r="I189" s="139"/>
      <c r="J189" s="139"/>
      <c r="K189" s="139"/>
      <c r="N189" s="139"/>
    </row>
    <row r="190">
      <c r="B190" s="20"/>
      <c r="C190" s="20"/>
      <c r="E190" s="139"/>
      <c r="F190" s="139"/>
      <c r="G190" s="139"/>
      <c r="H190" s="139"/>
      <c r="I190" s="139"/>
      <c r="J190" s="139"/>
      <c r="K190" s="139"/>
      <c r="N190" s="139"/>
    </row>
    <row r="191">
      <c r="B191" s="20"/>
      <c r="C191" s="20"/>
      <c r="E191" s="139"/>
      <c r="F191" s="139"/>
      <c r="G191" s="139"/>
      <c r="H191" s="139"/>
      <c r="I191" s="139"/>
      <c r="J191" s="139"/>
      <c r="K191" s="139"/>
      <c r="N191" s="139"/>
    </row>
    <row r="192">
      <c r="B192" s="20"/>
      <c r="C192" s="20"/>
      <c r="E192" s="139"/>
      <c r="F192" s="139"/>
      <c r="G192" s="139"/>
      <c r="H192" s="139"/>
      <c r="I192" s="139"/>
      <c r="J192" s="139"/>
      <c r="K192" s="139"/>
      <c r="N192" s="139"/>
    </row>
    <row r="193">
      <c r="B193" s="20"/>
      <c r="C193" s="20"/>
      <c r="E193" s="139"/>
      <c r="F193" s="139"/>
      <c r="G193" s="139"/>
      <c r="H193" s="139"/>
      <c r="I193" s="139"/>
      <c r="J193" s="139"/>
      <c r="K193" s="139"/>
      <c r="N193" s="139"/>
    </row>
    <row r="194">
      <c r="B194" s="20"/>
      <c r="C194" s="20"/>
      <c r="E194" s="139"/>
      <c r="F194" s="139"/>
      <c r="G194" s="139"/>
      <c r="H194" s="139"/>
      <c r="I194" s="139"/>
      <c r="J194" s="139"/>
      <c r="K194" s="139"/>
      <c r="N194" s="139"/>
    </row>
    <row r="195">
      <c r="B195" s="20"/>
      <c r="C195" s="20"/>
      <c r="E195" s="139"/>
      <c r="F195" s="139"/>
      <c r="G195" s="139"/>
      <c r="H195" s="139"/>
      <c r="I195" s="139"/>
      <c r="J195" s="139"/>
      <c r="K195" s="139"/>
      <c r="N195" s="139"/>
    </row>
    <row r="196">
      <c r="B196" s="20"/>
      <c r="C196" s="20"/>
      <c r="E196" s="139"/>
      <c r="F196" s="139"/>
      <c r="G196" s="139"/>
      <c r="H196" s="139"/>
      <c r="I196" s="139"/>
      <c r="J196" s="139"/>
      <c r="K196" s="139"/>
      <c r="N196" s="139"/>
    </row>
    <row r="197">
      <c r="B197" s="20"/>
      <c r="C197" s="20"/>
      <c r="E197" s="139"/>
      <c r="F197" s="139"/>
      <c r="G197" s="139"/>
      <c r="H197" s="139"/>
      <c r="I197" s="139"/>
      <c r="J197" s="139"/>
      <c r="K197" s="139"/>
      <c r="N197" s="139"/>
    </row>
    <row r="198">
      <c r="B198" s="20"/>
      <c r="C198" s="20"/>
      <c r="E198" s="139"/>
      <c r="F198" s="139"/>
      <c r="G198" s="139"/>
      <c r="H198" s="139"/>
      <c r="I198" s="139"/>
      <c r="J198" s="139"/>
      <c r="K198" s="139"/>
      <c r="N198" s="139"/>
    </row>
    <row r="199">
      <c r="B199" s="20"/>
      <c r="C199" s="20"/>
      <c r="E199" s="139"/>
      <c r="F199" s="139"/>
      <c r="G199" s="139"/>
      <c r="H199" s="139"/>
      <c r="I199" s="139"/>
      <c r="J199" s="139"/>
      <c r="K199" s="139"/>
      <c r="N199" s="139"/>
    </row>
    <row r="200">
      <c r="B200" s="20"/>
      <c r="C200" s="20"/>
      <c r="E200" s="139"/>
      <c r="F200" s="139"/>
      <c r="G200" s="139"/>
      <c r="H200" s="139"/>
      <c r="I200" s="139"/>
      <c r="J200" s="139"/>
      <c r="K200" s="139"/>
      <c r="N200" s="139"/>
    </row>
    <row r="201">
      <c r="B201" s="20"/>
      <c r="C201" s="20"/>
      <c r="E201" s="139"/>
      <c r="F201" s="139"/>
      <c r="G201" s="139"/>
      <c r="H201" s="139"/>
      <c r="I201" s="139"/>
      <c r="J201" s="139"/>
      <c r="K201" s="139"/>
      <c r="N201" s="139"/>
    </row>
    <row r="202">
      <c r="B202" s="20"/>
      <c r="C202" s="20"/>
      <c r="E202" s="139"/>
      <c r="F202" s="139"/>
      <c r="G202" s="139"/>
      <c r="H202" s="139"/>
      <c r="I202" s="139"/>
      <c r="J202" s="139"/>
      <c r="K202" s="139"/>
      <c r="N202" s="139"/>
    </row>
    <row r="203">
      <c r="B203" s="20"/>
      <c r="C203" s="20"/>
      <c r="E203" s="139"/>
      <c r="F203" s="139"/>
      <c r="G203" s="139"/>
      <c r="H203" s="139"/>
      <c r="I203" s="139"/>
      <c r="J203" s="139"/>
      <c r="K203" s="139"/>
      <c r="N203" s="139"/>
    </row>
    <row r="204">
      <c r="B204" s="20"/>
      <c r="C204" s="20"/>
      <c r="E204" s="139"/>
      <c r="F204" s="139"/>
      <c r="G204" s="139"/>
      <c r="H204" s="139"/>
      <c r="I204" s="139"/>
      <c r="J204" s="139"/>
      <c r="K204" s="139"/>
      <c r="N204" s="139"/>
    </row>
    <row r="205">
      <c r="B205" s="20"/>
      <c r="C205" s="20"/>
      <c r="E205" s="139"/>
      <c r="F205" s="139"/>
      <c r="G205" s="139"/>
      <c r="H205" s="139"/>
      <c r="I205" s="139"/>
      <c r="J205" s="139"/>
      <c r="K205" s="139"/>
      <c r="N205" s="139"/>
    </row>
    <row r="206">
      <c r="B206" s="20"/>
      <c r="C206" s="20"/>
      <c r="E206" s="139"/>
      <c r="F206" s="139"/>
      <c r="G206" s="139"/>
      <c r="H206" s="139"/>
      <c r="I206" s="139"/>
      <c r="J206" s="139"/>
      <c r="K206" s="139"/>
      <c r="N206" s="139"/>
    </row>
    <row r="207">
      <c r="B207" s="20"/>
      <c r="C207" s="20"/>
      <c r="E207" s="139"/>
      <c r="F207" s="139"/>
      <c r="G207" s="139"/>
      <c r="H207" s="139"/>
      <c r="I207" s="139"/>
      <c r="J207" s="139"/>
      <c r="K207" s="139"/>
      <c r="N207" s="139"/>
    </row>
    <row r="208">
      <c r="B208" s="20"/>
      <c r="C208" s="20"/>
      <c r="E208" s="139"/>
      <c r="F208" s="139"/>
      <c r="G208" s="139"/>
      <c r="H208" s="139"/>
      <c r="I208" s="139"/>
      <c r="J208" s="139"/>
      <c r="K208" s="139"/>
      <c r="N208" s="139"/>
    </row>
    <row r="209">
      <c r="B209" s="20"/>
      <c r="C209" s="20"/>
      <c r="E209" s="139"/>
      <c r="F209" s="139"/>
      <c r="G209" s="139"/>
      <c r="H209" s="139"/>
      <c r="I209" s="139"/>
      <c r="J209" s="139"/>
      <c r="K209" s="139"/>
      <c r="N209" s="139"/>
    </row>
    <row r="210">
      <c r="B210" s="20"/>
      <c r="C210" s="20"/>
      <c r="E210" s="139"/>
      <c r="F210" s="139"/>
      <c r="G210" s="139"/>
      <c r="H210" s="139"/>
      <c r="I210" s="139"/>
      <c r="J210" s="139"/>
      <c r="K210" s="139"/>
      <c r="N210" s="139"/>
    </row>
    <row r="211">
      <c r="B211" s="20"/>
      <c r="C211" s="20"/>
      <c r="E211" s="139"/>
      <c r="F211" s="139"/>
      <c r="G211" s="139"/>
      <c r="H211" s="139"/>
      <c r="I211" s="139"/>
      <c r="J211" s="139"/>
      <c r="K211" s="139"/>
      <c r="N211" s="139"/>
    </row>
    <row r="212">
      <c r="B212" s="20"/>
      <c r="C212" s="20"/>
      <c r="E212" s="139"/>
      <c r="F212" s="139"/>
      <c r="G212" s="139"/>
      <c r="H212" s="139"/>
      <c r="I212" s="139"/>
      <c r="J212" s="139"/>
      <c r="K212" s="139"/>
      <c r="N212" s="139"/>
    </row>
    <row r="213">
      <c r="B213" s="20"/>
      <c r="C213" s="20"/>
      <c r="E213" s="139"/>
      <c r="F213" s="139"/>
      <c r="G213" s="139"/>
      <c r="H213" s="139"/>
      <c r="I213" s="139"/>
      <c r="J213" s="139"/>
      <c r="K213" s="139"/>
      <c r="N213" s="139"/>
    </row>
    <row r="214">
      <c r="B214" s="20"/>
      <c r="C214" s="20"/>
      <c r="E214" s="139"/>
      <c r="F214" s="139"/>
      <c r="G214" s="139"/>
      <c r="H214" s="139"/>
      <c r="I214" s="139"/>
      <c r="J214" s="139"/>
      <c r="K214" s="139"/>
      <c r="N214" s="139"/>
    </row>
    <row r="215">
      <c r="B215" s="20"/>
      <c r="C215" s="20"/>
      <c r="E215" s="139"/>
      <c r="F215" s="139"/>
      <c r="G215" s="139"/>
      <c r="H215" s="139"/>
      <c r="I215" s="139"/>
      <c r="J215" s="139"/>
      <c r="K215" s="139"/>
      <c r="N215" s="139"/>
    </row>
    <row r="216">
      <c r="B216" s="20"/>
      <c r="C216" s="20"/>
      <c r="E216" s="139"/>
      <c r="F216" s="139"/>
      <c r="G216" s="139"/>
      <c r="H216" s="139"/>
      <c r="I216" s="139"/>
      <c r="J216" s="139"/>
      <c r="K216" s="139"/>
      <c r="N216" s="139"/>
    </row>
    <row r="217">
      <c r="B217" s="20"/>
      <c r="C217" s="20"/>
      <c r="E217" s="139"/>
      <c r="F217" s="139"/>
      <c r="G217" s="139"/>
      <c r="H217" s="139"/>
      <c r="I217" s="139"/>
      <c r="J217" s="139"/>
      <c r="K217" s="139"/>
      <c r="N217" s="139"/>
    </row>
    <row r="218">
      <c r="B218" s="20"/>
      <c r="C218" s="20"/>
      <c r="E218" s="139"/>
      <c r="F218" s="139"/>
      <c r="G218" s="139"/>
      <c r="H218" s="139"/>
      <c r="I218" s="139"/>
      <c r="J218" s="139"/>
      <c r="K218" s="139"/>
      <c r="N218" s="139"/>
    </row>
    <row r="219">
      <c r="B219" s="20"/>
      <c r="C219" s="20"/>
      <c r="E219" s="139"/>
      <c r="F219" s="139"/>
      <c r="G219" s="139"/>
      <c r="H219" s="139"/>
      <c r="I219" s="139"/>
      <c r="J219" s="139"/>
      <c r="K219" s="139"/>
      <c r="N219" s="139"/>
    </row>
    <row r="220">
      <c r="B220" s="20"/>
      <c r="C220" s="20"/>
      <c r="E220" s="139"/>
      <c r="F220" s="139"/>
      <c r="G220" s="139"/>
      <c r="H220" s="139"/>
      <c r="I220" s="139"/>
      <c r="J220" s="139"/>
      <c r="K220" s="139"/>
      <c r="N220" s="139"/>
    </row>
    <row r="221">
      <c r="B221" s="20"/>
      <c r="C221" s="20"/>
      <c r="E221" s="139"/>
      <c r="F221" s="139"/>
      <c r="G221" s="139"/>
      <c r="H221" s="139"/>
      <c r="I221" s="139"/>
      <c r="J221" s="139"/>
      <c r="K221" s="139"/>
      <c r="N221" s="139"/>
    </row>
    <row r="222">
      <c r="B222" s="20"/>
      <c r="C222" s="20"/>
      <c r="E222" s="139"/>
      <c r="F222" s="139"/>
      <c r="G222" s="139"/>
      <c r="H222" s="139"/>
      <c r="I222" s="139"/>
      <c r="J222" s="139"/>
      <c r="K222" s="139"/>
      <c r="N222" s="139"/>
    </row>
    <row r="223">
      <c r="B223" s="20"/>
      <c r="C223" s="20"/>
      <c r="E223" s="139"/>
      <c r="F223" s="139"/>
      <c r="G223" s="139"/>
      <c r="H223" s="139"/>
      <c r="I223" s="139"/>
      <c r="J223" s="139"/>
      <c r="K223" s="139"/>
      <c r="N223" s="139"/>
    </row>
    <row r="224">
      <c r="B224" s="20"/>
      <c r="C224" s="20"/>
      <c r="E224" s="139"/>
      <c r="F224" s="139"/>
      <c r="G224" s="139"/>
      <c r="H224" s="139"/>
      <c r="I224" s="139"/>
      <c r="J224" s="139"/>
      <c r="K224" s="139"/>
      <c r="N224" s="139"/>
    </row>
    <row r="225">
      <c r="B225" s="20"/>
      <c r="C225" s="20"/>
      <c r="E225" s="139"/>
      <c r="F225" s="139"/>
      <c r="G225" s="139"/>
      <c r="H225" s="139"/>
      <c r="I225" s="139"/>
      <c r="J225" s="139"/>
      <c r="K225" s="139"/>
      <c r="N225" s="139"/>
    </row>
    <row r="226">
      <c r="B226" s="20"/>
      <c r="C226" s="20"/>
      <c r="E226" s="139"/>
      <c r="F226" s="139"/>
      <c r="G226" s="139"/>
      <c r="H226" s="139"/>
      <c r="I226" s="139"/>
      <c r="J226" s="139"/>
      <c r="K226" s="139"/>
      <c r="N226" s="139"/>
    </row>
    <row r="227">
      <c r="B227" s="20"/>
      <c r="C227" s="20"/>
      <c r="E227" s="139"/>
      <c r="F227" s="139"/>
      <c r="G227" s="139"/>
      <c r="H227" s="139"/>
      <c r="I227" s="139"/>
      <c r="J227" s="139"/>
      <c r="K227" s="139"/>
      <c r="N227" s="139"/>
    </row>
    <row r="228">
      <c r="B228" s="20"/>
      <c r="C228" s="20"/>
      <c r="E228" s="139"/>
      <c r="F228" s="139"/>
      <c r="G228" s="139"/>
      <c r="H228" s="139"/>
      <c r="I228" s="139"/>
      <c r="J228" s="139"/>
      <c r="K228" s="139"/>
      <c r="N228" s="139"/>
    </row>
    <row r="229">
      <c r="B229" s="20"/>
      <c r="C229" s="20"/>
      <c r="E229" s="139"/>
      <c r="F229" s="139"/>
      <c r="G229" s="139"/>
      <c r="H229" s="139"/>
      <c r="I229" s="139"/>
      <c r="J229" s="139"/>
      <c r="K229" s="139"/>
      <c r="N229" s="139"/>
    </row>
    <row r="230">
      <c r="B230" s="20"/>
      <c r="C230" s="20"/>
      <c r="E230" s="139"/>
      <c r="F230" s="139"/>
      <c r="G230" s="139"/>
      <c r="H230" s="139"/>
      <c r="I230" s="139"/>
      <c r="J230" s="139"/>
      <c r="K230" s="139"/>
      <c r="N230" s="139"/>
    </row>
    <row r="231">
      <c r="B231" s="20"/>
      <c r="C231" s="20"/>
      <c r="E231" s="139"/>
      <c r="F231" s="139"/>
      <c r="G231" s="139"/>
      <c r="H231" s="139"/>
      <c r="I231" s="139"/>
      <c r="J231" s="139"/>
      <c r="K231" s="139"/>
      <c r="N231" s="139"/>
    </row>
    <row r="232">
      <c r="B232" s="20"/>
      <c r="C232" s="20"/>
      <c r="E232" s="139"/>
      <c r="F232" s="139"/>
      <c r="G232" s="139"/>
      <c r="H232" s="139"/>
      <c r="I232" s="139"/>
      <c r="J232" s="139"/>
      <c r="K232" s="139"/>
      <c r="N232" s="139"/>
    </row>
    <row r="233">
      <c r="B233" s="20"/>
      <c r="C233" s="20"/>
      <c r="E233" s="139"/>
      <c r="F233" s="139"/>
      <c r="G233" s="139"/>
      <c r="H233" s="139"/>
      <c r="I233" s="139"/>
      <c r="J233" s="139"/>
      <c r="K233" s="139"/>
      <c r="N233" s="139"/>
    </row>
    <row r="234">
      <c r="B234" s="20"/>
      <c r="C234" s="20"/>
      <c r="E234" s="139"/>
      <c r="F234" s="139"/>
      <c r="G234" s="139"/>
      <c r="H234" s="139"/>
      <c r="I234" s="139"/>
      <c r="J234" s="139"/>
      <c r="K234" s="139"/>
      <c r="N234" s="139"/>
    </row>
    <row r="235">
      <c r="B235" s="20"/>
      <c r="C235" s="20"/>
      <c r="E235" s="139"/>
      <c r="F235" s="139"/>
      <c r="G235" s="139"/>
      <c r="H235" s="139"/>
      <c r="I235" s="139"/>
      <c r="J235" s="139"/>
      <c r="K235" s="139"/>
      <c r="N235" s="139"/>
    </row>
    <row r="236">
      <c r="B236" s="20"/>
      <c r="C236" s="20"/>
      <c r="E236" s="139"/>
      <c r="F236" s="139"/>
      <c r="G236" s="139"/>
      <c r="H236" s="139"/>
      <c r="I236" s="139"/>
      <c r="J236" s="139"/>
      <c r="K236" s="139"/>
      <c r="N236" s="139"/>
    </row>
    <row r="237">
      <c r="B237" s="20"/>
      <c r="C237" s="20"/>
      <c r="E237" s="139"/>
      <c r="F237" s="139"/>
      <c r="G237" s="139"/>
      <c r="H237" s="139"/>
      <c r="I237" s="139"/>
      <c r="J237" s="139"/>
      <c r="K237" s="139"/>
      <c r="N237" s="139"/>
    </row>
    <row r="238">
      <c r="B238" s="20"/>
      <c r="C238" s="20"/>
      <c r="E238" s="139"/>
      <c r="F238" s="139"/>
      <c r="G238" s="139"/>
      <c r="H238" s="139"/>
      <c r="I238" s="139"/>
      <c r="J238" s="139"/>
      <c r="K238" s="139"/>
      <c r="N238" s="139"/>
    </row>
    <row r="239">
      <c r="B239" s="20"/>
      <c r="C239" s="20"/>
      <c r="E239" s="139"/>
      <c r="F239" s="139"/>
      <c r="G239" s="139"/>
      <c r="H239" s="139"/>
      <c r="I239" s="139"/>
      <c r="J239" s="139"/>
      <c r="K239" s="139"/>
      <c r="N239" s="139"/>
    </row>
    <row r="240">
      <c r="B240" s="20"/>
      <c r="C240" s="20"/>
      <c r="E240" s="139"/>
      <c r="F240" s="139"/>
      <c r="G240" s="139"/>
      <c r="H240" s="139"/>
      <c r="I240" s="139"/>
      <c r="J240" s="139"/>
      <c r="K240" s="139"/>
      <c r="N240" s="139"/>
    </row>
    <row r="241">
      <c r="B241" s="20"/>
      <c r="C241" s="20"/>
      <c r="E241" s="139"/>
      <c r="F241" s="139"/>
      <c r="G241" s="139"/>
      <c r="H241" s="139"/>
      <c r="I241" s="139"/>
      <c r="J241" s="139"/>
      <c r="K241" s="139"/>
      <c r="N241" s="139"/>
    </row>
    <row r="242">
      <c r="B242" s="20"/>
      <c r="C242" s="20"/>
      <c r="E242" s="139"/>
      <c r="F242" s="139"/>
      <c r="G242" s="139"/>
      <c r="H242" s="139"/>
      <c r="I242" s="139"/>
      <c r="J242" s="139"/>
      <c r="K242" s="139"/>
      <c r="N242" s="139"/>
    </row>
    <row r="243">
      <c r="B243" s="20"/>
      <c r="C243" s="20"/>
      <c r="E243" s="139"/>
      <c r="F243" s="139"/>
      <c r="G243" s="139"/>
      <c r="H243" s="139"/>
      <c r="I243" s="139"/>
      <c r="J243" s="139"/>
      <c r="K243" s="139"/>
      <c r="N243" s="139"/>
    </row>
    <row r="244">
      <c r="B244" s="20"/>
      <c r="C244" s="20"/>
      <c r="E244" s="139"/>
      <c r="F244" s="139"/>
      <c r="G244" s="139"/>
      <c r="H244" s="139"/>
      <c r="I244" s="139"/>
      <c r="J244" s="139"/>
      <c r="K244" s="139"/>
      <c r="N244" s="139"/>
    </row>
    <row r="245">
      <c r="B245" s="20"/>
      <c r="C245" s="20"/>
      <c r="E245" s="139"/>
      <c r="F245" s="139"/>
      <c r="G245" s="139"/>
      <c r="H245" s="139"/>
      <c r="I245" s="139"/>
      <c r="J245" s="139"/>
      <c r="K245" s="139"/>
      <c r="N245" s="139"/>
    </row>
    <row r="246">
      <c r="B246" s="20"/>
      <c r="C246" s="20"/>
      <c r="E246" s="139"/>
      <c r="F246" s="139"/>
      <c r="G246" s="139"/>
      <c r="H246" s="139"/>
      <c r="I246" s="139"/>
      <c r="J246" s="139"/>
      <c r="K246" s="139"/>
      <c r="N246" s="139"/>
    </row>
    <row r="247">
      <c r="B247" s="20"/>
      <c r="C247" s="20"/>
      <c r="E247" s="139"/>
      <c r="F247" s="139"/>
      <c r="G247" s="139"/>
      <c r="H247" s="139"/>
      <c r="I247" s="139"/>
      <c r="J247" s="139"/>
      <c r="K247" s="139"/>
      <c r="N247" s="139"/>
    </row>
    <row r="248">
      <c r="B248" s="20"/>
      <c r="C248" s="20"/>
      <c r="E248" s="139"/>
      <c r="F248" s="139"/>
      <c r="G248" s="139"/>
      <c r="H248" s="139"/>
      <c r="I248" s="139"/>
      <c r="J248" s="139"/>
      <c r="K248" s="139"/>
      <c r="N248" s="139"/>
    </row>
    <row r="249">
      <c r="B249" s="20"/>
      <c r="C249" s="20"/>
      <c r="E249" s="139"/>
      <c r="F249" s="139"/>
      <c r="G249" s="139"/>
      <c r="H249" s="139"/>
      <c r="I249" s="139"/>
      <c r="J249" s="139"/>
      <c r="K249" s="139"/>
      <c r="N249" s="139"/>
    </row>
    <row r="250">
      <c r="B250" s="20"/>
      <c r="C250" s="20"/>
      <c r="E250" s="139"/>
      <c r="F250" s="139"/>
      <c r="G250" s="139"/>
      <c r="H250" s="139"/>
      <c r="I250" s="139"/>
      <c r="J250" s="139"/>
      <c r="K250" s="139"/>
      <c r="N250" s="139"/>
    </row>
    <row r="251">
      <c r="B251" s="20"/>
      <c r="C251" s="20"/>
      <c r="E251" s="139"/>
      <c r="F251" s="139"/>
      <c r="G251" s="139"/>
      <c r="H251" s="139"/>
      <c r="I251" s="139"/>
      <c r="J251" s="139"/>
      <c r="K251" s="139"/>
      <c r="N251" s="139"/>
    </row>
    <row r="252">
      <c r="B252" s="20"/>
      <c r="C252" s="20"/>
      <c r="E252" s="139"/>
      <c r="F252" s="139"/>
      <c r="G252" s="139"/>
      <c r="H252" s="139"/>
      <c r="I252" s="139"/>
      <c r="J252" s="139"/>
      <c r="K252" s="139"/>
      <c r="N252" s="139"/>
    </row>
    <row r="253">
      <c r="B253" s="20"/>
      <c r="C253" s="20"/>
      <c r="E253" s="139"/>
      <c r="F253" s="139"/>
      <c r="G253" s="139"/>
      <c r="H253" s="139"/>
      <c r="I253" s="139"/>
      <c r="J253" s="139"/>
      <c r="K253" s="139"/>
      <c r="N253" s="139"/>
    </row>
    <row r="254">
      <c r="B254" s="20"/>
      <c r="C254" s="20"/>
      <c r="E254" s="139"/>
      <c r="F254" s="139"/>
      <c r="G254" s="139"/>
      <c r="H254" s="139"/>
      <c r="I254" s="139"/>
      <c r="J254" s="139"/>
      <c r="K254" s="139"/>
      <c r="N254" s="139"/>
    </row>
    <row r="255">
      <c r="B255" s="20"/>
      <c r="C255" s="20"/>
      <c r="E255" s="139"/>
      <c r="F255" s="139"/>
      <c r="G255" s="139"/>
      <c r="H255" s="139"/>
      <c r="I255" s="139"/>
      <c r="J255" s="139"/>
      <c r="K255" s="139"/>
      <c r="N255" s="139"/>
    </row>
    <row r="256">
      <c r="B256" s="20"/>
      <c r="C256" s="20"/>
      <c r="E256" s="139"/>
      <c r="F256" s="139"/>
      <c r="G256" s="139"/>
      <c r="H256" s="139"/>
      <c r="I256" s="139"/>
      <c r="J256" s="139"/>
      <c r="K256" s="139"/>
      <c r="N256" s="139"/>
    </row>
    <row r="257">
      <c r="B257" s="20"/>
      <c r="C257" s="20"/>
      <c r="E257" s="139"/>
      <c r="F257" s="139"/>
      <c r="G257" s="139"/>
      <c r="H257" s="139"/>
      <c r="I257" s="139"/>
      <c r="J257" s="139"/>
      <c r="K257" s="139"/>
      <c r="N257" s="139"/>
    </row>
    <row r="258">
      <c r="B258" s="20"/>
      <c r="C258" s="20"/>
      <c r="E258" s="139"/>
      <c r="F258" s="139"/>
      <c r="G258" s="139"/>
      <c r="H258" s="139"/>
      <c r="I258" s="139"/>
      <c r="J258" s="139"/>
      <c r="K258" s="139"/>
      <c r="N258" s="139"/>
    </row>
    <row r="259">
      <c r="B259" s="20"/>
      <c r="C259" s="20"/>
      <c r="E259" s="139"/>
      <c r="F259" s="139"/>
      <c r="G259" s="139"/>
      <c r="H259" s="139"/>
      <c r="I259" s="139"/>
      <c r="J259" s="139"/>
      <c r="K259" s="139"/>
      <c r="N259" s="139"/>
    </row>
    <row r="260">
      <c r="B260" s="20"/>
      <c r="C260" s="20"/>
      <c r="E260" s="139"/>
      <c r="F260" s="139"/>
      <c r="G260" s="139"/>
      <c r="H260" s="139"/>
      <c r="I260" s="139"/>
      <c r="J260" s="139"/>
      <c r="K260" s="139"/>
      <c r="N260" s="139"/>
    </row>
    <row r="261">
      <c r="B261" s="20"/>
      <c r="C261" s="20"/>
      <c r="E261" s="139"/>
      <c r="F261" s="139"/>
      <c r="G261" s="139"/>
      <c r="H261" s="139"/>
      <c r="I261" s="139"/>
      <c r="J261" s="139"/>
      <c r="K261" s="139"/>
      <c r="N261" s="139"/>
    </row>
    <row r="262">
      <c r="B262" s="20"/>
      <c r="C262" s="20"/>
      <c r="E262" s="139"/>
      <c r="F262" s="139"/>
      <c r="G262" s="139"/>
      <c r="H262" s="139"/>
      <c r="I262" s="139"/>
      <c r="J262" s="139"/>
      <c r="K262" s="139"/>
      <c r="N262" s="139"/>
    </row>
    <row r="263">
      <c r="B263" s="20"/>
      <c r="C263" s="20"/>
      <c r="E263" s="139"/>
      <c r="F263" s="139"/>
      <c r="G263" s="139"/>
      <c r="H263" s="139"/>
      <c r="I263" s="139"/>
      <c r="J263" s="139"/>
      <c r="K263" s="139"/>
      <c r="N263" s="139"/>
    </row>
    <row r="264">
      <c r="B264" s="20"/>
      <c r="C264" s="20"/>
      <c r="E264" s="139"/>
      <c r="F264" s="139"/>
      <c r="G264" s="139"/>
      <c r="H264" s="139"/>
      <c r="I264" s="139"/>
      <c r="J264" s="139"/>
      <c r="K264" s="139"/>
      <c r="N264" s="139"/>
    </row>
    <row r="265">
      <c r="B265" s="20"/>
      <c r="C265" s="20"/>
      <c r="E265" s="139"/>
      <c r="F265" s="139"/>
      <c r="G265" s="139"/>
      <c r="H265" s="139"/>
      <c r="I265" s="139"/>
      <c r="J265" s="139"/>
      <c r="K265" s="139"/>
      <c r="N265" s="139"/>
    </row>
    <row r="266">
      <c r="B266" s="20"/>
      <c r="C266" s="20"/>
      <c r="E266" s="139"/>
      <c r="F266" s="139"/>
      <c r="G266" s="139"/>
      <c r="H266" s="139"/>
      <c r="I266" s="139"/>
      <c r="J266" s="139"/>
      <c r="K266" s="139"/>
      <c r="N266" s="139"/>
    </row>
    <row r="267">
      <c r="B267" s="20"/>
      <c r="C267" s="20"/>
      <c r="E267" s="139"/>
      <c r="F267" s="139"/>
      <c r="G267" s="139"/>
      <c r="H267" s="139"/>
      <c r="I267" s="139"/>
      <c r="J267" s="139"/>
      <c r="K267" s="139"/>
      <c r="N267" s="139"/>
    </row>
    <row r="268">
      <c r="B268" s="20"/>
      <c r="C268" s="20"/>
      <c r="E268" s="139"/>
      <c r="F268" s="139"/>
      <c r="G268" s="139"/>
      <c r="H268" s="139"/>
      <c r="I268" s="139"/>
      <c r="J268" s="139"/>
      <c r="K268" s="139"/>
      <c r="N268" s="139"/>
    </row>
    <row r="269">
      <c r="B269" s="20"/>
      <c r="C269" s="20"/>
      <c r="E269" s="139"/>
      <c r="F269" s="139"/>
      <c r="G269" s="139"/>
      <c r="H269" s="139"/>
      <c r="I269" s="139"/>
      <c r="J269" s="139"/>
      <c r="K269" s="139"/>
      <c r="N269" s="139"/>
    </row>
    <row r="270">
      <c r="B270" s="20"/>
      <c r="C270" s="20"/>
      <c r="E270" s="139"/>
      <c r="F270" s="139"/>
      <c r="G270" s="139"/>
      <c r="H270" s="139"/>
      <c r="I270" s="139"/>
      <c r="J270" s="139"/>
      <c r="K270" s="139"/>
      <c r="N270" s="139"/>
    </row>
    <row r="271">
      <c r="B271" s="20"/>
      <c r="C271" s="20"/>
      <c r="E271" s="139"/>
      <c r="F271" s="139"/>
      <c r="G271" s="139"/>
      <c r="H271" s="139"/>
      <c r="I271" s="139"/>
      <c r="J271" s="139"/>
      <c r="K271" s="139"/>
      <c r="N271" s="139"/>
    </row>
    <row r="272">
      <c r="B272" s="20"/>
      <c r="C272" s="20"/>
      <c r="E272" s="139"/>
      <c r="F272" s="139"/>
      <c r="G272" s="139"/>
      <c r="H272" s="139"/>
      <c r="I272" s="139"/>
      <c r="J272" s="139"/>
      <c r="K272" s="139"/>
      <c r="N272" s="139"/>
    </row>
    <row r="273">
      <c r="B273" s="20"/>
      <c r="C273" s="20"/>
      <c r="E273" s="139"/>
      <c r="F273" s="139"/>
      <c r="G273" s="139"/>
      <c r="H273" s="139"/>
      <c r="I273" s="139"/>
      <c r="J273" s="139"/>
      <c r="K273" s="139"/>
      <c r="N273" s="139"/>
    </row>
    <row r="274">
      <c r="B274" s="20"/>
      <c r="C274" s="20"/>
      <c r="E274" s="139"/>
      <c r="F274" s="139"/>
      <c r="G274" s="139"/>
      <c r="H274" s="139"/>
      <c r="I274" s="139"/>
      <c r="J274" s="139"/>
      <c r="K274" s="139"/>
      <c r="N274" s="139"/>
    </row>
    <row r="275">
      <c r="B275" s="20"/>
      <c r="C275" s="20"/>
      <c r="E275" s="139"/>
      <c r="F275" s="139"/>
      <c r="G275" s="139"/>
      <c r="H275" s="139"/>
      <c r="I275" s="139"/>
      <c r="J275" s="139"/>
      <c r="K275" s="139"/>
      <c r="N275" s="139"/>
    </row>
    <row r="276">
      <c r="B276" s="20"/>
      <c r="C276" s="20"/>
      <c r="E276" s="139"/>
      <c r="F276" s="139"/>
      <c r="G276" s="139"/>
      <c r="H276" s="139"/>
      <c r="I276" s="139"/>
      <c r="J276" s="139"/>
      <c r="K276" s="139"/>
      <c r="N276" s="139"/>
    </row>
    <row r="277">
      <c r="B277" s="20"/>
      <c r="C277" s="20"/>
      <c r="E277" s="139"/>
      <c r="F277" s="139"/>
      <c r="G277" s="139"/>
      <c r="H277" s="139"/>
      <c r="I277" s="139"/>
      <c r="J277" s="139"/>
      <c r="K277" s="139"/>
      <c r="N277" s="139"/>
    </row>
    <row r="278">
      <c r="B278" s="20"/>
      <c r="C278" s="20"/>
      <c r="E278" s="139"/>
      <c r="F278" s="139"/>
      <c r="G278" s="139"/>
      <c r="H278" s="139"/>
      <c r="I278" s="139"/>
      <c r="J278" s="139"/>
      <c r="K278" s="139"/>
      <c r="N278" s="139"/>
    </row>
    <row r="279">
      <c r="B279" s="20"/>
      <c r="C279" s="20"/>
      <c r="E279" s="139"/>
      <c r="F279" s="139"/>
      <c r="G279" s="139"/>
      <c r="H279" s="139"/>
      <c r="I279" s="139"/>
      <c r="J279" s="139"/>
      <c r="K279" s="139"/>
      <c r="N279" s="139"/>
    </row>
    <row r="280">
      <c r="B280" s="20"/>
      <c r="C280" s="20"/>
      <c r="E280" s="139"/>
      <c r="F280" s="139"/>
      <c r="G280" s="139"/>
      <c r="H280" s="139"/>
      <c r="I280" s="139"/>
      <c r="J280" s="139"/>
      <c r="K280" s="139"/>
      <c r="N280" s="139"/>
    </row>
    <row r="281">
      <c r="B281" s="20"/>
      <c r="C281" s="20"/>
      <c r="E281" s="139"/>
      <c r="F281" s="139"/>
      <c r="G281" s="139"/>
      <c r="H281" s="139"/>
      <c r="I281" s="139"/>
      <c r="J281" s="139"/>
      <c r="K281" s="139"/>
      <c r="N281" s="139"/>
    </row>
    <row r="282">
      <c r="B282" s="20"/>
      <c r="C282" s="20"/>
      <c r="E282" s="139"/>
      <c r="F282" s="139"/>
      <c r="G282" s="139"/>
      <c r="H282" s="139"/>
      <c r="I282" s="139"/>
      <c r="J282" s="139"/>
      <c r="K282" s="139"/>
      <c r="N282" s="139"/>
    </row>
    <row r="283">
      <c r="B283" s="20"/>
      <c r="C283" s="20"/>
      <c r="E283" s="139"/>
      <c r="F283" s="139"/>
      <c r="G283" s="139"/>
      <c r="H283" s="139"/>
      <c r="I283" s="139"/>
      <c r="J283" s="139"/>
      <c r="K283" s="139"/>
      <c r="N283" s="139"/>
    </row>
    <row r="284">
      <c r="B284" s="20"/>
      <c r="C284" s="20"/>
      <c r="E284" s="139"/>
      <c r="F284" s="139"/>
      <c r="G284" s="139"/>
      <c r="H284" s="139"/>
      <c r="I284" s="139"/>
      <c r="J284" s="139"/>
      <c r="K284" s="139"/>
      <c r="N284" s="139"/>
    </row>
    <row r="285">
      <c r="B285" s="20"/>
      <c r="C285" s="20"/>
      <c r="E285" s="139"/>
      <c r="F285" s="139"/>
      <c r="G285" s="139"/>
      <c r="H285" s="139"/>
      <c r="I285" s="139"/>
      <c r="J285" s="139"/>
      <c r="K285" s="139"/>
      <c r="N285" s="139"/>
    </row>
    <row r="286">
      <c r="B286" s="20"/>
      <c r="C286" s="20"/>
      <c r="E286" s="139"/>
      <c r="F286" s="139"/>
      <c r="G286" s="139"/>
      <c r="H286" s="139"/>
      <c r="I286" s="139"/>
      <c r="J286" s="139"/>
      <c r="K286" s="139"/>
      <c r="N286" s="139"/>
    </row>
    <row r="287">
      <c r="B287" s="20"/>
      <c r="C287" s="20"/>
      <c r="E287" s="139"/>
      <c r="F287" s="139"/>
      <c r="G287" s="139"/>
      <c r="H287" s="139"/>
      <c r="I287" s="139"/>
      <c r="J287" s="139"/>
      <c r="K287" s="139"/>
      <c r="N287" s="139"/>
    </row>
    <row r="288">
      <c r="B288" s="20"/>
      <c r="C288" s="20"/>
      <c r="E288" s="139"/>
      <c r="F288" s="139"/>
      <c r="G288" s="139"/>
      <c r="H288" s="139"/>
      <c r="I288" s="139"/>
      <c r="J288" s="139"/>
      <c r="K288" s="139"/>
      <c r="N288" s="139"/>
    </row>
    <row r="289">
      <c r="B289" s="20"/>
      <c r="C289" s="20"/>
      <c r="E289" s="139"/>
      <c r="F289" s="139"/>
      <c r="G289" s="139"/>
      <c r="H289" s="139"/>
      <c r="I289" s="139"/>
      <c r="J289" s="139"/>
      <c r="K289" s="139"/>
      <c r="N289" s="139"/>
    </row>
    <row r="290">
      <c r="B290" s="20"/>
      <c r="C290" s="20"/>
      <c r="E290" s="139"/>
      <c r="F290" s="139"/>
      <c r="G290" s="139"/>
      <c r="H290" s="139"/>
      <c r="I290" s="139"/>
      <c r="J290" s="139"/>
      <c r="K290" s="139"/>
      <c r="N290" s="139"/>
    </row>
    <row r="291">
      <c r="B291" s="20"/>
      <c r="C291" s="20"/>
      <c r="E291" s="139"/>
      <c r="F291" s="139"/>
      <c r="G291" s="139"/>
      <c r="H291" s="139"/>
      <c r="I291" s="139"/>
      <c r="J291" s="139"/>
      <c r="K291" s="139"/>
      <c r="N291" s="139"/>
    </row>
    <row r="292">
      <c r="B292" s="20"/>
      <c r="C292" s="20"/>
      <c r="E292" s="139"/>
      <c r="F292" s="139"/>
      <c r="G292" s="139"/>
      <c r="H292" s="139"/>
      <c r="I292" s="139"/>
      <c r="J292" s="139"/>
      <c r="K292" s="139"/>
      <c r="N292" s="139"/>
    </row>
    <row r="293">
      <c r="B293" s="20"/>
      <c r="C293" s="20"/>
      <c r="E293" s="139"/>
      <c r="F293" s="139"/>
      <c r="G293" s="139"/>
      <c r="H293" s="139"/>
      <c r="I293" s="139"/>
      <c r="J293" s="139"/>
      <c r="K293" s="139"/>
      <c r="N293" s="139"/>
    </row>
    <row r="294">
      <c r="B294" s="20"/>
      <c r="C294" s="20"/>
      <c r="E294" s="139"/>
      <c r="F294" s="139"/>
      <c r="G294" s="139"/>
      <c r="H294" s="139"/>
      <c r="I294" s="139"/>
      <c r="J294" s="139"/>
      <c r="K294" s="139"/>
      <c r="N294" s="139"/>
    </row>
    <row r="295">
      <c r="B295" s="20"/>
      <c r="C295" s="20"/>
      <c r="E295" s="139"/>
      <c r="F295" s="139"/>
      <c r="G295" s="139"/>
      <c r="H295" s="139"/>
      <c r="I295" s="139"/>
      <c r="J295" s="139"/>
      <c r="K295" s="139"/>
      <c r="N295" s="139"/>
    </row>
    <row r="296">
      <c r="B296" s="20"/>
      <c r="C296" s="20"/>
      <c r="E296" s="139"/>
      <c r="F296" s="139"/>
      <c r="G296" s="139"/>
      <c r="H296" s="139"/>
      <c r="I296" s="139"/>
      <c r="J296" s="139"/>
      <c r="K296" s="139"/>
      <c r="N296" s="139"/>
    </row>
    <row r="297">
      <c r="B297" s="20"/>
      <c r="C297" s="20"/>
      <c r="E297" s="139"/>
      <c r="F297" s="139"/>
      <c r="G297" s="139"/>
      <c r="H297" s="139"/>
      <c r="I297" s="139"/>
      <c r="J297" s="139"/>
      <c r="K297" s="139"/>
      <c r="N297" s="139"/>
    </row>
    <row r="298">
      <c r="B298" s="20"/>
      <c r="C298" s="20"/>
      <c r="E298" s="139"/>
      <c r="F298" s="139"/>
      <c r="G298" s="139"/>
      <c r="H298" s="139"/>
      <c r="I298" s="139"/>
      <c r="J298" s="139"/>
      <c r="K298" s="139"/>
      <c r="N298" s="139"/>
    </row>
    <row r="299">
      <c r="B299" s="20"/>
      <c r="C299" s="20"/>
      <c r="E299" s="139"/>
      <c r="F299" s="139"/>
      <c r="G299" s="139"/>
      <c r="H299" s="139"/>
      <c r="I299" s="139"/>
      <c r="J299" s="139"/>
      <c r="K299" s="139"/>
      <c r="N299" s="139"/>
    </row>
    <row r="300">
      <c r="B300" s="20"/>
      <c r="C300" s="20"/>
      <c r="E300" s="139"/>
      <c r="F300" s="139"/>
      <c r="G300" s="139"/>
      <c r="H300" s="139"/>
      <c r="I300" s="139"/>
      <c r="J300" s="139"/>
      <c r="K300" s="139"/>
      <c r="N300" s="139"/>
    </row>
    <row r="301">
      <c r="B301" s="20"/>
      <c r="C301" s="20"/>
      <c r="E301" s="139"/>
      <c r="F301" s="139"/>
      <c r="G301" s="139"/>
      <c r="H301" s="139"/>
      <c r="I301" s="139"/>
      <c r="J301" s="139"/>
      <c r="K301" s="139"/>
      <c r="N301" s="139"/>
    </row>
    <row r="302">
      <c r="B302" s="20"/>
      <c r="C302" s="20"/>
      <c r="E302" s="139"/>
      <c r="F302" s="139"/>
      <c r="G302" s="139"/>
      <c r="H302" s="139"/>
      <c r="I302" s="139"/>
      <c r="J302" s="139"/>
      <c r="K302" s="139"/>
      <c r="N302" s="139"/>
    </row>
    <row r="303">
      <c r="B303" s="20"/>
      <c r="C303" s="20"/>
      <c r="E303" s="139"/>
      <c r="F303" s="139"/>
      <c r="G303" s="139"/>
      <c r="H303" s="139"/>
      <c r="I303" s="139"/>
      <c r="J303" s="139"/>
      <c r="K303" s="139"/>
      <c r="N303" s="139"/>
    </row>
    <row r="304">
      <c r="B304" s="20"/>
      <c r="C304" s="20"/>
      <c r="E304" s="139"/>
      <c r="F304" s="139"/>
      <c r="G304" s="139"/>
      <c r="H304" s="139"/>
      <c r="I304" s="139"/>
      <c r="J304" s="139"/>
      <c r="K304" s="139"/>
      <c r="N304" s="139"/>
    </row>
    <row r="305">
      <c r="B305" s="20"/>
      <c r="C305" s="20"/>
      <c r="E305" s="139"/>
      <c r="F305" s="139"/>
      <c r="G305" s="139"/>
      <c r="H305" s="139"/>
      <c r="I305" s="139"/>
      <c r="J305" s="139"/>
      <c r="K305" s="139"/>
      <c r="N305" s="139"/>
    </row>
    <row r="306">
      <c r="B306" s="20"/>
      <c r="C306" s="20"/>
      <c r="E306" s="139"/>
      <c r="F306" s="139"/>
      <c r="G306" s="139"/>
      <c r="H306" s="139"/>
      <c r="I306" s="139"/>
      <c r="J306" s="139"/>
      <c r="K306" s="139"/>
      <c r="N306" s="139"/>
    </row>
    <row r="307">
      <c r="B307" s="20"/>
      <c r="C307" s="20"/>
      <c r="E307" s="139"/>
      <c r="F307" s="139"/>
      <c r="G307" s="139"/>
      <c r="H307" s="139"/>
      <c r="I307" s="139"/>
      <c r="J307" s="139"/>
      <c r="K307" s="139"/>
      <c r="N307" s="139"/>
    </row>
    <row r="308">
      <c r="B308" s="20"/>
      <c r="C308" s="20"/>
      <c r="E308" s="139"/>
      <c r="F308" s="139"/>
      <c r="G308" s="139"/>
      <c r="H308" s="139"/>
      <c r="I308" s="139"/>
      <c r="J308" s="139"/>
      <c r="K308" s="139"/>
      <c r="N308" s="139"/>
    </row>
    <row r="309">
      <c r="B309" s="20"/>
      <c r="C309" s="20"/>
      <c r="E309" s="139"/>
      <c r="F309" s="139"/>
      <c r="G309" s="139"/>
      <c r="H309" s="139"/>
      <c r="I309" s="139"/>
      <c r="J309" s="139"/>
      <c r="K309" s="139"/>
      <c r="N309" s="139"/>
    </row>
    <row r="310">
      <c r="B310" s="20"/>
      <c r="C310" s="20"/>
      <c r="E310" s="139"/>
      <c r="F310" s="139"/>
      <c r="G310" s="139"/>
      <c r="H310" s="139"/>
      <c r="I310" s="139"/>
      <c r="J310" s="139"/>
      <c r="K310" s="139"/>
      <c r="N310" s="139"/>
    </row>
    <row r="311">
      <c r="B311" s="20"/>
      <c r="C311" s="20"/>
      <c r="E311" s="139"/>
      <c r="F311" s="139"/>
      <c r="G311" s="139"/>
      <c r="H311" s="139"/>
      <c r="I311" s="139"/>
      <c r="J311" s="139"/>
      <c r="K311" s="139"/>
      <c r="N311" s="139"/>
    </row>
    <row r="312">
      <c r="B312" s="20"/>
      <c r="C312" s="20"/>
      <c r="E312" s="139"/>
      <c r="F312" s="139"/>
      <c r="G312" s="139"/>
      <c r="H312" s="139"/>
      <c r="I312" s="139"/>
      <c r="J312" s="139"/>
      <c r="K312" s="139"/>
      <c r="N312" s="139"/>
    </row>
    <row r="313">
      <c r="B313" s="20"/>
      <c r="C313" s="20"/>
      <c r="E313" s="139"/>
      <c r="F313" s="139"/>
      <c r="G313" s="139"/>
      <c r="H313" s="139"/>
      <c r="I313" s="139"/>
      <c r="J313" s="139"/>
      <c r="K313" s="139"/>
      <c r="N313" s="139"/>
    </row>
    <row r="314">
      <c r="B314" s="20"/>
      <c r="C314" s="20"/>
      <c r="E314" s="139"/>
      <c r="F314" s="139"/>
      <c r="G314" s="139"/>
      <c r="H314" s="139"/>
      <c r="I314" s="139"/>
      <c r="J314" s="139"/>
      <c r="K314" s="139"/>
      <c r="N314" s="139"/>
    </row>
    <row r="315">
      <c r="B315" s="20"/>
      <c r="C315" s="20"/>
      <c r="E315" s="139"/>
      <c r="F315" s="139"/>
      <c r="G315" s="139"/>
      <c r="H315" s="139"/>
      <c r="I315" s="139"/>
      <c r="J315" s="139"/>
      <c r="K315" s="139"/>
      <c r="N315" s="139"/>
    </row>
    <row r="316">
      <c r="B316" s="20"/>
      <c r="C316" s="20"/>
      <c r="E316" s="139"/>
      <c r="F316" s="139"/>
      <c r="G316" s="139"/>
      <c r="H316" s="139"/>
      <c r="I316" s="139"/>
      <c r="J316" s="139"/>
      <c r="K316" s="139"/>
      <c r="N316" s="139"/>
    </row>
    <row r="317">
      <c r="B317" s="20"/>
      <c r="C317" s="20"/>
      <c r="E317" s="139"/>
      <c r="F317" s="139"/>
      <c r="G317" s="139"/>
      <c r="H317" s="139"/>
      <c r="I317" s="139"/>
      <c r="J317" s="139"/>
      <c r="K317" s="139"/>
      <c r="N317" s="139"/>
    </row>
    <row r="318">
      <c r="B318" s="20"/>
      <c r="C318" s="20"/>
      <c r="E318" s="139"/>
      <c r="F318" s="139"/>
      <c r="G318" s="139"/>
      <c r="H318" s="139"/>
      <c r="I318" s="139"/>
      <c r="J318" s="139"/>
      <c r="K318" s="139"/>
      <c r="N318" s="139"/>
    </row>
    <row r="319">
      <c r="B319" s="20"/>
      <c r="C319" s="20"/>
      <c r="E319" s="139"/>
      <c r="F319" s="139"/>
      <c r="G319" s="139"/>
      <c r="H319" s="139"/>
      <c r="I319" s="139"/>
      <c r="J319" s="139"/>
      <c r="K319" s="139"/>
      <c r="N319" s="139"/>
    </row>
    <row r="320">
      <c r="B320" s="20"/>
      <c r="C320" s="20"/>
      <c r="E320" s="139"/>
      <c r="F320" s="139"/>
      <c r="G320" s="139"/>
      <c r="H320" s="139"/>
      <c r="I320" s="139"/>
      <c r="J320" s="139"/>
      <c r="K320" s="139"/>
      <c r="N320" s="139"/>
    </row>
    <row r="321">
      <c r="B321" s="20"/>
      <c r="C321" s="20"/>
      <c r="E321" s="139"/>
      <c r="F321" s="139"/>
      <c r="G321" s="139"/>
      <c r="H321" s="139"/>
      <c r="I321" s="139"/>
      <c r="J321" s="139"/>
      <c r="K321" s="139"/>
      <c r="N321" s="139"/>
    </row>
    <row r="322">
      <c r="B322" s="20"/>
      <c r="C322" s="20"/>
      <c r="E322" s="139"/>
      <c r="F322" s="139"/>
      <c r="G322" s="139"/>
      <c r="H322" s="139"/>
      <c r="I322" s="139"/>
      <c r="J322" s="139"/>
      <c r="K322" s="139"/>
      <c r="N322" s="139"/>
    </row>
    <row r="323">
      <c r="B323" s="20"/>
      <c r="C323" s="20"/>
      <c r="E323" s="139"/>
      <c r="F323" s="139"/>
      <c r="G323" s="139"/>
      <c r="H323" s="139"/>
      <c r="I323" s="139"/>
      <c r="J323" s="139"/>
      <c r="K323" s="139"/>
      <c r="N323" s="139"/>
    </row>
    <row r="324">
      <c r="B324" s="20"/>
      <c r="C324" s="20"/>
      <c r="E324" s="139"/>
      <c r="F324" s="139"/>
      <c r="G324" s="139"/>
      <c r="H324" s="139"/>
      <c r="I324" s="139"/>
      <c r="J324" s="139"/>
      <c r="K324" s="139"/>
      <c r="N324" s="139"/>
    </row>
    <row r="325">
      <c r="B325" s="20"/>
      <c r="C325" s="20"/>
      <c r="E325" s="139"/>
      <c r="F325" s="139"/>
      <c r="G325" s="139"/>
      <c r="H325" s="139"/>
      <c r="I325" s="139"/>
      <c r="J325" s="139"/>
      <c r="K325" s="139"/>
      <c r="N325" s="139"/>
    </row>
    <row r="326">
      <c r="B326" s="20"/>
      <c r="C326" s="20"/>
      <c r="E326" s="139"/>
      <c r="F326" s="139"/>
      <c r="G326" s="139"/>
      <c r="H326" s="139"/>
      <c r="I326" s="139"/>
      <c r="J326" s="139"/>
      <c r="K326" s="139"/>
      <c r="N326" s="139"/>
    </row>
    <row r="327">
      <c r="B327" s="20"/>
      <c r="C327" s="20"/>
      <c r="E327" s="139"/>
      <c r="F327" s="139"/>
      <c r="G327" s="139"/>
      <c r="H327" s="139"/>
      <c r="I327" s="139"/>
      <c r="J327" s="139"/>
      <c r="K327" s="139"/>
      <c r="N327" s="139"/>
    </row>
    <row r="328">
      <c r="B328" s="20"/>
      <c r="C328" s="20"/>
      <c r="E328" s="139"/>
      <c r="F328" s="139"/>
      <c r="G328" s="139"/>
      <c r="H328" s="139"/>
      <c r="I328" s="139"/>
      <c r="J328" s="139"/>
      <c r="K328" s="139"/>
      <c r="N328" s="139"/>
    </row>
    <row r="329">
      <c r="B329" s="20"/>
      <c r="C329" s="20"/>
      <c r="E329" s="139"/>
      <c r="F329" s="139"/>
      <c r="G329" s="139"/>
      <c r="H329" s="139"/>
      <c r="I329" s="139"/>
      <c r="J329" s="139"/>
      <c r="K329" s="139"/>
      <c r="N329" s="139"/>
    </row>
    <row r="330">
      <c r="B330" s="20"/>
      <c r="C330" s="20"/>
      <c r="E330" s="139"/>
      <c r="F330" s="139"/>
      <c r="G330" s="139"/>
      <c r="H330" s="139"/>
      <c r="I330" s="139"/>
      <c r="J330" s="139"/>
      <c r="K330" s="139"/>
      <c r="N330" s="139"/>
    </row>
    <row r="331">
      <c r="B331" s="20"/>
      <c r="C331" s="20"/>
      <c r="E331" s="139"/>
      <c r="F331" s="139"/>
      <c r="G331" s="139"/>
      <c r="H331" s="139"/>
      <c r="I331" s="139"/>
      <c r="J331" s="139"/>
      <c r="K331" s="139"/>
      <c r="N331" s="139"/>
    </row>
    <row r="332">
      <c r="B332" s="20"/>
      <c r="C332" s="20"/>
      <c r="E332" s="139"/>
      <c r="F332" s="139"/>
      <c r="G332" s="139"/>
      <c r="H332" s="139"/>
      <c r="I332" s="139"/>
      <c r="J332" s="139"/>
      <c r="K332" s="139"/>
      <c r="N332" s="139"/>
    </row>
    <row r="333">
      <c r="B333" s="20"/>
      <c r="C333" s="20"/>
      <c r="E333" s="139"/>
      <c r="F333" s="139"/>
      <c r="G333" s="139"/>
      <c r="H333" s="139"/>
      <c r="I333" s="139"/>
      <c r="J333" s="139"/>
      <c r="K333" s="139"/>
      <c r="N333" s="139"/>
    </row>
    <row r="334">
      <c r="B334" s="20"/>
      <c r="C334" s="20"/>
      <c r="E334" s="139"/>
      <c r="F334" s="139"/>
      <c r="G334" s="139"/>
      <c r="H334" s="139"/>
      <c r="I334" s="139"/>
      <c r="J334" s="139"/>
      <c r="K334" s="139"/>
      <c r="N334" s="139"/>
    </row>
    <row r="335">
      <c r="B335" s="20"/>
      <c r="C335" s="20"/>
      <c r="E335" s="139"/>
      <c r="F335" s="139"/>
      <c r="G335" s="139"/>
      <c r="H335" s="139"/>
      <c r="I335" s="139"/>
      <c r="J335" s="139"/>
      <c r="K335" s="139"/>
      <c r="N335" s="139"/>
    </row>
    <row r="336">
      <c r="B336" s="20"/>
      <c r="C336" s="20"/>
      <c r="E336" s="139"/>
      <c r="F336" s="139"/>
      <c r="G336" s="139"/>
      <c r="H336" s="139"/>
      <c r="I336" s="139"/>
      <c r="J336" s="139"/>
      <c r="K336" s="139"/>
      <c r="N336" s="139"/>
    </row>
    <row r="337">
      <c r="B337" s="20"/>
      <c r="C337" s="20"/>
      <c r="E337" s="139"/>
      <c r="F337" s="139"/>
      <c r="G337" s="139"/>
      <c r="H337" s="139"/>
      <c r="I337" s="139"/>
      <c r="J337" s="139"/>
      <c r="K337" s="139"/>
      <c r="N337" s="139"/>
    </row>
    <row r="338">
      <c r="B338" s="20"/>
      <c r="C338" s="20"/>
      <c r="E338" s="139"/>
      <c r="F338" s="139"/>
      <c r="G338" s="139"/>
      <c r="H338" s="139"/>
      <c r="I338" s="139"/>
      <c r="J338" s="139"/>
      <c r="K338" s="139"/>
      <c r="N338" s="139"/>
    </row>
    <row r="339">
      <c r="B339" s="20"/>
      <c r="C339" s="20"/>
      <c r="E339" s="139"/>
      <c r="F339" s="139"/>
      <c r="G339" s="139"/>
      <c r="H339" s="139"/>
      <c r="I339" s="139"/>
      <c r="J339" s="139"/>
      <c r="K339" s="139"/>
      <c r="N339" s="139"/>
    </row>
    <row r="340">
      <c r="B340" s="20"/>
      <c r="C340" s="20"/>
      <c r="E340" s="139"/>
      <c r="F340" s="139"/>
      <c r="G340" s="139"/>
      <c r="H340" s="139"/>
      <c r="I340" s="139"/>
      <c r="J340" s="139"/>
      <c r="K340" s="139"/>
      <c r="N340" s="139"/>
    </row>
    <row r="341">
      <c r="B341" s="20"/>
      <c r="C341" s="20"/>
      <c r="E341" s="139"/>
      <c r="F341" s="139"/>
      <c r="G341" s="139"/>
      <c r="H341" s="139"/>
      <c r="I341" s="139"/>
      <c r="J341" s="139"/>
      <c r="K341" s="139"/>
      <c r="N341" s="139"/>
    </row>
    <row r="342">
      <c r="B342" s="20"/>
      <c r="C342" s="20"/>
      <c r="E342" s="139"/>
      <c r="F342" s="139"/>
      <c r="G342" s="139"/>
      <c r="H342" s="139"/>
      <c r="I342" s="139"/>
      <c r="J342" s="139"/>
      <c r="K342" s="139"/>
      <c r="N342" s="139"/>
    </row>
    <row r="343">
      <c r="B343" s="20"/>
      <c r="C343" s="20"/>
      <c r="E343" s="139"/>
      <c r="F343" s="139"/>
      <c r="G343" s="139"/>
      <c r="H343" s="139"/>
      <c r="I343" s="139"/>
      <c r="J343" s="139"/>
      <c r="K343" s="139"/>
      <c r="N343" s="139"/>
    </row>
    <row r="344">
      <c r="B344" s="20"/>
      <c r="C344" s="20"/>
      <c r="E344" s="139"/>
      <c r="F344" s="139"/>
      <c r="G344" s="139"/>
      <c r="H344" s="139"/>
      <c r="I344" s="139"/>
      <c r="J344" s="139"/>
      <c r="K344" s="139"/>
      <c r="N344" s="139"/>
    </row>
    <row r="345">
      <c r="B345" s="20"/>
      <c r="C345" s="20"/>
      <c r="E345" s="139"/>
      <c r="F345" s="139"/>
      <c r="G345" s="139"/>
      <c r="H345" s="139"/>
      <c r="I345" s="139"/>
      <c r="J345" s="139"/>
      <c r="K345" s="139"/>
      <c r="N345" s="139"/>
    </row>
    <row r="346">
      <c r="B346" s="20"/>
      <c r="C346" s="20"/>
      <c r="E346" s="139"/>
      <c r="F346" s="139"/>
      <c r="G346" s="139"/>
      <c r="H346" s="139"/>
      <c r="I346" s="139"/>
      <c r="J346" s="139"/>
      <c r="K346" s="139"/>
      <c r="N346" s="139"/>
    </row>
    <row r="347">
      <c r="B347" s="20"/>
      <c r="C347" s="20"/>
      <c r="E347" s="139"/>
      <c r="F347" s="139"/>
      <c r="G347" s="139"/>
      <c r="H347" s="139"/>
      <c r="I347" s="139"/>
      <c r="J347" s="139"/>
      <c r="K347" s="139"/>
      <c r="N347" s="139"/>
    </row>
    <row r="348">
      <c r="B348" s="20"/>
      <c r="C348" s="20"/>
      <c r="E348" s="139"/>
      <c r="F348" s="139"/>
      <c r="G348" s="139"/>
      <c r="H348" s="139"/>
      <c r="I348" s="139"/>
      <c r="J348" s="139"/>
      <c r="K348" s="139"/>
      <c r="N348" s="139"/>
    </row>
    <row r="349">
      <c r="B349" s="20"/>
      <c r="C349" s="20"/>
      <c r="E349" s="139"/>
      <c r="F349" s="139"/>
      <c r="G349" s="139"/>
      <c r="H349" s="139"/>
      <c r="I349" s="139"/>
      <c r="J349" s="139"/>
      <c r="K349" s="139"/>
      <c r="N349" s="139"/>
    </row>
    <row r="350">
      <c r="B350" s="20"/>
      <c r="C350" s="20"/>
      <c r="E350" s="139"/>
      <c r="F350" s="139"/>
      <c r="G350" s="139"/>
      <c r="H350" s="139"/>
      <c r="I350" s="139"/>
      <c r="J350" s="139"/>
      <c r="K350" s="139"/>
      <c r="N350" s="139"/>
    </row>
    <row r="351">
      <c r="B351" s="20"/>
      <c r="C351" s="20"/>
      <c r="E351" s="139"/>
      <c r="F351" s="139"/>
      <c r="G351" s="139"/>
      <c r="H351" s="139"/>
      <c r="I351" s="139"/>
      <c r="J351" s="139"/>
      <c r="K351" s="139"/>
      <c r="N351" s="139"/>
    </row>
    <row r="352">
      <c r="B352" s="20"/>
      <c r="C352" s="20"/>
      <c r="E352" s="139"/>
      <c r="F352" s="139"/>
      <c r="G352" s="139"/>
      <c r="H352" s="139"/>
      <c r="I352" s="139"/>
      <c r="J352" s="139"/>
      <c r="K352" s="139"/>
      <c r="N352" s="139"/>
    </row>
    <row r="353">
      <c r="B353" s="20"/>
      <c r="C353" s="20"/>
      <c r="E353" s="139"/>
      <c r="F353" s="139"/>
      <c r="G353" s="139"/>
      <c r="H353" s="139"/>
      <c r="I353" s="139"/>
      <c r="J353" s="139"/>
      <c r="K353" s="139"/>
      <c r="N353" s="139"/>
    </row>
    <row r="354">
      <c r="B354" s="20"/>
      <c r="C354" s="20"/>
      <c r="E354" s="139"/>
      <c r="F354" s="139"/>
      <c r="G354" s="139"/>
      <c r="H354" s="139"/>
      <c r="I354" s="139"/>
      <c r="J354" s="139"/>
      <c r="K354" s="139"/>
      <c r="N354" s="139"/>
    </row>
    <row r="355">
      <c r="B355" s="20"/>
      <c r="C355" s="20"/>
      <c r="E355" s="139"/>
      <c r="F355" s="139"/>
      <c r="G355" s="139"/>
      <c r="H355" s="139"/>
      <c r="I355" s="139"/>
      <c r="J355" s="139"/>
      <c r="K355" s="139"/>
      <c r="N355" s="139"/>
    </row>
    <row r="356">
      <c r="B356" s="20"/>
      <c r="C356" s="20"/>
      <c r="E356" s="139"/>
      <c r="F356" s="139"/>
      <c r="G356" s="139"/>
      <c r="H356" s="139"/>
      <c r="I356" s="139"/>
      <c r="J356" s="139"/>
      <c r="K356" s="139"/>
      <c r="N356" s="139"/>
    </row>
    <row r="357">
      <c r="B357" s="20"/>
      <c r="C357" s="20"/>
      <c r="E357" s="139"/>
      <c r="F357" s="139"/>
      <c r="G357" s="139"/>
      <c r="H357" s="139"/>
      <c r="I357" s="139"/>
      <c r="J357" s="139"/>
      <c r="K357" s="139"/>
      <c r="N357" s="139"/>
    </row>
    <row r="358">
      <c r="B358" s="20"/>
      <c r="C358" s="20"/>
      <c r="E358" s="139"/>
      <c r="F358" s="139"/>
      <c r="G358" s="139"/>
      <c r="H358" s="139"/>
      <c r="I358" s="139"/>
      <c r="J358" s="139"/>
      <c r="K358" s="139"/>
      <c r="N358" s="139"/>
    </row>
    <row r="359">
      <c r="B359" s="20"/>
      <c r="C359" s="20"/>
      <c r="E359" s="139"/>
      <c r="F359" s="139"/>
      <c r="G359" s="139"/>
      <c r="H359" s="139"/>
      <c r="I359" s="139"/>
      <c r="J359" s="139"/>
      <c r="K359" s="139"/>
      <c r="N359" s="139"/>
    </row>
    <row r="360">
      <c r="B360" s="20"/>
      <c r="C360" s="20"/>
      <c r="E360" s="139"/>
      <c r="F360" s="139"/>
      <c r="G360" s="139"/>
      <c r="H360" s="139"/>
      <c r="I360" s="139"/>
      <c r="J360" s="139"/>
      <c r="K360" s="139"/>
      <c r="N360" s="139"/>
    </row>
    <row r="361">
      <c r="B361" s="20"/>
      <c r="C361" s="20"/>
      <c r="E361" s="139"/>
      <c r="F361" s="139"/>
      <c r="G361" s="139"/>
      <c r="H361" s="139"/>
      <c r="I361" s="139"/>
      <c r="J361" s="139"/>
      <c r="K361" s="139"/>
      <c r="N361" s="139"/>
    </row>
    <row r="362">
      <c r="B362" s="20"/>
      <c r="C362" s="20"/>
      <c r="E362" s="139"/>
      <c r="F362" s="139"/>
      <c r="G362" s="139"/>
      <c r="H362" s="139"/>
      <c r="I362" s="139"/>
      <c r="J362" s="139"/>
      <c r="K362" s="139"/>
      <c r="N362" s="139"/>
    </row>
    <row r="363">
      <c r="B363" s="20"/>
      <c r="C363" s="20"/>
      <c r="E363" s="139"/>
      <c r="F363" s="139"/>
      <c r="G363" s="139"/>
      <c r="H363" s="139"/>
      <c r="I363" s="139"/>
      <c r="J363" s="139"/>
      <c r="K363" s="139"/>
      <c r="N363" s="139"/>
    </row>
    <row r="364">
      <c r="B364" s="20"/>
      <c r="C364" s="20"/>
      <c r="E364" s="139"/>
      <c r="F364" s="139"/>
      <c r="G364" s="139"/>
      <c r="H364" s="139"/>
      <c r="I364" s="139"/>
      <c r="J364" s="139"/>
      <c r="K364" s="139"/>
      <c r="N364" s="139"/>
    </row>
    <row r="365">
      <c r="B365" s="20"/>
      <c r="C365" s="20"/>
      <c r="E365" s="139"/>
      <c r="F365" s="139"/>
      <c r="G365" s="139"/>
      <c r="H365" s="139"/>
      <c r="I365" s="139"/>
      <c r="J365" s="139"/>
      <c r="K365" s="139"/>
      <c r="N365" s="139"/>
    </row>
    <row r="366">
      <c r="B366" s="20"/>
      <c r="C366" s="20"/>
      <c r="E366" s="139"/>
      <c r="F366" s="139"/>
      <c r="G366" s="139"/>
      <c r="H366" s="139"/>
      <c r="I366" s="139"/>
      <c r="J366" s="139"/>
      <c r="K366" s="139"/>
      <c r="N366" s="139"/>
    </row>
    <row r="367">
      <c r="B367" s="20"/>
      <c r="C367" s="20"/>
      <c r="E367" s="139"/>
      <c r="F367" s="139"/>
      <c r="G367" s="139"/>
      <c r="H367" s="139"/>
      <c r="I367" s="139"/>
      <c r="J367" s="139"/>
      <c r="K367" s="139"/>
      <c r="N367" s="139"/>
    </row>
    <row r="368">
      <c r="B368" s="20"/>
      <c r="C368" s="20"/>
      <c r="E368" s="139"/>
      <c r="F368" s="139"/>
      <c r="G368" s="139"/>
      <c r="H368" s="139"/>
      <c r="I368" s="139"/>
      <c r="J368" s="139"/>
      <c r="K368" s="139"/>
      <c r="N368" s="139"/>
    </row>
    <row r="369">
      <c r="B369" s="20"/>
      <c r="C369" s="20"/>
      <c r="E369" s="139"/>
      <c r="F369" s="139"/>
      <c r="G369" s="139"/>
      <c r="H369" s="139"/>
      <c r="I369" s="139"/>
      <c r="J369" s="139"/>
      <c r="K369" s="139"/>
      <c r="N369" s="139"/>
    </row>
    <row r="370">
      <c r="B370" s="20"/>
      <c r="C370" s="20"/>
      <c r="E370" s="139"/>
      <c r="F370" s="139"/>
      <c r="G370" s="139"/>
      <c r="H370" s="139"/>
      <c r="I370" s="139"/>
      <c r="J370" s="139"/>
      <c r="K370" s="139"/>
      <c r="N370" s="139"/>
    </row>
    <row r="371">
      <c r="B371" s="20"/>
      <c r="C371" s="20"/>
      <c r="E371" s="139"/>
      <c r="F371" s="139"/>
      <c r="G371" s="139"/>
      <c r="H371" s="139"/>
      <c r="I371" s="139"/>
      <c r="J371" s="139"/>
      <c r="K371" s="139"/>
      <c r="N371" s="139"/>
    </row>
    <row r="372">
      <c r="B372" s="20"/>
      <c r="C372" s="20"/>
      <c r="E372" s="139"/>
      <c r="F372" s="139"/>
      <c r="G372" s="139"/>
      <c r="H372" s="139"/>
      <c r="I372" s="139"/>
      <c r="J372" s="139"/>
      <c r="K372" s="139"/>
      <c r="N372" s="139"/>
    </row>
    <row r="373">
      <c r="B373" s="20"/>
      <c r="C373" s="20"/>
      <c r="E373" s="139"/>
      <c r="F373" s="139"/>
      <c r="G373" s="139"/>
      <c r="H373" s="139"/>
      <c r="I373" s="139"/>
      <c r="J373" s="139"/>
      <c r="K373" s="139"/>
      <c r="N373" s="139"/>
    </row>
    <row r="374">
      <c r="B374" s="20"/>
      <c r="C374" s="20"/>
      <c r="E374" s="139"/>
      <c r="F374" s="139"/>
      <c r="G374" s="139"/>
      <c r="H374" s="139"/>
      <c r="I374" s="139"/>
      <c r="J374" s="139"/>
      <c r="K374" s="139"/>
      <c r="N374" s="139"/>
    </row>
    <row r="375">
      <c r="B375" s="20"/>
      <c r="C375" s="20"/>
      <c r="E375" s="139"/>
      <c r="F375" s="139"/>
      <c r="G375" s="139"/>
      <c r="H375" s="139"/>
      <c r="I375" s="139"/>
      <c r="J375" s="139"/>
      <c r="K375" s="139"/>
      <c r="N375" s="139"/>
    </row>
    <row r="376">
      <c r="B376" s="20"/>
      <c r="C376" s="20"/>
      <c r="E376" s="139"/>
      <c r="F376" s="139"/>
      <c r="G376" s="139"/>
      <c r="H376" s="139"/>
      <c r="I376" s="139"/>
      <c r="J376" s="139"/>
      <c r="K376" s="139"/>
      <c r="N376" s="139"/>
    </row>
    <row r="377">
      <c r="B377" s="20"/>
      <c r="C377" s="20"/>
      <c r="E377" s="139"/>
      <c r="F377" s="139"/>
      <c r="G377" s="139"/>
      <c r="H377" s="139"/>
      <c r="I377" s="139"/>
      <c r="J377" s="139"/>
      <c r="K377" s="139"/>
      <c r="N377" s="139"/>
    </row>
    <row r="378">
      <c r="B378" s="20"/>
      <c r="C378" s="20"/>
      <c r="E378" s="139"/>
      <c r="F378" s="139"/>
      <c r="G378" s="139"/>
      <c r="H378" s="139"/>
      <c r="I378" s="139"/>
      <c r="J378" s="139"/>
      <c r="K378" s="139"/>
      <c r="N378" s="139"/>
    </row>
    <row r="379">
      <c r="B379" s="20"/>
      <c r="C379" s="20"/>
      <c r="E379" s="139"/>
      <c r="F379" s="139"/>
      <c r="G379" s="139"/>
      <c r="H379" s="139"/>
      <c r="I379" s="139"/>
      <c r="J379" s="139"/>
      <c r="K379" s="139"/>
      <c r="N379" s="139"/>
    </row>
    <row r="380">
      <c r="B380" s="20"/>
      <c r="C380" s="20"/>
      <c r="E380" s="139"/>
      <c r="F380" s="139"/>
      <c r="G380" s="139"/>
      <c r="H380" s="139"/>
      <c r="I380" s="139"/>
      <c r="J380" s="139"/>
      <c r="K380" s="139"/>
      <c r="N380" s="139"/>
    </row>
    <row r="381">
      <c r="B381" s="20"/>
      <c r="C381" s="20"/>
      <c r="E381" s="139"/>
      <c r="F381" s="139"/>
      <c r="G381" s="139"/>
      <c r="H381" s="139"/>
      <c r="I381" s="139"/>
      <c r="J381" s="139"/>
      <c r="K381" s="139"/>
      <c r="N381" s="139"/>
    </row>
    <row r="382">
      <c r="B382" s="20"/>
      <c r="C382" s="20"/>
      <c r="E382" s="139"/>
      <c r="F382" s="139"/>
      <c r="G382" s="139"/>
      <c r="H382" s="139"/>
      <c r="I382" s="139"/>
      <c r="J382" s="139"/>
      <c r="K382" s="139"/>
      <c r="N382" s="139"/>
    </row>
    <row r="383">
      <c r="B383" s="20"/>
      <c r="C383" s="20"/>
      <c r="E383" s="139"/>
      <c r="F383" s="139"/>
      <c r="G383" s="139"/>
      <c r="H383" s="139"/>
      <c r="I383" s="139"/>
      <c r="J383" s="139"/>
      <c r="K383" s="139"/>
      <c r="N383" s="139"/>
    </row>
    <row r="384">
      <c r="B384" s="20"/>
      <c r="C384" s="20"/>
      <c r="E384" s="139"/>
      <c r="F384" s="139"/>
      <c r="G384" s="139"/>
      <c r="H384" s="139"/>
      <c r="I384" s="139"/>
      <c r="J384" s="139"/>
      <c r="K384" s="139"/>
      <c r="N384" s="139"/>
    </row>
    <row r="385">
      <c r="B385" s="20"/>
      <c r="C385" s="20"/>
      <c r="E385" s="139"/>
      <c r="F385" s="139"/>
      <c r="G385" s="139"/>
      <c r="H385" s="139"/>
      <c r="I385" s="139"/>
      <c r="J385" s="139"/>
      <c r="K385" s="139"/>
      <c r="N385" s="139"/>
    </row>
    <row r="386">
      <c r="B386" s="20"/>
      <c r="C386" s="20"/>
      <c r="E386" s="139"/>
      <c r="F386" s="139"/>
      <c r="G386" s="139"/>
      <c r="H386" s="139"/>
      <c r="I386" s="139"/>
      <c r="J386" s="139"/>
      <c r="K386" s="139"/>
      <c r="N386" s="139"/>
    </row>
    <row r="387">
      <c r="B387" s="20"/>
      <c r="C387" s="20"/>
      <c r="E387" s="139"/>
      <c r="F387" s="139"/>
      <c r="G387" s="139"/>
      <c r="H387" s="139"/>
      <c r="I387" s="139"/>
      <c r="J387" s="139"/>
      <c r="K387" s="139"/>
      <c r="N387" s="139"/>
    </row>
    <row r="388">
      <c r="B388" s="20"/>
      <c r="C388" s="20"/>
      <c r="E388" s="139"/>
      <c r="F388" s="139"/>
      <c r="G388" s="139"/>
      <c r="H388" s="139"/>
      <c r="I388" s="139"/>
      <c r="J388" s="139"/>
      <c r="K388" s="139"/>
      <c r="N388" s="139"/>
    </row>
    <row r="389">
      <c r="B389" s="20"/>
      <c r="C389" s="20"/>
      <c r="E389" s="139"/>
      <c r="F389" s="139"/>
      <c r="G389" s="139"/>
      <c r="H389" s="139"/>
      <c r="I389" s="139"/>
      <c r="J389" s="139"/>
      <c r="K389" s="139"/>
      <c r="N389" s="139"/>
    </row>
    <row r="390">
      <c r="B390" s="20"/>
      <c r="C390" s="20"/>
      <c r="E390" s="139"/>
      <c r="F390" s="139"/>
      <c r="G390" s="139"/>
      <c r="H390" s="139"/>
      <c r="I390" s="139"/>
      <c r="J390" s="139"/>
      <c r="K390" s="139"/>
      <c r="N390" s="139"/>
    </row>
    <row r="391">
      <c r="B391" s="20"/>
      <c r="C391" s="20"/>
      <c r="E391" s="139"/>
      <c r="F391" s="139"/>
      <c r="G391" s="139"/>
      <c r="H391" s="139"/>
      <c r="I391" s="139"/>
      <c r="J391" s="139"/>
      <c r="K391" s="139"/>
      <c r="N391" s="139"/>
    </row>
    <row r="392">
      <c r="B392" s="20"/>
      <c r="C392" s="20"/>
      <c r="E392" s="139"/>
      <c r="F392" s="139"/>
      <c r="G392" s="139"/>
      <c r="H392" s="139"/>
      <c r="I392" s="139"/>
      <c r="J392" s="139"/>
      <c r="K392" s="139"/>
      <c r="N392" s="139"/>
    </row>
    <row r="393">
      <c r="B393" s="20"/>
      <c r="C393" s="20"/>
      <c r="E393" s="139"/>
      <c r="F393" s="139"/>
      <c r="G393" s="139"/>
      <c r="H393" s="139"/>
      <c r="I393" s="139"/>
      <c r="J393" s="139"/>
      <c r="K393" s="139"/>
      <c r="N393" s="139"/>
    </row>
    <row r="394">
      <c r="B394" s="20"/>
      <c r="C394" s="20"/>
      <c r="E394" s="139"/>
      <c r="F394" s="139"/>
      <c r="G394" s="139"/>
      <c r="H394" s="139"/>
      <c r="I394" s="139"/>
      <c r="J394" s="139"/>
      <c r="K394" s="139"/>
      <c r="N394" s="139"/>
    </row>
    <row r="395">
      <c r="B395" s="20"/>
      <c r="C395" s="20"/>
      <c r="E395" s="139"/>
      <c r="F395" s="139"/>
      <c r="G395" s="139"/>
      <c r="H395" s="139"/>
      <c r="I395" s="139"/>
      <c r="J395" s="139"/>
      <c r="K395" s="139"/>
      <c r="N395" s="139"/>
    </row>
    <row r="396">
      <c r="B396" s="20"/>
      <c r="C396" s="20"/>
      <c r="E396" s="139"/>
      <c r="F396" s="139"/>
      <c r="G396" s="139"/>
      <c r="H396" s="139"/>
      <c r="I396" s="139"/>
      <c r="J396" s="139"/>
      <c r="K396" s="139"/>
      <c r="N396" s="139"/>
    </row>
    <row r="397">
      <c r="B397" s="20"/>
      <c r="C397" s="20"/>
      <c r="E397" s="139"/>
      <c r="F397" s="139"/>
      <c r="G397" s="139"/>
      <c r="H397" s="139"/>
      <c r="I397" s="139"/>
      <c r="J397" s="139"/>
      <c r="K397" s="139"/>
      <c r="N397" s="139"/>
    </row>
    <row r="398">
      <c r="B398" s="20"/>
      <c r="C398" s="20"/>
      <c r="E398" s="139"/>
      <c r="F398" s="139"/>
      <c r="G398" s="139"/>
      <c r="H398" s="139"/>
      <c r="I398" s="139"/>
      <c r="J398" s="139"/>
      <c r="K398" s="139"/>
      <c r="N398" s="139"/>
    </row>
    <row r="399">
      <c r="B399" s="20"/>
      <c r="C399" s="20"/>
      <c r="E399" s="139"/>
      <c r="F399" s="139"/>
      <c r="G399" s="139"/>
      <c r="H399" s="139"/>
      <c r="I399" s="139"/>
      <c r="J399" s="139"/>
      <c r="K399" s="139"/>
      <c r="N399" s="139"/>
    </row>
    <row r="400">
      <c r="B400" s="20"/>
      <c r="C400" s="20"/>
      <c r="E400" s="139"/>
      <c r="F400" s="139"/>
      <c r="G400" s="139"/>
      <c r="H400" s="139"/>
      <c r="I400" s="139"/>
      <c r="J400" s="139"/>
      <c r="K400" s="139"/>
      <c r="N400" s="139"/>
    </row>
    <row r="401">
      <c r="B401" s="20"/>
      <c r="C401" s="20"/>
      <c r="E401" s="139"/>
      <c r="F401" s="139"/>
      <c r="G401" s="139"/>
      <c r="H401" s="139"/>
      <c r="I401" s="139"/>
      <c r="J401" s="139"/>
      <c r="K401" s="139"/>
      <c r="N401" s="139"/>
    </row>
    <row r="402">
      <c r="B402" s="20"/>
      <c r="C402" s="20"/>
      <c r="E402" s="139"/>
      <c r="F402" s="139"/>
      <c r="G402" s="139"/>
      <c r="H402" s="139"/>
      <c r="I402" s="139"/>
      <c r="J402" s="139"/>
      <c r="K402" s="139"/>
      <c r="N402" s="139"/>
    </row>
    <row r="403">
      <c r="B403" s="20"/>
      <c r="C403" s="20"/>
      <c r="E403" s="139"/>
      <c r="F403" s="139"/>
      <c r="G403" s="139"/>
      <c r="H403" s="139"/>
      <c r="I403" s="139"/>
      <c r="J403" s="139"/>
      <c r="K403" s="139"/>
      <c r="N403" s="139"/>
    </row>
    <row r="404">
      <c r="B404" s="20"/>
      <c r="C404" s="20"/>
      <c r="E404" s="139"/>
      <c r="F404" s="139"/>
      <c r="G404" s="139"/>
      <c r="H404" s="139"/>
      <c r="I404" s="139"/>
      <c r="J404" s="139"/>
      <c r="K404" s="139"/>
      <c r="N404" s="139"/>
    </row>
    <row r="405">
      <c r="B405" s="20"/>
      <c r="C405" s="20"/>
      <c r="E405" s="139"/>
      <c r="F405" s="139"/>
      <c r="G405" s="139"/>
      <c r="H405" s="139"/>
      <c r="I405" s="139"/>
      <c r="J405" s="139"/>
      <c r="K405" s="139"/>
      <c r="N405" s="139"/>
    </row>
    <row r="406">
      <c r="B406" s="20"/>
      <c r="C406" s="20"/>
      <c r="E406" s="139"/>
      <c r="F406" s="139"/>
      <c r="G406" s="139"/>
      <c r="H406" s="139"/>
      <c r="I406" s="139"/>
      <c r="J406" s="139"/>
      <c r="K406" s="139"/>
      <c r="N406" s="139"/>
    </row>
    <row r="407">
      <c r="B407" s="20"/>
      <c r="C407" s="20"/>
      <c r="E407" s="139"/>
      <c r="F407" s="139"/>
      <c r="G407" s="139"/>
      <c r="H407" s="139"/>
      <c r="I407" s="139"/>
      <c r="J407" s="139"/>
      <c r="K407" s="139"/>
      <c r="N407" s="139"/>
    </row>
    <row r="408">
      <c r="B408" s="20"/>
      <c r="C408" s="20"/>
      <c r="E408" s="139"/>
      <c r="F408" s="139"/>
      <c r="G408" s="139"/>
      <c r="H408" s="139"/>
      <c r="I408" s="139"/>
      <c r="J408" s="139"/>
      <c r="K408" s="139"/>
      <c r="N408" s="139"/>
    </row>
    <row r="409">
      <c r="B409" s="20"/>
      <c r="C409" s="20"/>
      <c r="E409" s="139"/>
      <c r="F409" s="139"/>
      <c r="G409" s="139"/>
      <c r="H409" s="139"/>
      <c r="I409" s="139"/>
      <c r="J409" s="139"/>
      <c r="K409" s="139"/>
      <c r="N409" s="139"/>
    </row>
    <row r="410">
      <c r="B410" s="20"/>
      <c r="C410" s="20"/>
      <c r="E410" s="139"/>
      <c r="F410" s="139"/>
      <c r="G410" s="139"/>
      <c r="H410" s="139"/>
      <c r="I410" s="139"/>
      <c r="J410" s="139"/>
      <c r="K410" s="139"/>
      <c r="N410" s="139"/>
    </row>
    <row r="411">
      <c r="B411" s="20"/>
      <c r="C411" s="20"/>
      <c r="E411" s="139"/>
      <c r="F411" s="139"/>
      <c r="G411" s="139"/>
      <c r="H411" s="139"/>
      <c r="I411" s="139"/>
      <c r="J411" s="139"/>
      <c r="K411" s="139"/>
      <c r="N411" s="139"/>
    </row>
    <row r="412">
      <c r="B412" s="20"/>
      <c r="C412" s="20"/>
      <c r="E412" s="139"/>
      <c r="F412" s="139"/>
      <c r="G412" s="139"/>
      <c r="H412" s="139"/>
      <c r="I412" s="139"/>
      <c r="J412" s="139"/>
      <c r="K412" s="139"/>
      <c r="N412" s="139"/>
    </row>
    <row r="413">
      <c r="B413" s="20"/>
      <c r="C413" s="20"/>
      <c r="E413" s="139"/>
      <c r="F413" s="139"/>
      <c r="G413" s="139"/>
      <c r="H413" s="139"/>
      <c r="I413" s="139"/>
      <c r="J413" s="139"/>
      <c r="K413" s="139"/>
      <c r="N413" s="139"/>
    </row>
    <row r="414">
      <c r="B414" s="20"/>
      <c r="C414" s="20"/>
      <c r="E414" s="139"/>
      <c r="F414" s="139"/>
      <c r="G414" s="139"/>
      <c r="H414" s="139"/>
      <c r="I414" s="139"/>
      <c r="J414" s="139"/>
      <c r="K414" s="139"/>
      <c r="N414" s="139"/>
    </row>
    <row r="415">
      <c r="B415" s="20"/>
      <c r="C415" s="20"/>
      <c r="E415" s="139"/>
      <c r="F415" s="139"/>
      <c r="G415" s="139"/>
      <c r="H415" s="139"/>
      <c r="I415" s="139"/>
      <c r="J415" s="139"/>
      <c r="K415" s="139"/>
      <c r="N415" s="139"/>
    </row>
    <row r="416">
      <c r="B416" s="20"/>
      <c r="C416" s="20"/>
      <c r="E416" s="139"/>
      <c r="F416" s="139"/>
      <c r="G416" s="139"/>
      <c r="H416" s="139"/>
      <c r="I416" s="139"/>
      <c r="J416" s="139"/>
      <c r="K416" s="139"/>
      <c r="N416" s="139"/>
    </row>
    <row r="417">
      <c r="B417" s="20"/>
      <c r="C417" s="20"/>
      <c r="E417" s="139"/>
      <c r="F417" s="139"/>
      <c r="G417" s="139"/>
      <c r="H417" s="139"/>
      <c r="I417" s="139"/>
      <c r="J417" s="139"/>
      <c r="K417" s="139"/>
      <c r="N417" s="139"/>
    </row>
    <row r="418">
      <c r="B418" s="20"/>
      <c r="C418" s="20"/>
      <c r="E418" s="139"/>
      <c r="F418" s="139"/>
      <c r="G418" s="139"/>
      <c r="H418" s="139"/>
      <c r="I418" s="139"/>
      <c r="J418" s="139"/>
      <c r="K418" s="139"/>
      <c r="N418" s="139"/>
    </row>
    <row r="419">
      <c r="B419" s="20"/>
      <c r="C419" s="20"/>
      <c r="E419" s="139"/>
      <c r="F419" s="139"/>
      <c r="G419" s="139"/>
      <c r="H419" s="139"/>
      <c r="I419" s="139"/>
      <c r="J419" s="139"/>
      <c r="K419" s="139"/>
      <c r="N419" s="139"/>
    </row>
    <row r="420">
      <c r="B420" s="20"/>
      <c r="C420" s="20"/>
      <c r="E420" s="139"/>
      <c r="F420" s="139"/>
      <c r="G420" s="139"/>
      <c r="H420" s="139"/>
      <c r="I420" s="139"/>
      <c r="J420" s="139"/>
      <c r="K420" s="139"/>
      <c r="N420" s="139"/>
    </row>
    <row r="421">
      <c r="B421" s="20"/>
      <c r="C421" s="20"/>
      <c r="E421" s="139"/>
      <c r="F421" s="139"/>
      <c r="G421" s="139"/>
      <c r="H421" s="139"/>
      <c r="I421" s="139"/>
      <c r="J421" s="139"/>
      <c r="K421" s="139"/>
      <c r="N421" s="139"/>
    </row>
    <row r="422">
      <c r="B422" s="20"/>
      <c r="C422" s="20"/>
      <c r="E422" s="139"/>
      <c r="F422" s="139"/>
      <c r="G422" s="139"/>
      <c r="H422" s="139"/>
      <c r="I422" s="139"/>
      <c r="J422" s="139"/>
      <c r="K422" s="139"/>
      <c r="N422" s="139"/>
    </row>
    <row r="423">
      <c r="B423" s="20"/>
      <c r="C423" s="20"/>
      <c r="E423" s="139"/>
      <c r="F423" s="139"/>
      <c r="G423" s="139"/>
      <c r="H423" s="139"/>
      <c r="I423" s="139"/>
      <c r="J423" s="139"/>
      <c r="K423" s="139"/>
      <c r="N423" s="139"/>
    </row>
    <row r="424">
      <c r="B424" s="20"/>
      <c r="C424" s="20"/>
      <c r="E424" s="139"/>
      <c r="F424" s="139"/>
      <c r="G424" s="139"/>
      <c r="H424" s="139"/>
      <c r="I424" s="139"/>
      <c r="J424" s="139"/>
      <c r="K424" s="139"/>
      <c r="N424" s="139"/>
    </row>
    <row r="425">
      <c r="B425" s="20"/>
      <c r="C425" s="20"/>
      <c r="E425" s="139"/>
      <c r="F425" s="139"/>
      <c r="G425" s="139"/>
      <c r="H425" s="139"/>
      <c r="I425" s="139"/>
      <c r="J425" s="139"/>
      <c r="K425" s="139"/>
      <c r="N425" s="139"/>
    </row>
    <row r="426">
      <c r="B426" s="20"/>
      <c r="C426" s="20"/>
      <c r="E426" s="139"/>
      <c r="F426" s="139"/>
      <c r="G426" s="139"/>
      <c r="H426" s="139"/>
      <c r="I426" s="139"/>
      <c r="J426" s="139"/>
      <c r="K426" s="139"/>
      <c r="N426" s="139"/>
    </row>
    <row r="427">
      <c r="B427" s="20"/>
      <c r="C427" s="20"/>
      <c r="E427" s="139"/>
      <c r="F427" s="139"/>
      <c r="G427" s="139"/>
      <c r="H427" s="139"/>
      <c r="I427" s="139"/>
      <c r="J427" s="139"/>
      <c r="K427" s="139"/>
      <c r="N427" s="139"/>
    </row>
    <row r="428">
      <c r="B428" s="20"/>
      <c r="C428" s="20"/>
      <c r="E428" s="139"/>
      <c r="F428" s="139"/>
      <c r="G428" s="139"/>
      <c r="H428" s="139"/>
      <c r="I428" s="139"/>
      <c r="J428" s="139"/>
      <c r="K428" s="139"/>
      <c r="N428" s="139"/>
    </row>
    <row r="429">
      <c r="B429" s="20"/>
      <c r="C429" s="20"/>
      <c r="E429" s="139"/>
      <c r="F429" s="139"/>
      <c r="G429" s="139"/>
      <c r="H429" s="139"/>
      <c r="I429" s="139"/>
      <c r="J429" s="139"/>
      <c r="K429" s="139"/>
      <c r="N429" s="139"/>
    </row>
    <row r="430">
      <c r="B430" s="20"/>
      <c r="C430" s="20"/>
      <c r="E430" s="139"/>
      <c r="F430" s="139"/>
      <c r="G430" s="139"/>
      <c r="H430" s="139"/>
      <c r="I430" s="139"/>
      <c r="J430" s="139"/>
      <c r="K430" s="139"/>
      <c r="N430" s="139"/>
    </row>
    <row r="431">
      <c r="B431" s="20"/>
      <c r="C431" s="20"/>
      <c r="E431" s="139"/>
      <c r="F431" s="139"/>
      <c r="G431" s="139"/>
      <c r="H431" s="139"/>
      <c r="I431" s="139"/>
      <c r="J431" s="139"/>
      <c r="K431" s="139"/>
      <c r="N431" s="139"/>
    </row>
    <row r="432">
      <c r="B432" s="20"/>
      <c r="C432" s="20"/>
      <c r="E432" s="139"/>
      <c r="F432" s="139"/>
      <c r="G432" s="139"/>
      <c r="H432" s="139"/>
      <c r="I432" s="139"/>
      <c r="J432" s="139"/>
      <c r="K432" s="139"/>
      <c r="N432" s="139"/>
    </row>
    <row r="433">
      <c r="B433" s="20"/>
      <c r="C433" s="20"/>
      <c r="E433" s="139"/>
      <c r="F433" s="139"/>
      <c r="G433" s="139"/>
      <c r="H433" s="139"/>
      <c r="I433" s="139"/>
      <c r="J433" s="139"/>
      <c r="K433" s="139"/>
      <c r="N433" s="139"/>
    </row>
    <row r="434">
      <c r="B434" s="20"/>
      <c r="C434" s="20"/>
      <c r="E434" s="139"/>
      <c r="F434" s="139"/>
      <c r="G434" s="139"/>
      <c r="H434" s="139"/>
      <c r="I434" s="139"/>
      <c r="J434" s="139"/>
      <c r="K434" s="139"/>
      <c r="N434" s="139"/>
    </row>
    <row r="435">
      <c r="B435" s="20"/>
      <c r="C435" s="20"/>
      <c r="E435" s="139"/>
      <c r="F435" s="139"/>
      <c r="G435" s="139"/>
      <c r="H435" s="139"/>
      <c r="I435" s="139"/>
      <c r="J435" s="139"/>
      <c r="K435" s="139"/>
      <c r="N435" s="139"/>
    </row>
    <row r="436">
      <c r="B436" s="20"/>
      <c r="C436" s="20"/>
      <c r="E436" s="139"/>
      <c r="F436" s="139"/>
      <c r="G436" s="139"/>
      <c r="H436" s="139"/>
      <c r="I436" s="139"/>
      <c r="J436" s="139"/>
      <c r="K436" s="139"/>
      <c r="N436" s="139"/>
    </row>
    <row r="437">
      <c r="B437" s="20"/>
      <c r="C437" s="20"/>
      <c r="E437" s="139"/>
      <c r="F437" s="139"/>
      <c r="G437" s="139"/>
      <c r="H437" s="139"/>
      <c r="I437" s="139"/>
      <c r="J437" s="139"/>
      <c r="K437" s="139"/>
      <c r="N437" s="139"/>
    </row>
    <row r="438">
      <c r="B438" s="20"/>
      <c r="C438" s="20"/>
      <c r="E438" s="139"/>
      <c r="F438" s="139"/>
      <c r="G438" s="139"/>
      <c r="H438" s="139"/>
      <c r="I438" s="139"/>
      <c r="J438" s="139"/>
      <c r="K438" s="139"/>
      <c r="N438" s="139"/>
    </row>
    <row r="439">
      <c r="B439" s="20"/>
      <c r="C439" s="20"/>
      <c r="E439" s="139"/>
      <c r="F439" s="139"/>
      <c r="G439" s="139"/>
      <c r="H439" s="139"/>
      <c r="I439" s="139"/>
      <c r="J439" s="139"/>
      <c r="K439" s="139"/>
      <c r="N439" s="139"/>
    </row>
    <row r="440">
      <c r="B440" s="20"/>
      <c r="C440" s="20"/>
      <c r="E440" s="139"/>
      <c r="F440" s="139"/>
      <c r="G440" s="139"/>
      <c r="H440" s="139"/>
      <c r="I440" s="139"/>
      <c r="J440" s="139"/>
      <c r="K440" s="139"/>
      <c r="N440" s="139"/>
    </row>
    <row r="441">
      <c r="B441" s="20"/>
      <c r="C441" s="20"/>
      <c r="E441" s="139"/>
      <c r="F441" s="139"/>
      <c r="G441" s="139"/>
      <c r="H441" s="139"/>
      <c r="I441" s="139"/>
      <c r="J441" s="139"/>
      <c r="K441" s="139"/>
      <c r="N441" s="139"/>
    </row>
    <row r="442">
      <c r="B442" s="20"/>
      <c r="C442" s="20"/>
      <c r="E442" s="139"/>
      <c r="F442" s="139"/>
      <c r="G442" s="139"/>
      <c r="H442" s="139"/>
      <c r="I442" s="139"/>
      <c r="J442" s="139"/>
      <c r="K442" s="139"/>
      <c r="N442" s="139"/>
    </row>
    <row r="443">
      <c r="B443" s="20"/>
      <c r="C443" s="20"/>
      <c r="E443" s="139"/>
      <c r="F443" s="139"/>
      <c r="G443" s="139"/>
      <c r="H443" s="139"/>
      <c r="I443" s="139"/>
      <c r="J443" s="139"/>
      <c r="K443" s="139"/>
      <c r="N443" s="139"/>
    </row>
    <row r="444">
      <c r="B444" s="20"/>
      <c r="C444" s="20"/>
      <c r="E444" s="139"/>
      <c r="F444" s="139"/>
      <c r="G444" s="139"/>
      <c r="H444" s="139"/>
      <c r="I444" s="139"/>
      <c r="J444" s="139"/>
      <c r="K444" s="139"/>
      <c r="N444" s="139"/>
    </row>
    <row r="445">
      <c r="B445" s="20"/>
      <c r="C445" s="20"/>
      <c r="E445" s="139"/>
      <c r="F445" s="139"/>
      <c r="G445" s="139"/>
      <c r="H445" s="139"/>
      <c r="I445" s="139"/>
      <c r="J445" s="139"/>
      <c r="K445" s="139"/>
      <c r="N445" s="139"/>
    </row>
    <row r="446">
      <c r="B446" s="20"/>
      <c r="C446" s="20"/>
      <c r="E446" s="139"/>
      <c r="F446" s="139"/>
      <c r="G446" s="139"/>
      <c r="H446" s="139"/>
      <c r="I446" s="139"/>
      <c r="J446" s="139"/>
      <c r="K446" s="139"/>
      <c r="N446" s="139"/>
    </row>
    <row r="447">
      <c r="B447" s="20"/>
      <c r="C447" s="20"/>
      <c r="E447" s="139"/>
      <c r="F447" s="139"/>
      <c r="G447" s="139"/>
      <c r="H447" s="139"/>
      <c r="I447" s="139"/>
      <c r="J447" s="139"/>
      <c r="K447" s="139"/>
      <c r="N447" s="139"/>
    </row>
    <row r="448">
      <c r="B448" s="20"/>
      <c r="C448" s="20"/>
      <c r="E448" s="139"/>
      <c r="F448" s="139"/>
      <c r="G448" s="139"/>
      <c r="H448" s="139"/>
      <c r="I448" s="139"/>
      <c r="J448" s="139"/>
      <c r="K448" s="139"/>
      <c r="N448" s="139"/>
    </row>
    <row r="449">
      <c r="B449" s="20"/>
      <c r="C449" s="20"/>
      <c r="E449" s="139"/>
      <c r="F449" s="139"/>
      <c r="G449" s="139"/>
      <c r="H449" s="139"/>
      <c r="I449" s="139"/>
      <c r="J449" s="139"/>
      <c r="K449" s="139"/>
      <c r="N449" s="139"/>
    </row>
    <row r="450">
      <c r="B450" s="20"/>
      <c r="C450" s="20"/>
      <c r="E450" s="139"/>
      <c r="F450" s="139"/>
      <c r="G450" s="139"/>
      <c r="H450" s="139"/>
      <c r="I450" s="139"/>
      <c r="J450" s="139"/>
      <c r="K450" s="139"/>
      <c r="N450" s="139"/>
    </row>
    <row r="451">
      <c r="B451" s="20"/>
      <c r="C451" s="20"/>
      <c r="E451" s="139"/>
      <c r="F451" s="139"/>
      <c r="G451" s="139"/>
      <c r="H451" s="139"/>
      <c r="I451" s="139"/>
      <c r="J451" s="139"/>
      <c r="K451" s="139"/>
      <c r="N451" s="139"/>
    </row>
    <row r="452">
      <c r="B452" s="20"/>
      <c r="C452" s="20"/>
      <c r="E452" s="139"/>
      <c r="F452" s="139"/>
      <c r="G452" s="139"/>
      <c r="H452" s="139"/>
      <c r="I452" s="139"/>
      <c r="J452" s="139"/>
      <c r="K452" s="139"/>
      <c r="N452" s="139"/>
    </row>
    <row r="453">
      <c r="B453" s="20"/>
      <c r="C453" s="20"/>
      <c r="E453" s="139"/>
      <c r="F453" s="139"/>
      <c r="G453" s="139"/>
      <c r="H453" s="139"/>
      <c r="I453" s="139"/>
      <c r="J453" s="139"/>
      <c r="K453" s="139"/>
      <c r="N453" s="139"/>
    </row>
    <row r="454">
      <c r="B454" s="20"/>
      <c r="C454" s="20"/>
      <c r="E454" s="139"/>
      <c r="F454" s="139"/>
      <c r="G454" s="139"/>
      <c r="H454" s="139"/>
      <c r="I454" s="139"/>
      <c r="J454" s="139"/>
      <c r="K454" s="139"/>
      <c r="N454" s="139"/>
    </row>
    <row r="455">
      <c r="B455" s="20"/>
      <c r="C455" s="20"/>
      <c r="E455" s="139"/>
      <c r="F455" s="139"/>
      <c r="G455" s="139"/>
      <c r="H455" s="139"/>
      <c r="I455" s="139"/>
      <c r="J455" s="139"/>
      <c r="K455" s="139"/>
      <c r="N455" s="139"/>
    </row>
    <row r="456">
      <c r="B456" s="20"/>
      <c r="C456" s="20"/>
      <c r="E456" s="139"/>
      <c r="F456" s="139"/>
      <c r="G456" s="139"/>
      <c r="H456" s="139"/>
      <c r="I456" s="139"/>
      <c r="J456" s="139"/>
      <c r="K456" s="139"/>
      <c r="N456" s="139"/>
    </row>
    <row r="457">
      <c r="B457" s="20"/>
      <c r="C457" s="20"/>
      <c r="E457" s="139"/>
      <c r="F457" s="139"/>
      <c r="G457" s="139"/>
      <c r="H457" s="139"/>
      <c r="I457" s="139"/>
      <c r="J457" s="139"/>
      <c r="K457" s="139"/>
      <c r="N457" s="139"/>
    </row>
    <row r="458">
      <c r="B458" s="20"/>
      <c r="C458" s="20"/>
      <c r="E458" s="139"/>
      <c r="F458" s="139"/>
      <c r="G458" s="139"/>
      <c r="H458" s="139"/>
      <c r="I458" s="139"/>
      <c r="J458" s="139"/>
      <c r="K458" s="139"/>
      <c r="N458" s="139"/>
    </row>
    <row r="459">
      <c r="B459" s="20"/>
      <c r="C459" s="20"/>
      <c r="E459" s="139"/>
      <c r="F459" s="139"/>
      <c r="G459" s="139"/>
      <c r="H459" s="139"/>
      <c r="I459" s="139"/>
      <c r="J459" s="139"/>
      <c r="K459" s="139"/>
      <c r="N459" s="139"/>
    </row>
    <row r="460">
      <c r="B460" s="20"/>
      <c r="C460" s="20"/>
      <c r="E460" s="139"/>
      <c r="F460" s="139"/>
      <c r="G460" s="139"/>
      <c r="H460" s="139"/>
      <c r="I460" s="139"/>
      <c r="J460" s="139"/>
      <c r="K460" s="139"/>
      <c r="N460" s="139"/>
    </row>
    <row r="461">
      <c r="B461" s="20"/>
      <c r="C461" s="20"/>
      <c r="E461" s="139"/>
      <c r="F461" s="139"/>
      <c r="G461" s="139"/>
      <c r="H461" s="139"/>
      <c r="I461" s="139"/>
      <c r="J461" s="139"/>
      <c r="K461" s="139"/>
      <c r="N461" s="139"/>
    </row>
    <row r="462">
      <c r="B462" s="20"/>
      <c r="C462" s="20"/>
      <c r="E462" s="139"/>
      <c r="F462" s="139"/>
      <c r="G462" s="139"/>
      <c r="H462" s="139"/>
      <c r="I462" s="139"/>
      <c r="J462" s="139"/>
      <c r="K462" s="139"/>
      <c r="N462" s="139"/>
    </row>
    <row r="463">
      <c r="B463" s="20"/>
      <c r="C463" s="20"/>
      <c r="E463" s="139"/>
      <c r="F463" s="139"/>
      <c r="G463" s="139"/>
      <c r="H463" s="139"/>
      <c r="I463" s="139"/>
      <c r="J463" s="139"/>
      <c r="K463" s="139"/>
      <c r="N463" s="139"/>
    </row>
    <row r="464">
      <c r="B464" s="20"/>
      <c r="C464" s="20"/>
      <c r="E464" s="139"/>
      <c r="F464" s="139"/>
      <c r="G464" s="139"/>
      <c r="H464" s="139"/>
      <c r="I464" s="139"/>
      <c r="J464" s="139"/>
      <c r="K464" s="139"/>
      <c r="N464" s="139"/>
    </row>
    <row r="465">
      <c r="B465" s="20"/>
      <c r="C465" s="20"/>
      <c r="E465" s="139"/>
      <c r="F465" s="139"/>
      <c r="G465" s="139"/>
      <c r="H465" s="139"/>
      <c r="I465" s="139"/>
      <c r="J465" s="139"/>
      <c r="K465" s="139"/>
      <c r="N465" s="139"/>
    </row>
    <row r="466">
      <c r="B466" s="20"/>
      <c r="C466" s="20"/>
      <c r="E466" s="139"/>
      <c r="F466" s="139"/>
      <c r="G466" s="139"/>
      <c r="H466" s="139"/>
      <c r="I466" s="139"/>
      <c r="J466" s="139"/>
      <c r="K466" s="139"/>
      <c r="N466" s="139"/>
    </row>
    <row r="467">
      <c r="B467" s="20"/>
      <c r="C467" s="20"/>
      <c r="E467" s="139"/>
      <c r="F467" s="139"/>
      <c r="G467" s="139"/>
      <c r="H467" s="139"/>
      <c r="I467" s="139"/>
      <c r="J467" s="139"/>
      <c r="K467" s="139"/>
      <c r="N467" s="139"/>
    </row>
    <row r="468">
      <c r="B468" s="20"/>
      <c r="C468" s="20"/>
      <c r="E468" s="139"/>
      <c r="F468" s="139"/>
      <c r="G468" s="139"/>
      <c r="H468" s="139"/>
      <c r="I468" s="139"/>
      <c r="J468" s="139"/>
      <c r="K468" s="139"/>
      <c r="N468" s="139"/>
    </row>
    <row r="469">
      <c r="B469" s="20"/>
      <c r="C469" s="20"/>
      <c r="E469" s="139"/>
      <c r="F469" s="139"/>
      <c r="G469" s="139"/>
      <c r="H469" s="139"/>
      <c r="I469" s="139"/>
      <c r="J469" s="139"/>
      <c r="K469" s="139"/>
      <c r="N469" s="139"/>
    </row>
    <row r="470">
      <c r="B470" s="20"/>
      <c r="C470" s="20"/>
      <c r="E470" s="139"/>
      <c r="F470" s="139"/>
      <c r="G470" s="139"/>
      <c r="H470" s="139"/>
      <c r="I470" s="139"/>
      <c r="J470" s="139"/>
      <c r="K470" s="139"/>
      <c r="N470" s="139"/>
    </row>
    <row r="471">
      <c r="B471" s="20"/>
      <c r="C471" s="20"/>
      <c r="E471" s="139"/>
      <c r="F471" s="139"/>
      <c r="G471" s="139"/>
      <c r="H471" s="139"/>
      <c r="I471" s="139"/>
      <c r="J471" s="139"/>
      <c r="K471" s="139"/>
      <c r="N471" s="139"/>
    </row>
    <row r="472">
      <c r="B472" s="20"/>
      <c r="C472" s="20"/>
      <c r="E472" s="139"/>
      <c r="F472" s="139"/>
      <c r="G472" s="139"/>
      <c r="H472" s="139"/>
      <c r="I472" s="139"/>
      <c r="J472" s="139"/>
      <c r="K472" s="139"/>
      <c r="N472" s="139"/>
    </row>
    <row r="473">
      <c r="B473" s="20"/>
      <c r="C473" s="20"/>
      <c r="E473" s="139"/>
      <c r="F473" s="139"/>
      <c r="G473" s="139"/>
      <c r="H473" s="139"/>
      <c r="I473" s="139"/>
      <c r="J473" s="139"/>
      <c r="K473" s="139"/>
      <c r="N473" s="139"/>
    </row>
    <row r="474">
      <c r="B474" s="20"/>
      <c r="C474" s="20"/>
      <c r="E474" s="139"/>
      <c r="F474" s="139"/>
      <c r="G474" s="139"/>
      <c r="H474" s="139"/>
      <c r="I474" s="139"/>
      <c r="J474" s="139"/>
      <c r="K474" s="139"/>
      <c r="N474" s="139"/>
    </row>
    <row r="475">
      <c r="B475" s="20"/>
      <c r="C475" s="20"/>
      <c r="E475" s="139"/>
      <c r="F475" s="139"/>
      <c r="G475" s="139"/>
      <c r="H475" s="139"/>
      <c r="I475" s="139"/>
      <c r="J475" s="139"/>
      <c r="K475" s="139"/>
      <c r="N475" s="139"/>
    </row>
    <row r="476">
      <c r="B476" s="20"/>
      <c r="C476" s="20"/>
      <c r="E476" s="139"/>
      <c r="F476" s="139"/>
      <c r="G476" s="139"/>
      <c r="H476" s="139"/>
      <c r="I476" s="139"/>
      <c r="J476" s="139"/>
      <c r="K476" s="139"/>
      <c r="N476" s="139"/>
    </row>
    <row r="477">
      <c r="B477" s="20"/>
      <c r="C477" s="20"/>
      <c r="E477" s="139"/>
      <c r="F477" s="139"/>
      <c r="G477" s="139"/>
      <c r="H477" s="139"/>
      <c r="I477" s="139"/>
      <c r="J477" s="139"/>
      <c r="K477" s="139"/>
      <c r="N477" s="139"/>
    </row>
    <row r="478">
      <c r="B478" s="20"/>
      <c r="C478" s="20"/>
      <c r="E478" s="139"/>
      <c r="F478" s="139"/>
      <c r="G478" s="139"/>
      <c r="H478" s="139"/>
      <c r="I478" s="139"/>
      <c r="J478" s="139"/>
      <c r="K478" s="139"/>
      <c r="N478" s="139"/>
    </row>
    <row r="479">
      <c r="B479" s="20"/>
      <c r="C479" s="20"/>
      <c r="E479" s="139"/>
      <c r="F479" s="139"/>
      <c r="G479" s="139"/>
      <c r="H479" s="139"/>
      <c r="I479" s="139"/>
      <c r="J479" s="139"/>
      <c r="K479" s="139"/>
      <c r="N479" s="139"/>
    </row>
    <row r="480">
      <c r="B480" s="20"/>
      <c r="C480" s="20"/>
      <c r="E480" s="139"/>
      <c r="F480" s="139"/>
      <c r="G480" s="139"/>
      <c r="H480" s="139"/>
      <c r="I480" s="139"/>
      <c r="J480" s="139"/>
      <c r="K480" s="139"/>
      <c r="N480" s="139"/>
    </row>
    <row r="481">
      <c r="B481" s="20"/>
      <c r="C481" s="20"/>
      <c r="E481" s="139"/>
      <c r="F481" s="139"/>
      <c r="G481" s="139"/>
      <c r="H481" s="139"/>
      <c r="I481" s="139"/>
      <c r="J481" s="139"/>
      <c r="K481" s="139"/>
      <c r="N481" s="139"/>
    </row>
    <row r="482">
      <c r="B482" s="20"/>
      <c r="C482" s="20"/>
      <c r="E482" s="139"/>
      <c r="F482" s="139"/>
      <c r="G482" s="139"/>
      <c r="H482" s="139"/>
      <c r="I482" s="139"/>
      <c r="J482" s="139"/>
      <c r="K482" s="139"/>
      <c r="N482" s="139"/>
    </row>
    <row r="483">
      <c r="B483" s="20"/>
      <c r="C483" s="20"/>
      <c r="E483" s="139"/>
      <c r="F483" s="139"/>
      <c r="G483" s="139"/>
      <c r="H483" s="139"/>
      <c r="I483" s="139"/>
      <c r="J483" s="139"/>
      <c r="K483" s="139"/>
      <c r="N483" s="139"/>
    </row>
    <row r="484">
      <c r="B484" s="20"/>
      <c r="C484" s="20"/>
      <c r="E484" s="139"/>
      <c r="F484" s="139"/>
      <c r="G484" s="139"/>
      <c r="H484" s="139"/>
      <c r="I484" s="139"/>
      <c r="J484" s="139"/>
      <c r="K484" s="139"/>
      <c r="N484" s="139"/>
    </row>
    <row r="485">
      <c r="B485" s="20"/>
      <c r="C485" s="20"/>
      <c r="E485" s="139"/>
      <c r="F485" s="139"/>
      <c r="G485" s="139"/>
      <c r="H485" s="139"/>
      <c r="I485" s="139"/>
      <c r="J485" s="139"/>
      <c r="K485" s="139"/>
      <c r="N485" s="139"/>
    </row>
    <row r="486">
      <c r="B486" s="20"/>
      <c r="C486" s="20"/>
      <c r="E486" s="139"/>
      <c r="F486" s="139"/>
      <c r="G486" s="139"/>
      <c r="H486" s="139"/>
      <c r="I486" s="139"/>
      <c r="J486" s="139"/>
      <c r="K486" s="139"/>
      <c r="N486" s="139"/>
    </row>
    <row r="487">
      <c r="B487" s="20"/>
      <c r="C487" s="20"/>
      <c r="E487" s="139"/>
      <c r="F487" s="139"/>
      <c r="G487" s="139"/>
      <c r="H487" s="139"/>
      <c r="I487" s="139"/>
      <c r="J487" s="139"/>
      <c r="K487" s="139"/>
      <c r="N487" s="139"/>
    </row>
    <row r="488">
      <c r="B488" s="20"/>
      <c r="C488" s="20"/>
      <c r="E488" s="139"/>
      <c r="F488" s="139"/>
      <c r="G488" s="139"/>
      <c r="H488" s="139"/>
      <c r="I488" s="139"/>
      <c r="J488" s="139"/>
      <c r="K488" s="139"/>
      <c r="N488" s="139"/>
    </row>
    <row r="489">
      <c r="B489" s="20"/>
      <c r="C489" s="20"/>
      <c r="E489" s="139"/>
      <c r="F489" s="139"/>
      <c r="G489" s="139"/>
      <c r="H489" s="139"/>
      <c r="I489" s="139"/>
      <c r="J489" s="139"/>
      <c r="K489" s="139"/>
      <c r="N489" s="139"/>
    </row>
    <row r="490">
      <c r="B490" s="20"/>
      <c r="C490" s="20"/>
      <c r="E490" s="139"/>
      <c r="F490" s="139"/>
      <c r="G490" s="139"/>
      <c r="H490" s="139"/>
      <c r="I490" s="139"/>
      <c r="J490" s="139"/>
      <c r="K490" s="139"/>
      <c r="N490" s="139"/>
    </row>
    <row r="491">
      <c r="B491" s="20"/>
      <c r="C491" s="20"/>
      <c r="E491" s="139"/>
      <c r="F491" s="139"/>
      <c r="G491" s="139"/>
      <c r="H491" s="139"/>
      <c r="I491" s="139"/>
      <c r="J491" s="139"/>
      <c r="K491" s="139"/>
      <c r="N491" s="139"/>
    </row>
    <row r="492">
      <c r="B492" s="20"/>
      <c r="C492" s="20"/>
      <c r="E492" s="139"/>
      <c r="F492" s="139"/>
      <c r="G492" s="139"/>
      <c r="H492" s="139"/>
      <c r="I492" s="139"/>
      <c r="J492" s="139"/>
      <c r="K492" s="139"/>
      <c r="N492" s="139"/>
    </row>
    <row r="493">
      <c r="B493" s="20"/>
      <c r="C493" s="20"/>
      <c r="E493" s="139"/>
      <c r="F493" s="139"/>
      <c r="G493" s="139"/>
      <c r="H493" s="139"/>
      <c r="I493" s="139"/>
      <c r="J493" s="139"/>
      <c r="K493" s="139"/>
      <c r="N493" s="139"/>
    </row>
    <row r="494">
      <c r="B494" s="20"/>
      <c r="C494" s="20"/>
      <c r="E494" s="139"/>
      <c r="F494" s="139"/>
      <c r="G494" s="139"/>
      <c r="H494" s="139"/>
      <c r="I494" s="139"/>
      <c r="J494" s="139"/>
      <c r="K494" s="139"/>
      <c r="N494" s="139"/>
    </row>
    <row r="495">
      <c r="B495" s="20"/>
      <c r="C495" s="20"/>
      <c r="E495" s="139"/>
      <c r="F495" s="139"/>
      <c r="G495" s="139"/>
      <c r="H495" s="139"/>
      <c r="I495" s="139"/>
      <c r="J495" s="139"/>
      <c r="K495" s="139"/>
      <c r="N495" s="139"/>
    </row>
    <row r="496">
      <c r="B496" s="20"/>
      <c r="C496" s="20"/>
      <c r="E496" s="139"/>
      <c r="F496" s="139"/>
      <c r="G496" s="139"/>
      <c r="H496" s="139"/>
      <c r="I496" s="139"/>
      <c r="J496" s="139"/>
      <c r="K496" s="139"/>
      <c r="N496" s="139"/>
    </row>
    <row r="497">
      <c r="B497" s="20"/>
      <c r="C497" s="20"/>
      <c r="E497" s="139"/>
      <c r="F497" s="139"/>
      <c r="G497" s="139"/>
      <c r="H497" s="139"/>
      <c r="I497" s="139"/>
      <c r="J497" s="139"/>
      <c r="K497" s="139"/>
      <c r="N497" s="139"/>
    </row>
    <row r="498">
      <c r="B498" s="20"/>
      <c r="C498" s="20"/>
      <c r="E498" s="139"/>
      <c r="F498" s="139"/>
      <c r="G498" s="139"/>
      <c r="H498" s="139"/>
      <c r="I498" s="139"/>
      <c r="J498" s="139"/>
      <c r="K498" s="139"/>
      <c r="N498" s="139"/>
    </row>
    <row r="499">
      <c r="B499" s="20"/>
      <c r="C499" s="20"/>
      <c r="E499" s="139"/>
      <c r="F499" s="139"/>
      <c r="G499" s="139"/>
      <c r="H499" s="139"/>
      <c r="I499" s="139"/>
      <c r="J499" s="139"/>
      <c r="K499" s="139"/>
      <c r="N499" s="139"/>
    </row>
    <row r="500">
      <c r="B500" s="20"/>
      <c r="C500" s="20"/>
      <c r="E500" s="139"/>
      <c r="F500" s="139"/>
      <c r="G500" s="139"/>
      <c r="H500" s="139"/>
      <c r="I500" s="139"/>
      <c r="J500" s="139"/>
      <c r="K500" s="139"/>
      <c r="N500" s="139"/>
    </row>
    <row r="501">
      <c r="B501" s="20"/>
      <c r="C501" s="20"/>
      <c r="E501" s="139"/>
      <c r="F501" s="139"/>
      <c r="G501" s="139"/>
      <c r="H501" s="139"/>
      <c r="I501" s="139"/>
      <c r="J501" s="139"/>
      <c r="K501" s="139"/>
      <c r="N501" s="139"/>
    </row>
    <row r="502">
      <c r="B502" s="20"/>
      <c r="C502" s="20"/>
      <c r="E502" s="139"/>
      <c r="F502" s="139"/>
      <c r="G502" s="139"/>
      <c r="H502" s="139"/>
      <c r="I502" s="139"/>
      <c r="J502" s="139"/>
      <c r="K502" s="139"/>
      <c r="N502" s="139"/>
    </row>
    <row r="503">
      <c r="B503" s="20"/>
      <c r="C503" s="20"/>
      <c r="E503" s="139"/>
      <c r="F503" s="139"/>
      <c r="G503" s="139"/>
      <c r="H503" s="139"/>
      <c r="I503" s="139"/>
      <c r="J503" s="139"/>
      <c r="K503" s="139"/>
      <c r="N503" s="139"/>
    </row>
    <row r="504">
      <c r="B504" s="20"/>
      <c r="C504" s="20"/>
      <c r="E504" s="139"/>
      <c r="F504" s="139"/>
      <c r="G504" s="139"/>
      <c r="H504" s="139"/>
      <c r="I504" s="139"/>
      <c r="J504" s="139"/>
      <c r="K504" s="139"/>
      <c r="N504" s="139"/>
    </row>
    <row r="505">
      <c r="B505" s="20"/>
      <c r="C505" s="20"/>
      <c r="E505" s="139"/>
      <c r="F505" s="139"/>
      <c r="G505" s="139"/>
      <c r="H505" s="139"/>
      <c r="I505" s="139"/>
      <c r="J505" s="139"/>
      <c r="K505" s="139"/>
      <c r="N505" s="139"/>
    </row>
    <row r="506">
      <c r="B506" s="20"/>
      <c r="C506" s="20"/>
      <c r="E506" s="139"/>
      <c r="F506" s="139"/>
      <c r="G506" s="139"/>
      <c r="H506" s="139"/>
      <c r="I506" s="139"/>
      <c r="J506" s="139"/>
      <c r="K506" s="139"/>
      <c r="N506" s="139"/>
    </row>
    <row r="507">
      <c r="B507" s="20"/>
      <c r="C507" s="20"/>
      <c r="E507" s="139"/>
      <c r="F507" s="139"/>
      <c r="G507" s="139"/>
      <c r="H507" s="139"/>
      <c r="I507" s="139"/>
      <c r="J507" s="139"/>
      <c r="K507" s="139"/>
      <c r="N507" s="139"/>
    </row>
    <row r="508">
      <c r="B508" s="20"/>
      <c r="C508" s="20"/>
      <c r="E508" s="139"/>
      <c r="F508" s="139"/>
      <c r="G508" s="139"/>
      <c r="H508" s="139"/>
      <c r="I508" s="139"/>
      <c r="J508" s="139"/>
      <c r="K508" s="139"/>
      <c r="N508" s="139"/>
    </row>
    <row r="509">
      <c r="B509" s="20"/>
      <c r="C509" s="20"/>
      <c r="E509" s="139"/>
      <c r="F509" s="139"/>
      <c r="G509" s="139"/>
      <c r="H509" s="139"/>
      <c r="I509" s="139"/>
      <c r="J509" s="139"/>
      <c r="K509" s="139"/>
      <c r="N509" s="139"/>
    </row>
    <row r="510">
      <c r="B510" s="20"/>
      <c r="C510" s="20"/>
      <c r="E510" s="139"/>
      <c r="F510" s="139"/>
      <c r="G510" s="139"/>
      <c r="H510" s="139"/>
      <c r="I510" s="139"/>
      <c r="J510" s="139"/>
      <c r="K510" s="139"/>
      <c r="N510" s="139"/>
    </row>
    <row r="511">
      <c r="B511" s="20"/>
      <c r="C511" s="20"/>
      <c r="E511" s="139"/>
      <c r="F511" s="139"/>
      <c r="G511" s="139"/>
      <c r="H511" s="139"/>
      <c r="I511" s="139"/>
      <c r="J511" s="139"/>
      <c r="K511" s="139"/>
      <c r="N511" s="139"/>
    </row>
    <row r="512">
      <c r="B512" s="20"/>
      <c r="C512" s="20"/>
      <c r="E512" s="139"/>
      <c r="F512" s="139"/>
      <c r="G512" s="139"/>
      <c r="H512" s="139"/>
      <c r="I512" s="139"/>
      <c r="J512" s="139"/>
      <c r="K512" s="139"/>
      <c r="N512" s="139"/>
    </row>
    <row r="513">
      <c r="B513" s="20"/>
      <c r="C513" s="20"/>
      <c r="E513" s="139"/>
      <c r="F513" s="139"/>
      <c r="G513" s="139"/>
      <c r="H513" s="139"/>
      <c r="I513" s="139"/>
      <c r="J513" s="139"/>
      <c r="K513" s="139"/>
      <c r="N513" s="139"/>
    </row>
    <row r="514">
      <c r="B514" s="20"/>
      <c r="C514" s="20"/>
      <c r="E514" s="139"/>
      <c r="F514" s="139"/>
      <c r="G514" s="139"/>
      <c r="H514" s="139"/>
      <c r="I514" s="139"/>
      <c r="J514" s="139"/>
      <c r="K514" s="139"/>
      <c r="N514" s="139"/>
    </row>
    <row r="515">
      <c r="B515" s="20"/>
      <c r="C515" s="20"/>
      <c r="E515" s="139"/>
      <c r="F515" s="139"/>
      <c r="G515" s="139"/>
      <c r="H515" s="139"/>
      <c r="I515" s="139"/>
      <c r="J515" s="139"/>
      <c r="K515" s="139"/>
      <c r="N515" s="139"/>
    </row>
    <row r="516">
      <c r="B516" s="20"/>
      <c r="C516" s="20"/>
      <c r="E516" s="139"/>
      <c r="F516" s="139"/>
      <c r="G516" s="139"/>
      <c r="H516" s="139"/>
      <c r="I516" s="139"/>
      <c r="J516" s="139"/>
      <c r="K516" s="139"/>
      <c r="N516" s="139"/>
    </row>
    <row r="517">
      <c r="B517" s="20"/>
      <c r="C517" s="20"/>
      <c r="E517" s="139"/>
      <c r="F517" s="139"/>
      <c r="G517" s="139"/>
      <c r="H517" s="139"/>
      <c r="I517" s="139"/>
      <c r="J517" s="139"/>
      <c r="K517" s="139"/>
      <c r="N517" s="139"/>
    </row>
    <row r="518">
      <c r="B518" s="20"/>
      <c r="C518" s="20"/>
      <c r="E518" s="139"/>
      <c r="F518" s="139"/>
      <c r="G518" s="139"/>
      <c r="H518" s="139"/>
      <c r="I518" s="139"/>
      <c r="J518" s="139"/>
      <c r="K518" s="139"/>
      <c r="N518" s="139"/>
    </row>
    <row r="519">
      <c r="B519" s="20"/>
      <c r="C519" s="20"/>
      <c r="E519" s="139"/>
      <c r="F519" s="139"/>
      <c r="G519" s="139"/>
      <c r="H519" s="139"/>
      <c r="I519" s="139"/>
      <c r="J519" s="139"/>
      <c r="K519" s="139"/>
      <c r="N519" s="139"/>
    </row>
    <row r="520">
      <c r="B520" s="20"/>
      <c r="C520" s="20"/>
      <c r="E520" s="139"/>
      <c r="F520" s="139"/>
      <c r="G520" s="139"/>
      <c r="H520" s="139"/>
      <c r="I520" s="139"/>
      <c r="J520" s="139"/>
      <c r="K520" s="139"/>
      <c r="N520" s="139"/>
    </row>
    <row r="521">
      <c r="B521" s="20"/>
      <c r="C521" s="20"/>
      <c r="E521" s="139"/>
      <c r="F521" s="139"/>
      <c r="G521" s="139"/>
      <c r="H521" s="139"/>
      <c r="I521" s="139"/>
      <c r="J521" s="139"/>
      <c r="K521" s="139"/>
      <c r="N521" s="139"/>
    </row>
    <row r="522">
      <c r="B522" s="20"/>
      <c r="C522" s="20"/>
      <c r="E522" s="139"/>
      <c r="F522" s="139"/>
      <c r="G522" s="139"/>
      <c r="H522" s="139"/>
      <c r="I522" s="139"/>
      <c r="J522" s="139"/>
      <c r="K522" s="139"/>
      <c r="N522" s="139"/>
    </row>
    <row r="523">
      <c r="B523" s="20"/>
      <c r="C523" s="20"/>
      <c r="E523" s="139"/>
      <c r="F523" s="139"/>
      <c r="G523" s="139"/>
      <c r="H523" s="139"/>
      <c r="I523" s="139"/>
      <c r="J523" s="139"/>
      <c r="K523" s="139"/>
      <c r="N523" s="139"/>
    </row>
    <row r="524">
      <c r="B524" s="20"/>
      <c r="C524" s="20"/>
      <c r="E524" s="139"/>
      <c r="F524" s="139"/>
      <c r="G524" s="139"/>
      <c r="H524" s="139"/>
      <c r="I524" s="139"/>
      <c r="J524" s="139"/>
      <c r="K524" s="139"/>
      <c r="N524" s="139"/>
    </row>
    <row r="525">
      <c r="B525" s="20"/>
      <c r="C525" s="20"/>
      <c r="E525" s="139"/>
      <c r="F525" s="139"/>
      <c r="G525" s="139"/>
      <c r="H525" s="139"/>
      <c r="I525" s="139"/>
      <c r="J525" s="139"/>
      <c r="K525" s="139"/>
      <c r="N525" s="139"/>
    </row>
    <row r="526">
      <c r="B526" s="20"/>
      <c r="C526" s="20"/>
      <c r="E526" s="139"/>
      <c r="F526" s="139"/>
      <c r="G526" s="139"/>
      <c r="H526" s="139"/>
      <c r="I526" s="139"/>
      <c r="J526" s="139"/>
      <c r="K526" s="139"/>
      <c r="N526" s="139"/>
    </row>
    <row r="527">
      <c r="B527" s="20"/>
      <c r="C527" s="20"/>
      <c r="E527" s="139"/>
      <c r="F527" s="139"/>
      <c r="G527" s="139"/>
      <c r="H527" s="139"/>
      <c r="I527" s="139"/>
      <c r="J527" s="139"/>
      <c r="K527" s="139"/>
      <c r="N527" s="139"/>
    </row>
    <row r="528">
      <c r="B528" s="20"/>
      <c r="C528" s="20"/>
      <c r="E528" s="139"/>
      <c r="F528" s="139"/>
      <c r="G528" s="139"/>
      <c r="H528" s="139"/>
      <c r="I528" s="139"/>
      <c r="J528" s="139"/>
      <c r="K528" s="139"/>
      <c r="N528" s="139"/>
    </row>
    <row r="529">
      <c r="B529" s="20"/>
      <c r="C529" s="20"/>
      <c r="E529" s="139"/>
      <c r="F529" s="139"/>
      <c r="G529" s="139"/>
      <c r="H529" s="139"/>
      <c r="I529" s="139"/>
      <c r="J529" s="139"/>
      <c r="K529" s="139"/>
      <c r="N529" s="139"/>
    </row>
    <row r="530">
      <c r="B530" s="20"/>
      <c r="C530" s="20"/>
      <c r="E530" s="139"/>
      <c r="F530" s="139"/>
      <c r="G530" s="139"/>
      <c r="H530" s="139"/>
      <c r="I530" s="139"/>
      <c r="J530" s="139"/>
      <c r="K530" s="139"/>
      <c r="N530" s="139"/>
    </row>
    <row r="531">
      <c r="B531" s="20"/>
      <c r="C531" s="20"/>
      <c r="E531" s="139"/>
      <c r="F531" s="139"/>
      <c r="G531" s="139"/>
      <c r="H531" s="139"/>
      <c r="I531" s="139"/>
      <c r="J531" s="139"/>
      <c r="K531" s="139"/>
      <c r="N531" s="139"/>
    </row>
    <row r="532">
      <c r="B532" s="20"/>
      <c r="C532" s="20"/>
      <c r="E532" s="139"/>
      <c r="F532" s="139"/>
      <c r="G532" s="139"/>
      <c r="H532" s="139"/>
      <c r="I532" s="139"/>
      <c r="J532" s="139"/>
      <c r="K532" s="139"/>
      <c r="N532" s="139"/>
    </row>
    <row r="533">
      <c r="B533" s="20"/>
      <c r="C533" s="20"/>
      <c r="E533" s="139"/>
      <c r="F533" s="139"/>
      <c r="G533" s="139"/>
      <c r="H533" s="139"/>
      <c r="I533" s="139"/>
      <c r="J533" s="139"/>
      <c r="K533" s="139"/>
      <c r="N533" s="139"/>
    </row>
    <row r="534">
      <c r="B534" s="20"/>
      <c r="C534" s="20"/>
      <c r="E534" s="139"/>
      <c r="F534" s="139"/>
      <c r="G534" s="139"/>
      <c r="H534" s="139"/>
      <c r="I534" s="139"/>
      <c r="J534" s="139"/>
      <c r="K534" s="139"/>
      <c r="N534" s="139"/>
    </row>
    <row r="535">
      <c r="B535" s="20"/>
      <c r="C535" s="20"/>
      <c r="E535" s="139"/>
      <c r="F535" s="139"/>
      <c r="G535" s="139"/>
      <c r="H535" s="139"/>
      <c r="I535" s="139"/>
      <c r="J535" s="139"/>
      <c r="K535" s="139"/>
      <c r="N535" s="139"/>
    </row>
    <row r="536">
      <c r="B536" s="20"/>
      <c r="C536" s="20"/>
      <c r="E536" s="139"/>
      <c r="F536" s="139"/>
      <c r="G536" s="139"/>
      <c r="H536" s="139"/>
      <c r="I536" s="139"/>
      <c r="J536" s="139"/>
      <c r="K536" s="139"/>
      <c r="N536" s="139"/>
    </row>
    <row r="537">
      <c r="B537" s="20"/>
      <c r="C537" s="20"/>
      <c r="E537" s="139"/>
      <c r="F537" s="139"/>
      <c r="G537" s="139"/>
      <c r="H537" s="139"/>
      <c r="I537" s="139"/>
      <c r="J537" s="139"/>
      <c r="K537" s="139"/>
      <c r="N537" s="139"/>
    </row>
    <row r="538">
      <c r="B538" s="20"/>
      <c r="C538" s="20"/>
      <c r="E538" s="139"/>
      <c r="F538" s="139"/>
      <c r="G538" s="139"/>
      <c r="H538" s="139"/>
      <c r="I538" s="139"/>
      <c r="J538" s="139"/>
      <c r="K538" s="139"/>
      <c r="N538" s="139"/>
    </row>
    <row r="539">
      <c r="B539" s="20"/>
      <c r="C539" s="20"/>
      <c r="E539" s="139"/>
      <c r="F539" s="139"/>
      <c r="G539" s="139"/>
      <c r="H539" s="139"/>
      <c r="I539" s="139"/>
      <c r="J539" s="139"/>
      <c r="K539" s="139"/>
      <c r="N539" s="139"/>
    </row>
    <row r="540">
      <c r="B540" s="20"/>
      <c r="C540" s="20"/>
      <c r="E540" s="139"/>
      <c r="F540" s="139"/>
      <c r="G540" s="139"/>
      <c r="H540" s="139"/>
      <c r="I540" s="139"/>
      <c r="J540" s="139"/>
      <c r="K540" s="139"/>
      <c r="N540" s="139"/>
    </row>
    <row r="541">
      <c r="B541" s="20"/>
      <c r="C541" s="20"/>
      <c r="E541" s="139"/>
      <c r="F541" s="139"/>
      <c r="G541" s="139"/>
      <c r="H541" s="139"/>
      <c r="I541" s="139"/>
      <c r="J541" s="139"/>
      <c r="K541" s="139"/>
      <c r="N541" s="139"/>
    </row>
    <row r="542">
      <c r="B542" s="20"/>
      <c r="C542" s="20"/>
      <c r="E542" s="139"/>
      <c r="F542" s="139"/>
      <c r="G542" s="139"/>
      <c r="H542" s="139"/>
      <c r="I542" s="139"/>
      <c r="J542" s="139"/>
      <c r="K542" s="139"/>
      <c r="N542" s="139"/>
    </row>
    <row r="543">
      <c r="B543" s="20"/>
      <c r="C543" s="20"/>
      <c r="E543" s="139"/>
      <c r="F543" s="139"/>
      <c r="G543" s="139"/>
      <c r="H543" s="139"/>
      <c r="I543" s="139"/>
      <c r="J543" s="139"/>
      <c r="K543" s="139"/>
      <c r="N543" s="139"/>
    </row>
    <row r="544">
      <c r="B544" s="20"/>
      <c r="C544" s="20"/>
      <c r="E544" s="139"/>
      <c r="F544" s="139"/>
      <c r="G544" s="139"/>
      <c r="H544" s="139"/>
      <c r="I544" s="139"/>
      <c r="J544" s="139"/>
      <c r="K544" s="139"/>
      <c r="N544" s="139"/>
    </row>
    <row r="545">
      <c r="B545" s="20"/>
      <c r="C545" s="20"/>
      <c r="E545" s="139"/>
      <c r="F545" s="139"/>
      <c r="G545" s="139"/>
      <c r="H545" s="139"/>
      <c r="I545" s="139"/>
      <c r="J545" s="139"/>
      <c r="K545" s="139"/>
      <c r="N545" s="139"/>
    </row>
    <row r="546">
      <c r="B546" s="20"/>
      <c r="C546" s="20"/>
      <c r="E546" s="139"/>
      <c r="F546" s="139"/>
      <c r="G546" s="139"/>
      <c r="H546" s="139"/>
      <c r="I546" s="139"/>
      <c r="J546" s="139"/>
      <c r="K546" s="139"/>
      <c r="N546" s="139"/>
    </row>
    <row r="547">
      <c r="B547" s="20"/>
      <c r="C547" s="20"/>
      <c r="E547" s="139"/>
      <c r="F547" s="139"/>
      <c r="G547" s="139"/>
      <c r="H547" s="139"/>
      <c r="I547" s="139"/>
      <c r="J547" s="139"/>
      <c r="K547" s="139"/>
      <c r="N547" s="139"/>
    </row>
    <row r="548">
      <c r="B548" s="20"/>
      <c r="C548" s="20"/>
      <c r="E548" s="139"/>
      <c r="F548" s="139"/>
      <c r="G548" s="139"/>
      <c r="H548" s="139"/>
      <c r="I548" s="139"/>
      <c r="J548" s="139"/>
      <c r="K548" s="139"/>
      <c r="N548" s="139"/>
    </row>
    <row r="549">
      <c r="B549" s="20"/>
      <c r="C549" s="20"/>
      <c r="E549" s="139"/>
      <c r="F549" s="139"/>
      <c r="G549" s="139"/>
      <c r="H549" s="139"/>
      <c r="I549" s="139"/>
      <c r="J549" s="139"/>
      <c r="K549" s="139"/>
      <c r="N549" s="139"/>
    </row>
    <row r="550">
      <c r="B550" s="20"/>
      <c r="C550" s="20"/>
      <c r="E550" s="139"/>
      <c r="F550" s="139"/>
      <c r="G550" s="139"/>
      <c r="H550" s="139"/>
      <c r="I550" s="139"/>
      <c r="J550" s="139"/>
      <c r="K550" s="139"/>
      <c r="N550" s="139"/>
    </row>
    <row r="551">
      <c r="B551" s="20"/>
      <c r="C551" s="20"/>
      <c r="E551" s="139"/>
      <c r="F551" s="139"/>
      <c r="G551" s="139"/>
      <c r="H551" s="139"/>
      <c r="I551" s="139"/>
      <c r="J551" s="139"/>
      <c r="K551" s="139"/>
      <c r="N551" s="139"/>
    </row>
    <row r="552">
      <c r="B552" s="20"/>
      <c r="C552" s="20"/>
      <c r="E552" s="139"/>
      <c r="F552" s="139"/>
      <c r="G552" s="139"/>
      <c r="H552" s="139"/>
      <c r="I552" s="139"/>
      <c r="J552" s="139"/>
      <c r="K552" s="139"/>
      <c r="N552" s="139"/>
    </row>
    <row r="553">
      <c r="B553" s="20"/>
      <c r="C553" s="20"/>
      <c r="E553" s="139"/>
      <c r="F553" s="139"/>
      <c r="G553" s="139"/>
      <c r="H553" s="139"/>
      <c r="I553" s="139"/>
      <c r="J553" s="139"/>
      <c r="K553" s="139"/>
      <c r="N553" s="139"/>
    </row>
    <row r="554">
      <c r="B554" s="20"/>
      <c r="C554" s="20"/>
      <c r="E554" s="139"/>
      <c r="F554" s="139"/>
      <c r="G554" s="139"/>
      <c r="H554" s="139"/>
      <c r="I554" s="139"/>
      <c r="J554" s="139"/>
      <c r="K554" s="139"/>
      <c r="N554" s="139"/>
    </row>
    <row r="555">
      <c r="B555" s="20"/>
      <c r="C555" s="20"/>
      <c r="E555" s="139"/>
      <c r="F555" s="139"/>
      <c r="G555" s="139"/>
      <c r="H555" s="139"/>
      <c r="I555" s="139"/>
      <c r="J555" s="139"/>
      <c r="K555" s="139"/>
      <c r="N555" s="139"/>
    </row>
    <row r="556">
      <c r="B556" s="20"/>
      <c r="C556" s="20"/>
      <c r="E556" s="139"/>
      <c r="F556" s="139"/>
      <c r="G556" s="139"/>
      <c r="H556" s="139"/>
      <c r="I556" s="139"/>
      <c r="J556" s="139"/>
      <c r="K556" s="139"/>
      <c r="N556" s="139"/>
    </row>
    <row r="557">
      <c r="B557" s="20"/>
      <c r="C557" s="20"/>
      <c r="E557" s="139"/>
      <c r="F557" s="139"/>
      <c r="G557" s="139"/>
      <c r="H557" s="139"/>
      <c r="I557" s="139"/>
      <c r="J557" s="139"/>
      <c r="K557" s="139"/>
      <c r="N557" s="139"/>
    </row>
    <row r="558">
      <c r="B558" s="20"/>
      <c r="C558" s="20"/>
      <c r="E558" s="139"/>
      <c r="F558" s="139"/>
      <c r="G558" s="139"/>
      <c r="H558" s="139"/>
      <c r="I558" s="139"/>
      <c r="J558" s="139"/>
      <c r="K558" s="139"/>
      <c r="N558" s="139"/>
    </row>
    <row r="559">
      <c r="B559" s="20"/>
      <c r="C559" s="20"/>
      <c r="E559" s="139"/>
      <c r="F559" s="139"/>
      <c r="G559" s="139"/>
      <c r="H559" s="139"/>
      <c r="I559" s="139"/>
      <c r="J559" s="139"/>
      <c r="K559" s="139"/>
      <c r="N559" s="139"/>
    </row>
    <row r="560">
      <c r="B560" s="20"/>
      <c r="C560" s="20"/>
      <c r="E560" s="139"/>
      <c r="F560" s="139"/>
      <c r="G560" s="139"/>
      <c r="H560" s="139"/>
      <c r="I560" s="139"/>
      <c r="J560" s="139"/>
      <c r="K560" s="139"/>
      <c r="N560" s="139"/>
    </row>
    <row r="561">
      <c r="B561" s="20"/>
      <c r="C561" s="20"/>
      <c r="E561" s="139"/>
      <c r="F561" s="139"/>
      <c r="G561" s="139"/>
      <c r="H561" s="139"/>
      <c r="I561" s="139"/>
      <c r="J561" s="139"/>
      <c r="K561" s="139"/>
      <c r="N561" s="139"/>
    </row>
    <row r="562">
      <c r="B562" s="20"/>
      <c r="C562" s="20"/>
      <c r="E562" s="139"/>
      <c r="F562" s="139"/>
      <c r="G562" s="139"/>
      <c r="H562" s="139"/>
      <c r="I562" s="139"/>
      <c r="J562" s="139"/>
      <c r="K562" s="139"/>
      <c r="N562" s="139"/>
    </row>
    <row r="563">
      <c r="B563" s="20"/>
      <c r="C563" s="20"/>
      <c r="E563" s="139"/>
      <c r="F563" s="139"/>
      <c r="G563" s="139"/>
      <c r="H563" s="139"/>
      <c r="I563" s="139"/>
      <c r="J563" s="139"/>
      <c r="K563" s="139"/>
      <c r="N563" s="139"/>
    </row>
    <row r="564">
      <c r="B564" s="20"/>
      <c r="C564" s="20"/>
      <c r="E564" s="139"/>
      <c r="F564" s="139"/>
      <c r="G564" s="139"/>
      <c r="H564" s="139"/>
      <c r="I564" s="139"/>
      <c r="J564" s="139"/>
      <c r="K564" s="139"/>
      <c r="N564" s="139"/>
    </row>
    <row r="565">
      <c r="B565" s="20"/>
      <c r="C565" s="20"/>
      <c r="E565" s="139"/>
      <c r="F565" s="139"/>
      <c r="G565" s="139"/>
      <c r="H565" s="139"/>
      <c r="I565" s="139"/>
      <c r="J565" s="139"/>
      <c r="K565" s="139"/>
      <c r="N565" s="139"/>
    </row>
    <row r="566">
      <c r="B566" s="20"/>
      <c r="C566" s="20"/>
      <c r="E566" s="139"/>
      <c r="F566" s="139"/>
      <c r="G566" s="139"/>
      <c r="H566" s="139"/>
      <c r="I566" s="139"/>
      <c r="J566" s="139"/>
      <c r="K566" s="139"/>
      <c r="N566" s="139"/>
    </row>
    <row r="567">
      <c r="B567" s="20"/>
      <c r="C567" s="20"/>
      <c r="E567" s="139"/>
      <c r="F567" s="139"/>
      <c r="G567" s="139"/>
      <c r="H567" s="139"/>
      <c r="I567" s="139"/>
      <c r="J567" s="139"/>
      <c r="K567" s="139"/>
      <c r="N567" s="139"/>
    </row>
    <row r="568">
      <c r="B568" s="20"/>
      <c r="C568" s="20"/>
      <c r="E568" s="139"/>
      <c r="F568" s="139"/>
      <c r="G568" s="139"/>
      <c r="H568" s="139"/>
      <c r="I568" s="139"/>
      <c r="J568" s="139"/>
      <c r="K568" s="139"/>
      <c r="N568" s="139"/>
    </row>
    <row r="569">
      <c r="B569" s="20"/>
      <c r="C569" s="20"/>
      <c r="E569" s="139"/>
      <c r="F569" s="139"/>
      <c r="G569" s="139"/>
      <c r="H569" s="139"/>
      <c r="I569" s="139"/>
      <c r="J569" s="139"/>
      <c r="K569" s="139"/>
      <c r="N569" s="139"/>
    </row>
    <row r="570">
      <c r="B570" s="20"/>
      <c r="C570" s="20"/>
      <c r="E570" s="139"/>
      <c r="F570" s="139"/>
      <c r="G570" s="139"/>
      <c r="H570" s="139"/>
      <c r="I570" s="139"/>
      <c r="J570" s="139"/>
      <c r="K570" s="139"/>
      <c r="N570" s="139"/>
    </row>
    <row r="571">
      <c r="B571" s="20"/>
      <c r="C571" s="20"/>
      <c r="E571" s="139"/>
      <c r="F571" s="139"/>
      <c r="G571" s="139"/>
      <c r="H571" s="139"/>
      <c r="I571" s="139"/>
      <c r="J571" s="139"/>
      <c r="K571" s="139"/>
      <c r="N571" s="139"/>
    </row>
    <row r="572">
      <c r="B572" s="20"/>
      <c r="C572" s="20"/>
      <c r="E572" s="139"/>
      <c r="F572" s="139"/>
      <c r="G572" s="139"/>
      <c r="H572" s="139"/>
      <c r="I572" s="139"/>
      <c r="J572" s="139"/>
      <c r="K572" s="139"/>
      <c r="N572" s="139"/>
    </row>
    <row r="573">
      <c r="B573" s="20"/>
      <c r="C573" s="20"/>
      <c r="E573" s="139"/>
      <c r="F573" s="139"/>
      <c r="G573" s="139"/>
      <c r="H573" s="139"/>
      <c r="I573" s="139"/>
      <c r="J573" s="139"/>
      <c r="K573" s="139"/>
      <c r="N573" s="139"/>
    </row>
    <row r="574">
      <c r="B574" s="20"/>
      <c r="C574" s="20"/>
      <c r="E574" s="139"/>
      <c r="F574" s="139"/>
      <c r="G574" s="139"/>
      <c r="H574" s="139"/>
      <c r="I574" s="139"/>
      <c r="J574" s="139"/>
      <c r="K574" s="139"/>
      <c r="N574" s="139"/>
    </row>
    <row r="575">
      <c r="B575" s="20"/>
      <c r="C575" s="20"/>
      <c r="E575" s="139"/>
      <c r="F575" s="139"/>
      <c r="G575" s="139"/>
      <c r="H575" s="139"/>
      <c r="I575" s="139"/>
      <c r="J575" s="139"/>
      <c r="K575" s="139"/>
      <c r="N575" s="139"/>
    </row>
    <row r="576">
      <c r="B576" s="20"/>
      <c r="C576" s="20"/>
      <c r="E576" s="139"/>
      <c r="F576" s="139"/>
      <c r="G576" s="139"/>
      <c r="H576" s="139"/>
      <c r="I576" s="139"/>
      <c r="J576" s="139"/>
      <c r="K576" s="139"/>
      <c r="N576" s="139"/>
    </row>
    <row r="577">
      <c r="B577" s="20"/>
      <c r="C577" s="20"/>
      <c r="E577" s="139"/>
      <c r="F577" s="139"/>
      <c r="G577" s="139"/>
      <c r="H577" s="139"/>
      <c r="I577" s="139"/>
      <c r="J577" s="139"/>
      <c r="K577" s="139"/>
      <c r="N577" s="139"/>
    </row>
    <row r="578">
      <c r="B578" s="20"/>
      <c r="C578" s="20"/>
      <c r="E578" s="139"/>
      <c r="F578" s="139"/>
      <c r="G578" s="139"/>
      <c r="H578" s="139"/>
      <c r="I578" s="139"/>
      <c r="J578" s="139"/>
      <c r="K578" s="139"/>
      <c r="N578" s="139"/>
    </row>
    <row r="579">
      <c r="B579" s="20"/>
      <c r="C579" s="20"/>
      <c r="E579" s="139"/>
      <c r="F579" s="139"/>
      <c r="G579" s="139"/>
      <c r="H579" s="139"/>
      <c r="I579" s="139"/>
      <c r="J579" s="139"/>
      <c r="K579" s="139"/>
      <c r="N579" s="139"/>
    </row>
    <row r="580">
      <c r="B580" s="20"/>
      <c r="C580" s="20"/>
      <c r="E580" s="139"/>
      <c r="F580" s="139"/>
      <c r="G580" s="139"/>
      <c r="H580" s="139"/>
      <c r="I580" s="139"/>
      <c r="J580" s="139"/>
      <c r="K580" s="139"/>
      <c r="N580" s="139"/>
    </row>
    <row r="581">
      <c r="B581" s="20"/>
      <c r="C581" s="20"/>
      <c r="E581" s="139"/>
      <c r="F581" s="139"/>
      <c r="G581" s="139"/>
      <c r="H581" s="139"/>
      <c r="I581" s="139"/>
      <c r="J581" s="139"/>
      <c r="K581" s="139"/>
      <c r="N581" s="139"/>
    </row>
    <row r="582">
      <c r="B582" s="20"/>
      <c r="C582" s="20"/>
      <c r="E582" s="139"/>
      <c r="F582" s="139"/>
      <c r="G582" s="139"/>
      <c r="H582" s="139"/>
      <c r="I582" s="139"/>
      <c r="J582" s="139"/>
      <c r="K582" s="139"/>
      <c r="N582" s="139"/>
    </row>
    <row r="583">
      <c r="B583" s="20"/>
      <c r="C583" s="20"/>
      <c r="E583" s="139"/>
      <c r="F583" s="139"/>
      <c r="G583" s="139"/>
      <c r="H583" s="139"/>
      <c r="I583" s="139"/>
      <c r="J583" s="139"/>
      <c r="K583" s="139"/>
      <c r="N583" s="139"/>
    </row>
    <row r="584">
      <c r="B584" s="20"/>
      <c r="C584" s="20"/>
      <c r="E584" s="139"/>
      <c r="F584" s="139"/>
      <c r="G584" s="139"/>
      <c r="H584" s="139"/>
      <c r="I584" s="139"/>
      <c r="J584" s="139"/>
      <c r="K584" s="139"/>
      <c r="N584" s="139"/>
    </row>
    <row r="585">
      <c r="B585" s="20"/>
      <c r="C585" s="20"/>
      <c r="E585" s="139"/>
      <c r="F585" s="139"/>
      <c r="G585" s="139"/>
      <c r="H585" s="139"/>
      <c r="I585" s="139"/>
      <c r="J585" s="139"/>
      <c r="K585" s="139"/>
      <c r="N585" s="139"/>
    </row>
    <row r="586">
      <c r="B586" s="20"/>
      <c r="C586" s="20"/>
      <c r="E586" s="139"/>
      <c r="F586" s="139"/>
      <c r="G586" s="139"/>
      <c r="H586" s="139"/>
      <c r="I586" s="139"/>
      <c r="J586" s="139"/>
      <c r="K586" s="139"/>
      <c r="N586" s="139"/>
    </row>
    <row r="587">
      <c r="B587" s="20"/>
      <c r="C587" s="20"/>
      <c r="E587" s="139"/>
      <c r="F587" s="139"/>
      <c r="G587" s="139"/>
      <c r="H587" s="139"/>
      <c r="I587" s="139"/>
      <c r="J587" s="139"/>
      <c r="K587" s="139"/>
      <c r="N587" s="139"/>
    </row>
    <row r="588">
      <c r="B588" s="20"/>
      <c r="C588" s="20"/>
      <c r="E588" s="139"/>
      <c r="F588" s="139"/>
      <c r="G588" s="139"/>
      <c r="H588" s="139"/>
      <c r="I588" s="139"/>
      <c r="J588" s="139"/>
      <c r="K588" s="139"/>
      <c r="N588" s="139"/>
    </row>
    <row r="589">
      <c r="B589" s="20"/>
      <c r="C589" s="20"/>
      <c r="E589" s="139"/>
      <c r="F589" s="139"/>
      <c r="G589" s="139"/>
      <c r="H589" s="139"/>
      <c r="I589" s="139"/>
      <c r="J589" s="139"/>
      <c r="K589" s="139"/>
      <c r="N589" s="139"/>
    </row>
    <row r="590">
      <c r="B590" s="20"/>
      <c r="C590" s="20"/>
      <c r="E590" s="139"/>
      <c r="F590" s="139"/>
      <c r="G590" s="139"/>
      <c r="H590" s="139"/>
      <c r="I590" s="139"/>
      <c r="J590" s="139"/>
      <c r="K590" s="139"/>
      <c r="N590" s="139"/>
    </row>
    <row r="591">
      <c r="B591" s="20"/>
      <c r="C591" s="20"/>
      <c r="E591" s="139"/>
      <c r="F591" s="139"/>
      <c r="G591" s="139"/>
      <c r="H591" s="139"/>
      <c r="I591" s="139"/>
      <c r="J591" s="139"/>
      <c r="K591" s="139"/>
      <c r="N591" s="139"/>
    </row>
    <row r="592">
      <c r="B592" s="20"/>
      <c r="C592" s="20"/>
      <c r="E592" s="139"/>
      <c r="F592" s="139"/>
      <c r="G592" s="139"/>
      <c r="H592" s="139"/>
      <c r="I592" s="139"/>
      <c r="J592" s="139"/>
      <c r="K592" s="139"/>
      <c r="N592" s="139"/>
    </row>
    <row r="593">
      <c r="B593" s="20"/>
      <c r="C593" s="20"/>
      <c r="E593" s="139"/>
      <c r="F593" s="139"/>
      <c r="G593" s="139"/>
      <c r="H593" s="139"/>
      <c r="I593" s="139"/>
      <c r="J593" s="139"/>
      <c r="K593" s="139"/>
      <c r="N593" s="139"/>
    </row>
    <row r="594">
      <c r="B594" s="20"/>
      <c r="C594" s="20"/>
      <c r="E594" s="139"/>
      <c r="F594" s="139"/>
      <c r="G594" s="139"/>
      <c r="H594" s="139"/>
      <c r="I594" s="139"/>
      <c r="J594" s="139"/>
      <c r="K594" s="139"/>
      <c r="N594" s="139"/>
    </row>
    <row r="595">
      <c r="B595" s="20"/>
      <c r="C595" s="20"/>
      <c r="E595" s="139"/>
      <c r="F595" s="139"/>
      <c r="G595" s="139"/>
      <c r="H595" s="139"/>
      <c r="I595" s="139"/>
      <c r="J595" s="139"/>
      <c r="K595" s="139"/>
      <c r="N595" s="139"/>
    </row>
    <row r="596">
      <c r="B596" s="20"/>
      <c r="C596" s="20"/>
      <c r="E596" s="139"/>
      <c r="F596" s="139"/>
      <c r="G596" s="139"/>
      <c r="H596" s="139"/>
      <c r="I596" s="139"/>
      <c r="J596" s="139"/>
      <c r="K596" s="139"/>
      <c r="N596" s="139"/>
    </row>
    <row r="597">
      <c r="B597" s="20"/>
      <c r="C597" s="20"/>
      <c r="E597" s="139"/>
      <c r="F597" s="139"/>
      <c r="G597" s="139"/>
      <c r="H597" s="139"/>
      <c r="I597" s="139"/>
      <c r="J597" s="139"/>
      <c r="K597" s="139"/>
      <c r="N597" s="139"/>
    </row>
    <row r="598">
      <c r="B598" s="20"/>
      <c r="C598" s="20"/>
      <c r="E598" s="139"/>
      <c r="F598" s="139"/>
      <c r="G598" s="139"/>
      <c r="H598" s="139"/>
      <c r="I598" s="139"/>
      <c r="J598" s="139"/>
      <c r="K598" s="139"/>
      <c r="N598" s="139"/>
    </row>
    <row r="599">
      <c r="B599" s="20"/>
      <c r="C599" s="20"/>
      <c r="E599" s="139"/>
      <c r="F599" s="139"/>
      <c r="G599" s="139"/>
      <c r="H599" s="139"/>
      <c r="I599" s="139"/>
      <c r="J599" s="139"/>
      <c r="K599" s="139"/>
      <c r="N599" s="139"/>
    </row>
    <row r="600">
      <c r="B600" s="20"/>
      <c r="C600" s="20"/>
      <c r="E600" s="139"/>
      <c r="F600" s="139"/>
      <c r="G600" s="139"/>
      <c r="H600" s="139"/>
      <c r="I600" s="139"/>
      <c r="J600" s="139"/>
      <c r="K600" s="139"/>
      <c r="N600" s="139"/>
    </row>
    <row r="601">
      <c r="B601" s="20"/>
      <c r="C601" s="20"/>
      <c r="E601" s="139"/>
      <c r="F601" s="139"/>
      <c r="G601" s="139"/>
      <c r="H601" s="139"/>
      <c r="I601" s="139"/>
      <c r="J601" s="139"/>
      <c r="K601" s="139"/>
      <c r="N601" s="139"/>
    </row>
    <row r="602">
      <c r="B602" s="20"/>
      <c r="C602" s="20"/>
      <c r="E602" s="139"/>
      <c r="F602" s="139"/>
      <c r="G602" s="139"/>
      <c r="H602" s="139"/>
      <c r="I602" s="139"/>
      <c r="J602" s="139"/>
      <c r="K602" s="139"/>
      <c r="N602" s="139"/>
    </row>
    <row r="603">
      <c r="B603" s="20"/>
      <c r="C603" s="20"/>
      <c r="E603" s="139"/>
      <c r="F603" s="139"/>
      <c r="G603" s="139"/>
      <c r="H603" s="139"/>
      <c r="I603" s="139"/>
      <c r="J603" s="139"/>
      <c r="K603" s="139"/>
      <c r="N603" s="139"/>
    </row>
    <row r="604">
      <c r="B604" s="20"/>
      <c r="C604" s="20"/>
      <c r="E604" s="139"/>
      <c r="F604" s="139"/>
      <c r="G604" s="139"/>
      <c r="H604" s="139"/>
      <c r="I604" s="139"/>
      <c r="J604" s="139"/>
      <c r="K604" s="139"/>
      <c r="N604" s="139"/>
    </row>
    <row r="605">
      <c r="B605" s="20"/>
      <c r="C605" s="20"/>
      <c r="E605" s="139"/>
      <c r="F605" s="139"/>
      <c r="G605" s="139"/>
      <c r="H605" s="139"/>
      <c r="I605" s="139"/>
      <c r="J605" s="139"/>
      <c r="K605" s="139"/>
      <c r="N605" s="139"/>
    </row>
    <row r="606">
      <c r="B606" s="20"/>
      <c r="C606" s="20"/>
      <c r="E606" s="139"/>
      <c r="F606" s="139"/>
      <c r="G606" s="139"/>
      <c r="H606" s="139"/>
      <c r="I606" s="139"/>
      <c r="J606" s="139"/>
      <c r="K606" s="139"/>
      <c r="N606" s="139"/>
    </row>
    <row r="607">
      <c r="B607" s="20"/>
      <c r="C607" s="20"/>
      <c r="E607" s="139"/>
      <c r="F607" s="139"/>
      <c r="G607" s="139"/>
      <c r="H607" s="139"/>
      <c r="I607" s="139"/>
      <c r="J607" s="139"/>
      <c r="K607" s="139"/>
      <c r="N607" s="139"/>
    </row>
    <row r="608">
      <c r="B608" s="20"/>
      <c r="C608" s="20"/>
      <c r="E608" s="139"/>
      <c r="F608" s="139"/>
      <c r="G608" s="139"/>
      <c r="H608" s="139"/>
      <c r="I608" s="139"/>
      <c r="J608" s="139"/>
      <c r="K608" s="139"/>
      <c r="N608" s="139"/>
    </row>
    <row r="609">
      <c r="B609" s="20"/>
      <c r="C609" s="20"/>
      <c r="E609" s="139"/>
      <c r="F609" s="139"/>
      <c r="G609" s="139"/>
      <c r="H609" s="139"/>
      <c r="I609" s="139"/>
      <c r="J609" s="139"/>
      <c r="K609" s="139"/>
      <c r="N609" s="139"/>
    </row>
    <row r="610">
      <c r="B610" s="20"/>
      <c r="C610" s="20"/>
      <c r="E610" s="139"/>
      <c r="F610" s="139"/>
      <c r="G610" s="139"/>
      <c r="H610" s="139"/>
      <c r="I610" s="139"/>
      <c r="J610" s="139"/>
      <c r="K610" s="139"/>
      <c r="N610" s="139"/>
    </row>
    <row r="611">
      <c r="B611" s="20"/>
      <c r="C611" s="20"/>
      <c r="E611" s="139"/>
      <c r="F611" s="139"/>
      <c r="G611" s="139"/>
      <c r="H611" s="139"/>
      <c r="I611" s="139"/>
      <c r="J611" s="139"/>
      <c r="K611" s="139"/>
      <c r="N611" s="139"/>
    </row>
    <row r="612">
      <c r="B612" s="20"/>
      <c r="C612" s="20"/>
      <c r="E612" s="139"/>
      <c r="F612" s="139"/>
      <c r="G612" s="139"/>
      <c r="H612" s="139"/>
      <c r="I612" s="139"/>
      <c r="J612" s="139"/>
      <c r="K612" s="139"/>
      <c r="N612" s="139"/>
    </row>
    <row r="613">
      <c r="B613" s="20"/>
      <c r="C613" s="20"/>
      <c r="E613" s="139"/>
      <c r="F613" s="139"/>
      <c r="G613" s="139"/>
      <c r="H613" s="139"/>
      <c r="I613" s="139"/>
      <c r="J613" s="139"/>
      <c r="K613" s="139"/>
      <c r="N613" s="139"/>
    </row>
    <row r="614">
      <c r="B614" s="20"/>
      <c r="C614" s="20"/>
      <c r="E614" s="139"/>
      <c r="F614" s="139"/>
      <c r="G614" s="139"/>
      <c r="H614" s="139"/>
      <c r="I614" s="139"/>
      <c r="J614" s="139"/>
      <c r="K614" s="139"/>
      <c r="N614" s="139"/>
    </row>
    <row r="615">
      <c r="B615" s="20"/>
      <c r="C615" s="20"/>
      <c r="E615" s="139"/>
      <c r="F615" s="139"/>
      <c r="G615" s="139"/>
      <c r="H615" s="139"/>
      <c r="I615" s="139"/>
      <c r="J615" s="139"/>
      <c r="K615" s="139"/>
      <c r="N615" s="139"/>
    </row>
    <row r="616">
      <c r="B616" s="20"/>
      <c r="C616" s="20"/>
      <c r="E616" s="139"/>
      <c r="F616" s="139"/>
      <c r="G616" s="139"/>
      <c r="H616" s="139"/>
      <c r="I616" s="139"/>
      <c r="J616" s="139"/>
      <c r="K616" s="139"/>
      <c r="N616" s="139"/>
    </row>
    <row r="617">
      <c r="B617" s="20"/>
      <c r="C617" s="20"/>
      <c r="E617" s="139"/>
      <c r="F617" s="139"/>
      <c r="G617" s="139"/>
      <c r="H617" s="139"/>
      <c r="I617" s="139"/>
      <c r="J617" s="139"/>
      <c r="K617" s="139"/>
      <c r="N617" s="139"/>
    </row>
    <row r="618">
      <c r="B618" s="20"/>
      <c r="C618" s="20"/>
      <c r="E618" s="139"/>
      <c r="F618" s="139"/>
      <c r="G618" s="139"/>
      <c r="H618" s="139"/>
      <c r="I618" s="139"/>
      <c r="J618" s="139"/>
      <c r="K618" s="139"/>
      <c r="N618" s="139"/>
    </row>
    <row r="619">
      <c r="B619" s="20"/>
      <c r="C619" s="20"/>
      <c r="E619" s="139"/>
      <c r="F619" s="139"/>
      <c r="G619" s="139"/>
      <c r="H619" s="139"/>
      <c r="I619" s="139"/>
      <c r="J619" s="139"/>
      <c r="K619" s="139"/>
      <c r="N619" s="139"/>
    </row>
    <row r="620">
      <c r="B620" s="20"/>
      <c r="C620" s="20"/>
      <c r="E620" s="139"/>
      <c r="F620" s="139"/>
      <c r="G620" s="139"/>
      <c r="H620" s="139"/>
      <c r="I620" s="139"/>
      <c r="J620" s="139"/>
      <c r="K620" s="139"/>
      <c r="N620" s="139"/>
    </row>
    <row r="621">
      <c r="B621" s="20"/>
      <c r="C621" s="20"/>
      <c r="E621" s="139"/>
      <c r="F621" s="139"/>
      <c r="G621" s="139"/>
      <c r="H621" s="139"/>
      <c r="I621" s="139"/>
      <c r="J621" s="139"/>
      <c r="K621" s="139"/>
      <c r="N621" s="139"/>
    </row>
    <row r="622">
      <c r="B622" s="20"/>
      <c r="C622" s="20"/>
      <c r="E622" s="139"/>
      <c r="F622" s="139"/>
      <c r="G622" s="139"/>
      <c r="H622" s="139"/>
      <c r="I622" s="139"/>
      <c r="J622" s="139"/>
      <c r="K622" s="139"/>
      <c r="N622" s="139"/>
    </row>
    <row r="623">
      <c r="B623" s="20"/>
      <c r="C623" s="20"/>
      <c r="E623" s="139"/>
      <c r="F623" s="139"/>
      <c r="G623" s="139"/>
      <c r="H623" s="139"/>
      <c r="I623" s="139"/>
      <c r="J623" s="139"/>
      <c r="K623" s="139"/>
      <c r="N623" s="139"/>
    </row>
    <row r="624">
      <c r="B624" s="20"/>
      <c r="C624" s="20"/>
      <c r="E624" s="139"/>
      <c r="F624" s="139"/>
      <c r="G624" s="139"/>
      <c r="H624" s="139"/>
      <c r="I624" s="139"/>
      <c r="J624" s="139"/>
      <c r="K624" s="139"/>
      <c r="N624" s="139"/>
    </row>
    <row r="625">
      <c r="B625" s="20"/>
      <c r="C625" s="20"/>
      <c r="E625" s="139"/>
      <c r="F625" s="139"/>
      <c r="G625" s="139"/>
      <c r="H625" s="139"/>
      <c r="I625" s="139"/>
      <c r="J625" s="139"/>
      <c r="K625" s="139"/>
      <c r="N625" s="139"/>
    </row>
    <row r="626">
      <c r="B626" s="20"/>
      <c r="C626" s="20"/>
      <c r="E626" s="139"/>
      <c r="F626" s="139"/>
      <c r="G626" s="139"/>
      <c r="H626" s="139"/>
      <c r="I626" s="139"/>
      <c r="J626" s="139"/>
      <c r="K626" s="139"/>
      <c r="N626" s="139"/>
    </row>
    <row r="627">
      <c r="B627" s="20"/>
      <c r="C627" s="20"/>
      <c r="E627" s="139"/>
      <c r="F627" s="139"/>
      <c r="G627" s="139"/>
      <c r="H627" s="139"/>
      <c r="I627" s="139"/>
      <c r="J627" s="139"/>
      <c r="K627" s="139"/>
      <c r="N627" s="139"/>
    </row>
    <row r="628">
      <c r="B628" s="20"/>
      <c r="C628" s="20"/>
      <c r="E628" s="139"/>
      <c r="F628" s="139"/>
      <c r="G628" s="139"/>
      <c r="H628" s="139"/>
      <c r="I628" s="139"/>
      <c r="J628" s="139"/>
      <c r="K628" s="139"/>
      <c r="N628" s="139"/>
    </row>
    <row r="629">
      <c r="B629" s="20"/>
      <c r="C629" s="20"/>
      <c r="E629" s="139"/>
      <c r="F629" s="139"/>
      <c r="G629" s="139"/>
      <c r="H629" s="139"/>
      <c r="I629" s="139"/>
      <c r="J629" s="139"/>
      <c r="K629" s="139"/>
      <c r="N629" s="139"/>
    </row>
    <row r="630">
      <c r="B630" s="20"/>
      <c r="C630" s="20"/>
      <c r="E630" s="139"/>
      <c r="F630" s="139"/>
      <c r="G630" s="139"/>
      <c r="H630" s="139"/>
      <c r="I630" s="139"/>
      <c r="J630" s="139"/>
      <c r="K630" s="139"/>
      <c r="N630" s="139"/>
    </row>
    <row r="631">
      <c r="B631" s="20"/>
      <c r="C631" s="20"/>
      <c r="E631" s="139"/>
      <c r="F631" s="139"/>
      <c r="G631" s="139"/>
      <c r="H631" s="139"/>
      <c r="I631" s="139"/>
      <c r="J631" s="139"/>
      <c r="K631" s="139"/>
      <c r="N631" s="139"/>
    </row>
    <row r="632">
      <c r="B632" s="20"/>
      <c r="C632" s="20"/>
      <c r="E632" s="139"/>
      <c r="F632" s="139"/>
      <c r="G632" s="139"/>
      <c r="H632" s="139"/>
      <c r="I632" s="139"/>
      <c r="J632" s="139"/>
      <c r="K632" s="139"/>
      <c r="N632" s="139"/>
    </row>
    <row r="633">
      <c r="B633" s="20"/>
      <c r="C633" s="20"/>
      <c r="E633" s="139"/>
      <c r="F633" s="139"/>
      <c r="G633" s="139"/>
      <c r="H633" s="139"/>
      <c r="I633" s="139"/>
      <c r="J633" s="139"/>
      <c r="K633" s="139"/>
      <c r="N633" s="139"/>
    </row>
    <row r="634">
      <c r="B634" s="20"/>
      <c r="C634" s="20"/>
      <c r="E634" s="139"/>
      <c r="F634" s="139"/>
      <c r="G634" s="139"/>
      <c r="H634" s="139"/>
      <c r="I634" s="139"/>
      <c r="J634" s="139"/>
      <c r="K634" s="139"/>
      <c r="N634" s="139"/>
    </row>
    <row r="635">
      <c r="B635" s="20"/>
      <c r="C635" s="20"/>
      <c r="E635" s="139"/>
      <c r="F635" s="139"/>
      <c r="G635" s="139"/>
      <c r="H635" s="139"/>
      <c r="I635" s="139"/>
      <c r="J635" s="139"/>
      <c r="K635" s="139"/>
      <c r="N635" s="139"/>
    </row>
    <row r="636">
      <c r="B636" s="20"/>
      <c r="C636" s="20"/>
      <c r="E636" s="139"/>
      <c r="F636" s="139"/>
      <c r="G636" s="139"/>
      <c r="H636" s="139"/>
      <c r="I636" s="139"/>
      <c r="J636" s="139"/>
      <c r="K636" s="139"/>
      <c r="N636" s="139"/>
    </row>
    <row r="637">
      <c r="B637" s="20"/>
      <c r="C637" s="20"/>
      <c r="E637" s="139"/>
      <c r="F637" s="139"/>
      <c r="G637" s="139"/>
      <c r="H637" s="139"/>
      <c r="I637" s="139"/>
      <c r="J637" s="139"/>
      <c r="K637" s="139"/>
      <c r="N637" s="139"/>
    </row>
    <row r="638">
      <c r="B638" s="20"/>
      <c r="C638" s="20"/>
      <c r="E638" s="139"/>
      <c r="F638" s="139"/>
      <c r="G638" s="139"/>
      <c r="H638" s="139"/>
      <c r="I638" s="139"/>
      <c r="J638" s="139"/>
      <c r="K638" s="139"/>
      <c r="N638" s="139"/>
    </row>
    <row r="639">
      <c r="B639" s="20"/>
      <c r="C639" s="20"/>
      <c r="E639" s="139"/>
      <c r="F639" s="139"/>
      <c r="G639" s="139"/>
      <c r="H639" s="139"/>
      <c r="I639" s="139"/>
      <c r="J639" s="139"/>
      <c r="K639" s="139"/>
      <c r="N639" s="139"/>
    </row>
    <row r="640">
      <c r="B640" s="20"/>
      <c r="C640" s="20"/>
      <c r="E640" s="139"/>
      <c r="F640" s="139"/>
      <c r="G640" s="139"/>
      <c r="H640" s="139"/>
      <c r="I640" s="139"/>
      <c r="J640" s="139"/>
      <c r="K640" s="139"/>
      <c r="N640" s="139"/>
    </row>
    <row r="641">
      <c r="B641" s="20"/>
      <c r="C641" s="20"/>
      <c r="E641" s="139"/>
      <c r="F641" s="139"/>
      <c r="G641" s="139"/>
      <c r="H641" s="139"/>
      <c r="I641" s="139"/>
      <c r="J641" s="139"/>
      <c r="K641" s="139"/>
      <c r="N641" s="139"/>
    </row>
    <row r="642">
      <c r="B642" s="20"/>
      <c r="C642" s="20"/>
      <c r="E642" s="139"/>
      <c r="F642" s="139"/>
      <c r="G642" s="139"/>
      <c r="H642" s="139"/>
      <c r="I642" s="139"/>
      <c r="J642" s="139"/>
      <c r="K642" s="139"/>
      <c r="N642" s="139"/>
    </row>
    <row r="643">
      <c r="B643" s="20"/>
      <c r="C643" s="20"/>
      <c r="E643" s="139"/>
      <c r="F643" s="139"/>
      <c r="G643" s="139"/>
      <c r="H643" s="139"/>
      <c r="I643" s="139"/>
      <c r="J643" s="139"/>
      <c r="K643" s="139"/>
      <c r="N643" s="139"/>
    </row>
    <row r="644">
      <c r="B644" s="20"/>
      <c r="C644" s="20"/>
      <c r="E644" s="139"/>
      <c r="F644" s="139"/>
      <c r="G644" s="139"/>
      <c r="H644" s="139"/>
      <c r="I644" s="139"/>
      <c r="J644" s="139"/>
      <c r="K644" s="139"/>
      <c r="N644" s="139"/>
    </row>
    <row r="645">
      <c r="B645" s="20"/>
      <c r="C645" s="20"/>
      <c r="E645" s="139"/>
      <c r="F645" s="139"/>
      <c r="G645" s="139"/>
      <c r="H645" s="139"/>
      <c r="I645" s="139"/>
      <c r="J645" s="139"/>
      <c r="K645" s="139"/>
      <c r="N645" s="139"/>
    </row>
    <row r="646">
      <c r="B646" s="20"/>
      <c r="C646" s="20"/>
      <c r="E646" s="139"/>
      <c r="F646" s="139"/>
      <c r="G646" s="139"/>
      <c r="H646" s="139"/>
      <c r="I646" s="139"/>
      <c r="J646" s="139"/>
      <c r="K646" s="139"/>
      <c r="N646" s="139"/>
    </row>
    <row r="647">
      <c r="B647" s="20"/>
      <c r="C647" s="20"/>
      <c r="E647" s="139"/>
      <c r="F647" s="139"/>
      <c r="G647" s="139"/>
      <c r="H647" s="139"/>
      <c r="I647" s="139"/>
      <c r="J647" s="139"/>
      <c r="K647" s="139"/>
      <c r="N647" s="139"/>
    </row>
    <row r="648">
      <c r="B648" s="20"/>
      <c r="C648" s="20"/>
      <c r="E648" s="139"/>
      <c r="F648" s="139"/>
      <c r="G648" s="139"/>
      <c r="H648" s="139"/>
      <c r="I648" s="139"/>
      <c r="J648" s="139"/>
      <c r="K648" s="139"/>
      <c r="N648" s="139"/>
    </row>
    <row r="649">
      <c r="B649" s="20"/>
      <c r="C649" s="20"/>
      <c r="E649" s="139"/>
      <c r="F649" s="139"/>
      <c r="G649" s="139"/>
      <c r="H649" s="139"/>
      <c r="I649" s="139"/>
      <c r="J649" s="139"/>
      <c r="K649" s="139"/>
      <c r="N649" s="139"/>
    </row>
    <row r="650">
      <c r="B650" s="20"/>
      <c r="C650" s="20"/>
      <c r="E650" s="139"/>
      <c r="F650" s="139"/>
      <c r="G650" s="139"/>
      <c r="H650" s="139"/>
      <c r="I650" s="139"/>
      <c r="J650" s="139"/>
      <c r="K650" s="139"/>
      <c r="N650" s="139"/>
    </row>
    <row r="651">
      <c r="B651" s="20"/>
      <c r="C651" s="20"/>
      <c r="E651" s="139"/>
      <c r="F651" s="139"/>
      <c r="G651" s="139"/>
      <c r="H651" s="139"/>
      <c r="I651" s="139"/>
      <c r="J651" s="139"/>
      <c r="K651" s="139"/>
      <c r="N651" s="139"/>
    </row>
    <row r="652">
      <c r="B652" s="20"/>
      <c r="C652" s="20"/>
      <c r="E652" s="139"/>
      <c r="F652" s="139"/>
      <c r="G652" s="139"/>
      <c r="H652" s="139"/>
      <c r="I652" s="139"/>
      <c r="J652" s="139"/>
      <c r="K652" s="139"/>
      <c r="N652" s="139"/>
    </row>
    <row r="653">
      <c r="B653" s="20"/>
      <c r="C653" s="20"/>
      <c r="E653" s="139"/>
      <c r="F653" s="139"/>
      <c r="G653" s="139"/>
      <c r="H653" s="139"/>
      <c r="I653" s="139"/>
      <c r="J653" s="139"/>
      <c r="K653" s="139"/>
      <c r="N653" s="139"/>
    </row>
    <row r="654">
      <c r="B654" s="20"/>
      <c r="C654" s="20"/>
      <c r="E654" s="139"/>
      <c r="F654" s="139"/>
      <c r="G654" s="139"/>
      <c r="H654" s="139"/>
      <c r="I654" s="139"/>
      <c r="J654" s="139"/>
      <c r="K654" s="139"/>
      <c r="N654" s="139"/>
    </row>
    <row r="655">
      <c r="B655" s="20"/>
      <c r="C655" s="20"/>
      <c r="E655" s="139"/>
      <c r="F655" s="139"/>
      <c r="G655" s="139"/>
      <c r="H655" s="139"/>
      <c r="I655" s="139"/>
      <c r="J655" s="139"/>
      <c r="K655" s="139"/>
      <c r="N655" s="139"/>
    </row>
    <row r="656">
      <c r="B656" s="20"/>
      <c r="C656" s="20"/>
      <c r="E656" s="139"/>
      <c r="F656" s="139"/>
      <c r="G656" s="139"/>
      <c r="H656" s="139"/>
      <c r="I656" s="139"/>
      <c r="J656" s="139"/>
      <c r="K656" s="139"/>
      <c r="N656" s="139"/>
    </row>
    <row r="657">
      <c r="B657" s="20"/>
      <c r="C657" s="20"/>
      <c r="E657" s="139"/>
      <c r="F657" s="139"/>
      <c r="G657" s="139"/>
      <c r="H657" s="139"/>
      <c r="I657" s="139"/>
      <c r="J657" s="139"/>
      <c r="K657" s="139"/>
      <c r="N657" s="139"/>
    </row>
    <row r="658">
      <c r="B658" s="20"/>
      <c r="C658" s="20"/>
      <c r="E658" s="139"/>
      <c r="F658" s="139"/>
      <c r="G658" s="139"/>
      <c r="H658" s="139"/>
      <c r="I658" s="139"/>
      <c r="J658" s="139"/>
      <c r="K658" s="139"/>
      <c r="N658" s="139"/>
    </row>
    <row r="659">
      <c r="B659" s="20"/>
      <c r="C659" s="20"/>
      <c r="E659" s="139"/>
      <c r="F659" s="139"/>
      <c r="G659" s="139"/>
      <c r="H659" s="139"/>
      <c r="I659" s="139"/>
      <c r="J659" s="139"/>
      <c r="K659" s="139"/>
      <c r="N659" s="139"/>
    </row>
    <row r="660">
      <c r="B660" s="20"/>
      <c r="C660" s="20"/>
      <c r="E660" s="139"/>
      <c r="F660" s="139"/>
      <c r="G660" s="139"/>
      <c r="H660" s="139"/>
      <c r="I660" s="139"/>
      <c r="J660" s="139"/>
      <c r="K660" s="139"/>
      <c r="N660" s="139"/>
    </row>
    <row r="661">
      <c r="B661" s="20"/>
      <c r="C661" s="20"/>
      <c r="E661" s="139"/>
      <c r="F661" s="139"/>
      <c r="G661" s="139"/>
      <c r="H661" s="139"/>
      <c r="I661" s="139"/>
      <c r="J661" s="139"/>
      <c r="K661" s="139"/>
      <c r="N661" s="139"/>
    </row>
    <row r="662">
      <c r="B662" s="20"/>
      <c r="C662" s="20"/>
      <c r="E662" s="139"/>
      <c r="F662" s="139"/>
      <c r="G662" s="139"/>
      <c r="H662" s="139"/>
      <c r="I662" s="139"/>
      <c r="J662" s="139"/>
      <c r="K662" s="139"/>
      <c r="N662" s="139"/>
    </row>
    <row r="663">
      <c r="B663" s="20"/>
      <c r="C663" s="20"/>
      <c r="E663" s="139"/>
      <c r="F663" s="139"/>
      <c r="G663" s="139"/>
      <c r="H663" s="139"/>
      <c r="I663" s="139"/>
      <c r="J663" s="139"/>
      <c r="K663" s="139"/>
      <c r="N663" s="139"/>
    </row>
    <row r="664">
      <c r="B664" s="20"/>
      <c r="C664" s="20"/>
      <c r="E664" s="139"/>
      <c r="F664" s="139"/>
      <c r="G664" s="139"/>
      <c r="H664" s="139"/>
      <c r="I664" s="139"/>
      <c r="J664" s="139"/>
      <c r="K664" s="139"/>
      <c r="N664" s="139"/>
    </row>
    <row r="665">
      <c r="B665" s="20"/>
      <c r="C665" s="20"/>
      <c r="E665" s="139"/>
      <c r="F665" s="139"/>
      <c r="G665" s="139"/>
      <c r="H665" s="139"/>
      <c r="I665" s="139"/>
      <c r="J665" s="139"/>
      <c r="K665" s="139"/>
      <c r="N665" s="139"/>
    </row>
    <row r="666">
      <c r="B666" s="20"/>
      <c r="C666" s="20"/>
      <c r="E666" s="139"/>
      <c r="F666" s="139"/>
      <c r="G666" s="139"/>
      <c r="H666" s="139"/>
      <c r="I666" s="139"/>
      <c r="J666" s="139"/>
      <c r="K666" s="139"/>
      <c r="N666" s="139"/>
    </row>
    <row r="667">
      <c r="B667" s="20"/>
      <c r="C667" s="20"/>
      <c r="E667" s="139"/>
      <c r="F667" s="139"/>
      <c r="G667" s="139"/>
      <c r="H667" s="139"/>
      <c r="I667" s="139"/>
      <c r="J667" s="139"/>
      <c r="K667" s="139"/>
      <c r="N667" s="139"/>
    </row>
    <row r="668">
      <c r="B668" s="20"/>
      <c r="C668" s="20"/>
      <c r="E668" s="139"/>
      <c r="F668" s="139"/>
      <c r="G668" s="139"/>
      <c r="H668" s="139"/>
      <c r="I668" s="139"/>
      <c r="J668" s="139"/>
      <c r="K668" s="139"/>
      <c r="N668" s="139"/>
    </row>
    <row r="669">
      <c r="B669" s="20"/>
      <c r="C669" s="20"/>
      <c r="E669" s="139"/>
      <c r="F669" s="139"/>
      <c r="G669" s="139"/>
      <c r="H669" s="139"/>
      <c r="I669" s="139"/>
      <c r="J669" s="139"/>
      <c r="K669" s="139"/>
      <c r="N669" s="139"/>
    </row>
    <row r="670">
      <c r="B670" s="20"/>
      <c r="C670" s="20"/>
      <c r="E670" s="139"/>
      <c r="F670" s="139"/>
      <c r="G670" s="139"/>
      <c r="H670" s="139"/>
      <c r="I670" s="139"/>
      <c r="J670" s="139"/>
      <c r="K670" s="139"/>
      <c r="N670" s="139"/>
    </row>
    <row r="671">
      <c r="B671" s="20"/>
      <c r="C671" s="20"/>
      <c r="E671" s="139"/>
      <c r="F671" s="139"/>
      <c r="G671" s="139"/>
      <c r="H671" s="139"/>
      <c r="I671" s="139"/>
      <c r="J671" s="139"/>
      <c r="K671" s="139"/>
      <c r="N671" s="139"/>
    </row>
    <row r="672">
      <c r="B672" s="20"/>
      <c r="C672" s="20"/>
      <c r="E672" s="139"/>
      <c r="F672" s="139"/>
      <c r="G672" s="139"/>
      <c r="H672" s="139"/>
      <c r="I672" s="139"/>
      <c r="J672" s="139"/>
      <c r="K672" s="139"/>
      <c r="N672" s="139"/>
    </row>
    <row r="673">
      <c r="B673" s="20"/>
      <c r="C673" s="20"/>
      <c r="E673" s="139"/>
      <c r="F673" s="139"/>
      <c r="G673" s="139"/>
      <c r="H673" s="139"/>
      <c r="I673" s="139"/>
      <c r="J673" s="139"/>
      <c r="K673" s="139"/>
      <c r="N673" s="139"/>
    </row>
    <row r="674">
      <c r="B674" s="20"/>
      <c r="C674" s="20"/>
      <c r="E674" s="139"/>
      <c r="F674" s="139"/>
      <c r="G674" s="139"/>
      <c r="H674" s="139"/>
      <c r="I674" s="139"/>
      <c r="J674" s="139"/>
      <c r="K674" s="139"/>
      <c r="N674" s="139"/>
    </row>
    <row r="675">
      <c r="B675" s="20"/>
      <c r="C675" s="20"/>
      <c r="E675" s="139"/>
      <c r="F675" s="139"/>
      <c r="G675" s="139"/>
      <c r="H675" s="139"/>
      <c r="I675" s="139"/>
      <c r="J675" s="139"/>
      <c r="K675" s="139"/>
      <c r="N675" s="139"/>
    </row>
    <row r="676">
      <c r="B676" s="20"/>
      <c r="C676" s="20"/>
      <c r="E676" s="139"/>
      <c r="F676" s="139"/>
      <c r="G676" s="139"/>
      <c r="H676" s="139"/>
      <c r="I676" s="139"/>
      <c r="J676" s="139"/>
      <c r="K676" s="139"/>
      <c r="N676" s="139"/>
    </row>
    <row r="677">
      <c r="B677" s="20"/>
      <c r="C677" s="20"/>
      <c r="E677" s="139"/>
      <c r="F677" s="139"/>
      <c r="G677" s="139"/>
      <c r="H677" s="139"/>
      <c r="I677" s="139"/>
      <c r="J677" s="139"/>
      <c r="K677" s="139"/>
      <c r="N677" s="139"/>
    </row>
    <row r="678">
      <c r="B678" s="20"/>
      <c r="C678" s="20"/>
      <c r="E678" s="139"/>
      <c r="F678" s="139"/>
      <c r="G678" s="139"/>
      <c r="H678" s="139"/>
      <c r="I678" s="139"/>
      <c r="J678" s="139"/>
      <c r="K678" s="139"/>
      <c r="N678" s="139"/>
    </row>
    <row r="679">
      <c r="B679" s="20"/>
      <c r="C679" s="20"/>
      <c r="E679" s="139"/>
      <c r="F679" s="139"/>
      <c r="G679" s="139"/>
      <c r="H679" s="139"/>
      <c r="I679" s="139"/>
      <c r="J679" s="139"/>
      <c r="K679" s="139"/>
      <c r="N679" s="139"/>
    </row>
    <row r="680">
      <c r="B680" s="20"/>
      <c r="C680" s="20"/>
      <c r="E680" s="139"/>
      <c r="F680" s="139"/>
      <c r="G680" s="139"/>
      <c r="H680" s="139"/>
      <c r="I680" s="139"/>
      <c r="J680" s="139"/>
      <c r="K680" s="139"/>
      <c r="N680" s="139"/>
    </row>
    <row r="681">
      <c r="B681" s="20"/>
      <c r="C681" s="20"/>
      <c r="E681" s="139"/>
      <c r="F681" s="139"/>
      <c r="G681" s="139"/>
      <c r="H681" s="139"/>
      <c r="I681" s="139"/>
      <c r="J681" s="139"/>
      <c r="K681" s="139"/>
      <c r="N681" s="139"/>
    </row>
    <row r="682">
      <c r="B682" s="20"/>
      <c r="C682" s="20"/>
      <c r="E682" s="139"/>
      <c r="F682" s="139"/>
      <c r="G682" s="139"/>
      <c r="H682" s="139"/>
      <c r="I682" s="139"/>
      <c r="J682" s="139"/>
      <c r="K682" s="139"/>
      <c r="N682" s="139"/>
    </row>
    <row r="683">
      <c r="B683" s="20"/>
      <c r="C683" s="20"/>
      <c r="E683" s="139"/>
      <c r="F683" s="139"/>
      <c r="G683" s="139"/>
      <c r="H683" s="139"/>
      <c r="I683" s="139"/>
      <c r="J683" s="139"/>
      <c r="K683" s="139"/>
      <c r="N683" s="139"/>
    </row>
    <row r="684">
      <c r="B684" s="20"/>
      <c r="C684" s="20"/>
      <c r="E684" s="139"/>
      <c r="F684" s="139"/>
      <c r="G684" s="139"/>
      <c r="H684" s="139"/>
      <c r="I684" s="139"/>
      <c r="J684" s="139"/>
      <c r="K684" s="139"/>
      <c r="N684" s="139"/>
    </row>
    <row r="685">
      <c r="B685" s="20"/>
      <c r="C685" s="20"/>
      <c r="E685" s="139"/>
      <c r="F685" s="139"/>
      <c r="G685" s="139"/>
      <c r="H685" s="139"/>
      <c r="I685" s="139"/>
      <c r="J685" s="139"/>
      <c r="K685" s="139"/>
      <c r="N685" s="139"/>
    </row>
    <row r="686">
      <c r="B686" s="20"/>
      <c r="C686" s="20"/>
      <c r="E686" s="139"/>
      <c r="F686" s="139"/>
      <c r="G686" s="139"/>
      <c r="H686" s="139"/>
      <c r="I686" s="139"/>
      <c r="J686" s="139"/>
      <c r="K686" s="139"/>
      <c r="N686" s="139"/>
    </row>
    <row r="687">
      <c r="B687" s="20"/>
      <c r="C687" s="20"/>
      <c r="E687" s="139"/>
      <c r="F687" s="139"/>
      <c r="G687" s="139"/>
      <c r="H687" s="139"/>
      <c r="I687" s="139"/>
      <c r="J687" s="139"/>
      <c r="K687" s="139"/>
      <c r="N687" s="139"/>
    </row>
    <row r="688">
      <c r="B688" s="20"/>
      <c r="C688" s="20"/>
      <c r="E688" s="139"/>
      <c r="F688" s="139"/>
      <c r="G688" s="139"/>
      <c r="H688" s="139"/>
      <c r="I688" s="139"/>
      <c r="J688" s="139"/>
      <c r="K688" s="139"/>
      <c r="N688" s="139"/>
    </row>
    <row r="689">
      <c r="B689" s="20"/>
      <c r="C689" s="20"/>
      <c r="E689" s="139"/>
      <c r="F689" s="139"/>
      <c r="G689" s="139"/>
      <c r="H689" s="139"/>
      <c r="I689" s="139"/>
      <c r="J689" s="139"/>
      <c r="K689" s="139"/>
      <c r="N689" s="139"/>
    </row>
    <row r="690">
      <c r="B690" s="20"/>
      <c r="C690" s="20"/>
      <c r="E690" s="139"/>
      <c r="F690" s="139"/>
      <c r="G690" s="139"/>
      <c r="H690" s="139"/>
      <c r="I690" s="139"/>
      <c r="J690" s="139"/>
      <c r="K690" s="139"/>
      <c r="N690" s="139"/>
    </row>
    <row r="691">
      <c r="B691" s="20"/>
      <c r="C691" s="20"/>
      <c r="E691" s="139"/>
      <c r="F691" s="139"/>
      <c r="G691" s="139"/>
      <c r="H691" s="139"/>
      <c r="I691" s="139"/>
      <c r="J691" s="139"/>
      <c r="K691" s="139"/>
      <c r="N691" s="139"/>
    </row>
    <row r="692">
      <c r="B692" s="20"/>
      <c r="C692" s="20"/>
      <c r="E692" s="139"/>
      <c r="F692" s="139"/>
      <c r="G692" s="139"/>
      <c r="H692" s="139"/>
      <c r="I692" s="139"/>
      <c r="J692" s="139"/>
      <c r="K692" s="139"/>
      <c r="N692" s="139"/>
    </row>
    <row r="693">
      <c r="B693" s="20"/>
      <c r="C693" s="20"/>
      <c r="E693" s="139"/>
      <c r="F693" s="139"/>
      <c r="G693" s="139"/>
      <c r="H693" s="139"/>
      <c r="I693" s="139"/>
      <c r="J693" s="139"/>
      <c r="K693" s="139"/>
      <c r="N693" s="139"/>
    </row>
    <row r="694">
      <c r="B694" s="20"/>
      <c r="C694" s="20"/>
      <c r="E694" s="139"/>
      <c r="F694" s="139"/>
      <c r="G694" s="139"/>
      <c r="H694" s="139"/>
      <c r="I694" s="139"/>
      <c r="J694" s="139"/>
      <c r="K694" s="139"/>
      <c r="N694" s="139"/>
    </row>
    <row r="695">
      <c r="B695" s="20"/>
      <c r="C695" s="20"/>
      <c r="E695" s="139"/>
      <c r="F695" s="139"/>
      <c r="G695" s="139"/>
      <c r="H695" s="139"/>
      <c r="I695" s="139"/>
      <c r="J695" s="139"/>
      <c r="K695" s="139"/>
      <c r="N695" s="139"/>
    </row>
    <row r="696">
      <c r="B696" s="20"/>
      <c r="C696" s="20"/>
      <c r="E696" s="139"/>
      <c r="F696" s="139"/>
      <c r="G696" s="139"/>
      <c r="H696" s="139"/>
      <c r="I696" s="139"/>
      <c r="J696" s="139"/>
      <c r="K696" s="139"/>
      <c r="N696" s="139"/>
    </row>
    <row r="697">
      <c r="B697" s="20"/>
      <c r="C697" s="20"/>
      <c r="E697" s="139"/>
      <c r="F697" s="139"/>
      <c r="G697" s="139"/>
      <c r="H697" s="139"/>
      <c r="I697" s="139"/>
      <c r="J697" s="139"/>
      <c r="K697" s="139"/>
      <c r="N697" s="139"/>
    </row>
    <row r="698">
      <c r="B698" s="20"/>
      <c r="C698" s="20"/>
      <c r="E698" s="139"/>
      <c r="F698" s="139"/>
      <c r="G698" s="139"/>
      <c r="H698" s="139"/>
      <c r="I698" s="139"/>
      <c r="J698" s="139"/>
      <c r="K698" s="139"/>
      <c r="N698" s="139"/>
    </row>
    <row r="699">
      <c r="B699" s="20"/>
      <c r="C699" s="20"/>
      <c r="E699" s="139"/>
      <c r="F699" s="139"/>
      <c r="G699" s="139"/>
      <c r="H699" s="139"/>
      <c r="I699" s="139"/>
      <c r="J699" s="139"/>
      <c r="K699" s="139"/>
      <c r="N699" s="139"/>
    </row>
    <row r="700">
      <c r="B700" s="20"/>
      <c r="C700" s="20"/>
      <c r="E700" s="139"/>
      <c r="F700" s="139"/>
      <c r="G700" s="139"/>
      <c r="H700" s="139"/>
      <c r="I700" s="139"/>
      <c r="J700" s="139"/>
      <c r="K700" s="139"/>
      <c r="N700" s="139"/>
    </row>
    <row r="701">
      <c r="B701" s="20"/>
      <c r="C701" s="20"/>
      <c r="E701" s="139"/>
      <c r="F701" s="139"/>
      <c r="G701" s="139"/>
      <c r="H701" s="139"/>
      <c r="I701" s="139"/>
      <c r="J701" s="139"/>
      <c r="K701" s="139"/>
      <c r="N701" s="139"/>
    </row>
    <row r="702">
      <c r="B702" s="20"/>
      <c r="C702" s="20"/>
      <c r="E702" s="139"/>
      <c r="F702" s="139"/>
      <c r="G702" s="139"/>
      <c r="H702" s="139"/>
      <c r="I702" s="139"/>
      <c r="J702" s="139"/>
      <c r="K702" s="139"/>
      <c r="N702" s="139"/>
    </row>
    <row r="703">
      <c r="B703" s="20"/>
      <c r="C703" s="20"/>
      <c r="E703" s="139"/>
      <c r="F703" s="139"/>
      <c r="G703" s="139"/>
      <c r="H703" s="139"/>
      <c r="I703" s="139"/>
      <c r="J703" s="139"/>
      <c r="K703" s="139"/>
      <c r="N703" s="139"/>
    </row>
    <row r="704">
      <c r="B704" s="20"/>
      <c r="C704" s="20"/>
      <c r="E704" s="139"/>
      <c r="F704" s="139"/>
      <c r="G704" s="139"/>
      <c r="H704" s="139"/>
      <c r="I704" s="139"/>
      <c r="J704" s="139"/>
      <c r="K704" s="139"/>
      <c r="N704" s="139"/>
    </row>
    <row r="705">
      <c r="B705" s="20"/>
      <c r="C705" s="20"/>
      <c r="E705" s="139"/>
      <c r="F705" s="139"/>
      <c r="G705" s="139"/>
      <c r="H705" s="139"/>
      <c r="I705" s="139"/>
      <c r="J705" s="139"/>
      <c r="K705" s="139"/>
      <c r="N705" s="139"/>
    </row>
    <row r="706">
      <c r="B706" s="20"/>
      <c r="C706" s="20"/>
      <c r="E706" s="139"/>
      <c r="F706" s="139"/>
      <c r="G706" s="139"/>
      <c r="H706" s="139"/>
      <c r="I706" s="139"/>
      <c r="J706" s="139"/>
      <c r="K706" s="139"/>
      <c r="N706" s="139"/>
    </row>
    <row r="707">
      <c r="B707" s="20"/>
      <c r="C707" s="20"/>
      <c r="E707" s="139"/>
      <c r="F707" s="139"/>
      <c r="G707" s="139"/>
      <c r="H707" s="139"/>
      <c r="I707" s="139"/>
      <c r="J707" s="139"/>
      <c r="K707" s="139"/>
      <c r="N707" s="139"/>
    </row>
    <row r="708">
      <c r="B708" s="20"/>
      <c r="C708" s="20"/>
      <c r="E708" s="139"/>
      <c r="F708" s="139"/>
      <c r="G708" s="139"/>
      <c r="H708" s="139"/>
      <c r="I708" s="139"/>
      <c r="J708" s="139"/>
      <c r="K708" s="139"/>
      <c r="N708" s="139"/>
    </row>
    <row r="709">
      <c r="B709" s="20"/>
      <c r="C709" s="20"/>
      <c r="E709" s="139"/>
      <c r="F709" s="139"/>
      <c r="G709" s="139"/>
      <c r="H709" s="139"/>
      <c r="I709" s="139"/>
      <c r="J709" s="139"/>
      <c r="K709" s="139"/>
      <c r="N709" s="139"/>
    </row>
    <row r="710">
      <c r="B710" s="20"/>
      <c r="C710" s="20"/>
      <c r="E710" s="139"/>
      <c r="F710" s="139"/>
      <c r="G710" s="139"/>
      <c r="H710" s="139"/>
      <c r="I710" s="139"/>
      <c r="J710" s="139"/>
      <c r="K710" s="139"/>
      <c r="N710" s="139"/>
    </row>
    <row r="711">
      <c r="B711" s="20"/>
      <c r="C711" s="20"/>
      <c r="E711" s="139"/>
      <c r="F711" s="139"/>
      <c r="G711" s="139"/>
      <c r="H711" s="139"/>
      <c r="I711" s="139"/>
      <c r="J711" s="139"/>
      <c r="K711" s="139"/>
      <c r="N711" s="139"/>
    </row>
    <row r="712">
      <c r="B712" s="20"/>
      <c r="C712" s="20"/>
      <c r="E712" s="139"/>
      <c r="F712" s="139"/>
      <c r="G712" s="139"/>
      <c r="H712" s="139"/>
      <c r="I712" s="139"/>
      <c r="J712" s="139"/>
      <c r="K712" s="139"/>
      <c r="N712" s="139"/>
    </row>
    <row r="713">
      <c r="B713" s="20"/>
      <c r="C713" s="20"/>
      <c r="E713" s="139"/>
      <c r="F713" s="139"/>
      <c r="G713" s="139"/>
      <c r="H713" s="139"/>
      <c r="I713" s="139"/>
      <c r="J713" s="139"/>
      <c r="K713" s="139"/>
      <c r="N713" s="139"/>
    </row>
    <row r="714">
      <c r="B714" s="20"/>
      <c r="C714" s="20"/>
      <c r="E714" s="139"/>
      <c r="F714" s="139"/>
      <c r="G714" s="139"/>
      <c r="H714" s="139"/>
      <c r="I714" s="139"/>
      <c r="J714" s="139"/>
      <c r="K714" s="139"/>
      <c r="N714" s="139"/>
    </row>
    <row r="715">
      <c r="B715" s="20"/>
      <c r="C715" s="20"/>
      <c r="E715" s="139"/>
      <c r="F715" s="139"/>
      <c r="G715" s="139"/>
      <c r="H715" s="139"/>
      <c r="I715" s="139"/>
      <c r="J715" s="139"/>
      <c r="K715" s="139"/>
      <c r="N715" s="139"/>
    </row>
    <row r="716">
      <c r="B716" s="20"/>
      <c r="C716" s="20"/>
      <c r="E716" s="139"/>
      <c r="F716" s="139"/>
      <c r="G716" s="139"/>
      <c r="H716" s="139"/>
      <c r="I716" s="139"/>
      <c r="J716" s="139"/>
      <c r="K716" s="139"/>
      <c r="N716" s="139"/>
    </row>
    <row r="717">
      <c r="B717" s="20"/>
      <c r="C717" s="20"/>
      <c r="E717" s="139"/>
      <c r="F717" s="139"/>
      <c r="G717" s="139"/>
      <c r="H717" s="139"/>
      <c r="I717" s="139"/>
      <c r="J717" s="139"/>
      <c r="K717" s="139"/>
      <c r="N717" s="139"/>
    </row>
    <row r="718">
      <c r="B718" s="20"/>
      <c r="C718" s="20"/>
      <c r="E718" s="139"/>
      <c r="F718" s="139"/>
      <c r="G718" s="139"/>
      <c r="H718" s="139"/>
      <c r="I718" s="139"/>
      <c r="J718" s="139"/>
      <c r="K718" s="139"/>
      <c r="N718" s="139"/>
    </row>
    <row r="719">
      <c r="B719" s="20"/>
      <c r="C719" s="20"/>
      <c r="E719" s="139"/>
      <c r="F719" s="139"/>
      <c r="G719" s="139"/>
      <c r="H719" s="139"/>
      <c r="I719" s="139"/>
      <c r="J719" s="139"/>
      <c r="K719" s="139"/>
      <c r="N719" s="139"/>
    </row>
    <row r="720">
      <c r="B720" s="20"/>
      <c r="C720" s="20"/>
      <c r="E720" s="139"/>
      <c r="F720" s="139"/>
      <c r="G720" s="139"/>
      <c r="H720" s="139"/>
      <c r="I720" s="139"/>
      <c r="J720" s="139"/>
      <c r="K720" s="139"/>
      <c r="N720" s="139"/>
    </row>
    <row r="721">
      <c r="B721" s="20"/>
      <c r="C721" s="20"/>
      <c r="E721" s="139"/>
      <c r="F721" s="139"/>
      <c r="G721" s="139"/>
      <c r="H721" s="139"/>
      <c r="I721" s="139"/>
      <c r="J721" s="139"/>
      <c r="K721" s="139"/>
      <c r="N721" s="139"/>
    </row>
    <row r="722">
      <c r="B722" s="20"/>
      <c r="C722" s="20"/>
      <c r="E722" s="139"/>
      <c r="F722" s="139"/>
      <c r="G722" s="139"/>
      <c r="H722" s="139"/>
      <c r="I722" s="139"/>
      <c r="J722" s="139"/>
      <c r="K722" s="139"/>
      <c r="N722" s="139"/>
    </row>
    <row r="723">
      <c r="B723" s="20"/>
      <c r="C723" s="20"/>
      <c r="E723" s="139"/>
      <c r="F723" s="139"/>
      <c r="G723" s="139"/>
      <c r="H723" s="139"/>
      <c r="I723" s="139"/>
      <c r="J723" s="139"/>
      <c r="K723" s="139"/>
      <c r="N723" s="139"/>
    </row>
    <row r="724">
      <c r="B724" s="20"/>
      <c r="C724" s="20"/>
      <c r="E724" s="139"/>
      <c r="F724" s="139"/>
      <c r="G724" s="139"/>
      <c r="H724" s="139"/>
      <c r="I724" s="139"/>
      <c r="J724" s="139"/>
      <c r="K724" s="139"/>
      <c r="N724" s="139"/>
    </row>
    <row r="725">
      <c r="B725" s="20"/>
      <c r="C725" s="20"/>
      <c r="E725" s="139"/>
      <c r="F725" s="139"/>
      <c r="G725" s="139"/>
      <c r="H725" s="139"/>
      <c r="I725" s="139"/>
      <c r="J725" s="139"/>
      <c r="K725" s="139"/>
      <c r="N725" s="139"/>
    </row>
    <row r="726">
      <c r="B726" s="20"/>
      <c r="C726" s="20"/>
      <c r="E726" s="139"/>
      <c r="F726" s="139"/>
      <c r="G726" s="139"/>
      <c r="H726" s="139"/>
      <c r="I726" s="139"/>
      <c r="J726" s="139"/>
      <c r="K726" s="139"/>
      <c r="N726" s="139"/>
    </row>
    <row r="727">
      <c r="B727" s="20"/>
      <c r="C727" s="20"/>
      <c r="E727" s="139"/>
      <c r="F727" s="139"/>
      <c r="G727" s="139"/>
      <c r="H727" s="139"/>
      <c r="I727" s="139"/>
      <c r="J727" s="139"/>
      <c r="K727" s="139"/>
      <c r="N727" s="139"/>
    </row>
    <row r="728">
      <c r="B728" s="20"/>
      <c r="C728" s="20"/>
      <c r="E728" s="139"/>
      <c r="F728" s="139"/>
      <c r="G728" s="139"/>
      <c r="H728" s="139"/>
      <c r="I728" s="139"/>
      <c r="J728" s="139"/>
      <c r="K728" s="139"/>
      <c r="N728" s="139"/>
    </row>
    <row r="729">
      <c r="B729" s="20"/>
      <c r="C729" s="20"/>
      <c r="E729" s="139"/>
      <c r="F729" s="139"/>
      <c r="G729" s="139"/>
      <c r="H729" s="139"/>
      <c r="I729" s="139"/>
      <c r="J729" s="139"/>
      <c r="K729" s="139"/>
      <c r="N729" s="139"/>
    </row>
    <row r="730">
      <c r="B730" s="20"/>
      <c r="C730" s="20"/>
      <c r="E730" s="139"/>
      <c r="F730" s="139"/>
      <c r="G730" s="139"/>
      <c r="H730" s="139"/>
      <c r="I730" s="139"/>
      <c r="J730" s="139"/>
      <c r="K730" s="139"/>
      <c r="N730" s="139"/>
    </row>
    <row r="731">
      <c r="B731" s="20"/>
      <c r="C731" s="20"/>
      <c r="E731" s="139"/>
      <c r="F731" s="139"/>
      <c r="G731" s="139"/>
      <c r="H731" s="139"/>
      <c r="I731" s="139"/>
      <c r="J731" s="139"/>
      <c r="K731" s="139"/>
      <c r="N731" s="139"/>
    </row>
    <row r="732">
      <c r="B732" s="20"/>
      <c r="C732" s="20"/>
      <c r="E732" s="139"/>
      <c r="F732" s="139"/>
      <c r="G732" s="139"/>
      <c r="H732" s="139"/>
      <c r="I732" s="139"/>
      <c r="J732" s="139"/>
      <c r="K732" s="139"/>
      <c r="N732" s="139"/>
    </row>
    <row r="733">
      <c r="B733" s="20"/>
      <c r="C733" s="20"/>
      <c r="E733" s="139"/>
      <c r="F733" s="139"/>
      <c r="G733" s="139"/>
      <c r="H733" s="139"/>
      <c r="I733" s="139"/>
      <c r="J733" s="139"/>
      <c r="K733" s="139"/>
      <c r="N733" s="139"/>
    </row>
    <row r="734">
      <c r="B734" s="20"/>
      <c r="C734" s="20"/>
      <c r="E734" s="139"/>
      <c r="F734" s="139"/>
      <c r="G734" s="139"/>
      <c r="H734" s="139"/>
      <c r="I734" s="139"/>
      <c r="J734" s="139"/>
      <c r="K734" s="139"/>
      <c r="N734" s="139"/>
    </row>
    <row r="735">
      <c r="B735" s="20"/>
      <c r="C735" s="20"/>
      <c r="E735" s="139"/>
      <c r="F735" s="139"/>
      <c r="G735" s="139"/>
      <c r="H735" s="139"/>
      <c r="I735" s="139"/>
      <c r="J735" s="139"/>
      <c r="K735" s="139"/>
      <c r="N735" s="139"/>
    </row>
    <row r="736">
      <c r="B736" s="20"/>
      <c r="C736" s="20"/>
      <c r="E736" s="139"/>
      <c r="F736" s="139"/>
      <c r="G736" s="139"/>
      <c r="H736" s="139"/>
      <c r="I736" s="139"/>
      <c r="J736" s="139"/>
      <c r="K736" s="139"/>
      <c r="N736" s="139"/>
    </row>
    <row r="737">
      <c r="B737" s="20"/>
      <c r="C737" s="20"/>
      <c r="E737" s="139"/>
      <c r="F737" s="139"/>
      <c r="G737" s="139"/>
      <c r="H737" s="139"/>
      <c r="I737" s="139"/>
      <c r="J737" s="139"/>
      <c r="K737" s="139"/>
      <c r="N737" s="139"/>
    </row>
    <row r="738">
      <c r="B738" s="20"/>
      <c r="C738" s="20"/>
      <c r="E738" s="139"/>
      <c r="F738" s="139"/>
      <c r="G738" s="139"/>
      <c r="H738" s="139"/>
      <c r="I738" s="139"/>
      <c r="J738" s="139"/>
      <c r="K738" s="139"/>
      <c r="N738" s="139"/>
    </row>
    <row r="739">
      <c r="B739" s="20"/>
      <c r="C739" s="20"/>
      <c r="E739" s="139"/>
      <c r="F739" s="139"/>
      <c r="G739" s="139"/>
      <c r="H739" s="139"/>
      <c r="I739" s="139"/>
      <c r="J739" s="139"/>
      <c r="K739" s="139"/>
      <c r="N739" s="139"/>
    </row>
    <row r="740">
      <c r="B740" s="20"/>
      <c r="C740" s="20"/>
      <c r="E740" s="139"/>
      <c r="F740" s="139"/>
      <c r="G740" s="139"/>
      <c r="H740" s="139"/>
      <c r="I740" s="139"/>
      <c r="J740" s="139"/>
      <c r="K740" s="139"/>
      <c r="N740" s="139"/>
    </row>
    <row r="741">
      <c r="B741" s="20"/>
      <c r="C741" s="20"/>
      <c r="E741" s="139"/>
      <c r="F741" s="139"/>
      <c r="G741" s="139"/>
      <c r="H741" s="139"/>
      <c r="I741" s="139"/>
      <c r="J741" s="139"/>
      <c r="K741" s="139"/>
      <c r="N741" s="139"/>
    </row>
    <row r="742">
      <c r="B742" s="20"/>
      <c r="C742" s="20"/>
      <c r="E742" s="139"/>
      <c r="F742" s="139"/>
      <c r="G742" s="139"/>
      <c r="H742" s="139"/>
      <c r="I742" s="139"/>
      <c r="J742" s="139"/>
      <c r="K742" s="139"/>
      <c r="N742" s="139"/>
    </row>
    <row r="743">
      <c r="B743" s="20"/>
      <c r="C743" s="20"/>
      <c r="E743" s="139"/>
      <c r="F743" s="139"/>
      <c r="G743" s="139"/>
      <c r="H743" s="139"/>
      <c r="I743" s="139"/>
      <c r="J743" s="139"/>
      <c r="K743" s="139"/>
      <c r="N743" s="139"/>
    </row>
    <row r="744">
      <c r="B744" s="20"/>
      <c r="C744" s="20"/>
      <c r="E744" s="139"/>
      <c r="F744" s="139"/>
      <c r="G744" s="139"/>
      <c r="H744" s="139"/>
      <c r="I744" s="139"/>
      <c r="J744" s="139"/>
      <c r="K744" s="139"/>
      <c r="N744" s="139"/>
    </row>
    <row r="745">
      <c r="B745" s="20"/>
      <c r="C745" s="20"/>
      <c r="E745" s="139"/>
      <c r="F745" s="139"/>
      <c r="G745" s="139"/>
      <c r="H745" s="139"/>
      <c r="I745" s="139"/>
      <c r="J745" s="139"/>
      <c r="K745" s="139"/>
      <c r="N745" s="139"/>
    </row>
    <row r="746">
      <c r="B746" s="20"/>
      <c r="C746" s="20"/>
      <c r="E746" s="139"/>
      <c r="F746" s="139"/>
      <c r="G746" s="139"/>
      <c r="H746" s="139"/>
      <c r="I746" s="139"/>
      <c r="J746" s="139"/>
      <c r="K746" s="139"/>
      <c r="N746" s="139"/>
    </row>
    <row r="747">
      <c r="B747" s="20"/>
      <c r="C747" s="20"/>
      <c r="E747" s="139"/>
      <c r="F747" s="139"/>
      <c r="G747" s="139"/>
      <c r="H747" s="139"/>
      <c r="I747" s="139"/>
      <c r="J747" s="139"/>
      <c r="K747" s="139"/>
      <c r="N747" s="139"/>
    </row>
    <row r="748">
      <c r="B748" s="20"/>
      <c r="C748" s="20"/>
      <c r="E748" s="139"/>
      <c r="F748" s="139"/>
      <c r="G748" s="139"/>
      <c r="H748" s="139"/>
      <c r="I748" s="139"/>
      <c r="J748" s="139"/>
      <c r="K748" s="139"/>
      <c r="N748" s="139"/>
    </row>
    <row r="749">
      <c r="B749" s="20"/>
      <c r="C749" s="20"/>
      <c r="E749" s="139"/>
      <c r="F749" s="139"/>
      <c r="G749" s="139"/>
      <c r="H749" s="139"/>
      <c r="I749" s="139"/>
      <c r="J749" s="139"/>
      <c r="K749" s="139"/>
      <c r="N749" s="139"/>
    </row>
    <row r="750">
      <c r="B750" s="20"/>
      <c r="C750" s="20"/>
      <c r="E750" s="139"/>
      <c r="F750" s="139"/>
      <c r="G750" s="139"/>
      <c r="H750" s="139"/>
      <c r="I750" s="139"/>
      <c r="J750" s="139"/>
      <c r="K750" s="139"/>
      <c r="N750" s="139"/>
    </row>
    <row r="751">
      <c r="B751" s="20"/>
      <c r="C751" s="20"/>
      <c r="E751" s="139"/>
      <c r="F751" s="139"/>
      <c r="G751" s="139"/>
      <c r="H751" s="139"/>
      <c r="I751" s="139"/>
      <c r="J751" s="139"/>
      <c r="K751" s="139"/>
      <c r="N751" s="139"/>
    </row>
    <row r="752">
      <c r="B752" s="20"/>
      <c r="C752" s="20"/>
      <c r="E752" s="139"/>
      <c r="F752" s="139"/>
      <c r="G752" s="139"/>
      <c r="H752" s="139"/>
      <c r="I752" s="139"/>
      <c r="J752" s="139"/>
      <c r="K752" s="139"/>
      <c r="N752" s="139"/>
    </row>
    <row r="753">
      <c r="B753" s="20"/>
      <c r="C753" s="20"/>
      <c r="E753" s="139"/>
      <c r="F753" s="139"/>
      <c r="G753" s="139"/>
      <c r="H753" s="139"/>
      <c r="I753" s="139"/>
      <c r="J753" s="139"/>
      <c r="K753" s="139"/>
      <c r="N753" s="139"/>
    </row>
    <row r="754">
      <c r="B754" s="20"/>
      <c r="C754" s="20"/>
      <c r="E754" s="139"/>
      <c r="F754" s="139"/>
      <c r="G754" s="139"/>
      <c r="H754" s="139"/>
      <c r="I754" s="139"/>
      <c r="J754" s="139"/>
      <c r="K754" s="139"/>
      <c r="N754" s="139"/>
    </row>
    <row r="755">
      <c r="B755" s="20"/>
      <c r="C755" s="20"/>
      <c r="E755" s="139"/>
      <c r="F755" s="139"/>
      <c r="G755" s="139"/>
      <c r="H755" s="139"/>
      <c r="I755" s="139"/>
      <c r="J755" s="139"/>
      <c r="K755" s="139"/>
      <c r="N755" s="139"/>
    </row>
    <row r="756">
      <c r="B756" s="20"/>
      <c r="C756" s="20"/>
      <c r="E756" s="139"/>
      <c r="F756" s="139"/>
      <c r="G756" s="139"/>
      <c r="H756" s="139"/>
      <c r="I756" s="139"/>
      <c r="J756" s="139"/>
      <c r="K756" s="139"/>
      <c r="N756" s="139"/>
    </row>
    <row r="757">
      <c r="B757" s="20"/>
      <c r="C757" s="20"/>
      <c r="E757" s="139"/>
      <c r="F757" s="139"/>
      <c r="G757" s="139"/>
      <c r="H757" s="139"/>
      <c r="I757" s="139"/>
      <c r="J757" s="139"/>
      <c r="K757" s="139"/>
      <c r="N757" s="139"/>
    </row>
    <row r="758">
      <c r="B758" s="20"/>
      <c r="C758" s="20"/>
      <c r="E758" s="139"/>
      <c r="F758" s="139"/>
      <c r="G758" s="139"/>
      <c r="H758" s="139"/>
      <c r="I758" s="139"/>
      <c r="J758" s="139"/>
      <c r="K758" s="139"/>
      <c r="N758" s="139"/>
    </row>
    <row r="759">
      <c r="B759" s="20"/>
      <c r="C759" s="20"/>
      <c r="E759" s="139"/>
      <c r="F759" s="139"/>
      <c r="G759" s="139"/>
      <c r="H759" s="139"/>
      <c r="I759" s="139"/>
      <c r="J759" s="139"/>
      <c r="K759" s="139"/>
      <c r="N759" s="139"/>
    </row>
    <row r="760">
      <c r="B760" s="20"/>
      <c r="C760" s="20"/>
      <c r="E760" s="139"/>
      <c r="F760" s="139"/>
      <c r="G760" s="139"/>
      <c r="H760" s="139"/>
      <c r="I760" s="139"/>
      <c r="J760" s="139"/>
      <c r="K760" s="139"/>
      <c r="N760" s="139"/>
    </row>
    <row r="761">
      <c r="B761" s="20"/>
      <c r="C761" s="20"/>
      <c r="E761" s="139"/>
      <c r="F761" s="139"/>
      <c r="G761" s="139"/>
      <c r="H761" s="139"/>
      <c r="I761" s="139"/>
      <c r="J761" s="139"/>
      <c r="K761" s="139"/>
      <c r="N761" s="139"/>
    </row>
    <row r="762">
      <c r="B762" s="20"/>
      <c r="C762" s="20"/>
      <c r="E762" s="139"/>
      <c r="F762" s="139"/>
      <c r="G762" s="139"/>
      <c r="H762" s="139"/>
      <c r="I762" s="139"/>
      <c r="J762" s="139"/>
      <c r="K762" s="139"/>
      <c r="N762" s="139"/>
    </row>
    <row r="763">
      <c r="B763" s="20"/>
      <c r="C763" s="20"/>
      <c r="E763" s="139"/>
      <c r="F763" s="139"/>
      <c r="G763" s="139"/>
      <c r="H763" s="139"/>
      <c r="I763" s="139"/>
      <c r="J763" s="139"/>
      <c r="K763" s="139"/>
      <c r="N763" s="139"/>
    </row>
    <row r="764">
      <c r="B764" s="20"/>
      <c r="C764" s="20"/>
      <c r="E764" s="139"/>
      <c r="F764" s="139"/>
      <c r="G764" s="139"/>
      <c r="H764" s="139"/>
      <c r="I764" s="139"/>
      <c r="J764" s="139"/>
      <c r="K764" s="139"/>
      <c r="N764" s="139"/>
    </row>
    <row r="765">
      <c r="B765" s="20"/>
      <c r="C765" s="20"/>
      <c r="E765" s="139"/>
      <c r="F765" s="139"/>
      <c r="G765" s="139"/>
      <c r="H765" s="139"/>
      <c r="I765" s="139"/>
      <c r="J765" s="139"/>
      <c r="K765" s="139"/>
      <c r="N765" s="139"/>
    </row>
    <row r="766">
      <c r="B766" s="20"/>
      <c r="C766" s="20"/>
      <c r="E766" s="139"/>
      <c r="F766" s="139"/>
      <c r="G766" s="139"/>
      <c r="H766" s="139"/>
      <c r="I766" s="139"/>
      <c r="J766" s="139"/>
      <c r="K766" s="139"/>
      <c r="N766" s="139"/>
    </row>
    <row r="767">
      <c r="B767" s="20"/>
      <c r="C767" s="20"/>
      <c r="E767" s="139"/>
      <c r="F767" s="139"/>
      <c r="G767" s="139"/>
      <c r="H767" s="139"/>
      <c r="I767" s="139"/>
      <c r="J767" s="139"/>
      <c r="K767" s="139"/>
      <c r="N767" s="139"/>
    </row>
    <row r="768">
      <c r="B768" s="20"/>
      <c r="C768" s="20"/>
      <c r="E768" s="139"/>
      <c r="F768" s="139"/>
      <c r="G768" s="139"/>
      <c r="H768" s="139"/>
      <c r="I768" s="139"/>
      <c r="J768" s="139"/>
      <c r="K768" s="139"/>
      <c r="N768" s="139"/>
    </row>
    <row r="769">
      <c r="B769" s="20"/>
      <c r="C769" s="20"/>
      <c r="E769" s="139"/>
      <c r="F769" s="139"/>
      <c r="G769" s="139"/>
      <c r="H769" s="139"/>
      <c r="I769" s="139"/>
      <c r="J769" s="139"/>
      <c r="K769" s="139"/>
      <c r="N769" s="139"/>
    </row>
    <row r="770">
      <c r="B770" s="20"/>
      <c r="C770" s="20"/>
      <c r="E770" s="139"/>
      <c r="F770" s="139"/>
      <c r="G770" s="139"/>
      <c r="H770" s="139"/>
      <c r="I770" s="139"/>
      <c r="J770" s="139"/>
      <c r="K770" s="139"/>
      <c r="N770" s="139"/>
    </row>
    <row r="771">
      <c r="B771" s="20"/>
      <c r="C771" s="20"/>
      <c r="E771" s="139"/>
      <c r="F771" s="139"/>
      <c r="G771" s="139"/>
      <c r="H771" s="139"/>
      <c r="I771" s="139"/>
      <c r="J771" s="139"/>
      <c r="K771" s="139"/>
      <c r="N771" s="139"/>
    </row>
    <row r="772">
      <c r="B772" s="20"/>
      <c r="C772" s="20"/>
      <c r="E772" s="139"/>
      <c r="F772" s="139"/>
      <c r="G772" s="139"/>
      <c r="H772" s="139"/>
      <c r="I772" s="139"/>
      <c r="J772" s="139"/>
      <c r="K772" s="139"/>
      <c r="N772" s="139"/>
    </row>
    <row r="773">
      <c r="B773" s="20"/>
      <c r="C773" s="20"/>
      <c r="E773" s="139"/>
      <c r="F773" s="139"/>
      <c r="G773" s="139"/>
      <c r="H773" s="139"/>
      <c r="I773" s="139"/>
      <c r="J773" s="139"/>
      <c r="K773" s="139"/>
      <c r="N773" s="139"/>
    </row>
    <row r="774">
      <c r="B774" s="20"/>
      <c r="C774" s="20"/>
      <c r="E774" s="139"/>
      <c r="F774" s="139"/>
      <c r="G774" s="139"/>
      <c r="H774" s="139"/>
      <c r="I774" s="139"/>
      <c r="J774" s="139"/>
      <c r="K774" s="139"/>
      <c r="N774" s="139"/>
    </row>
    <row r="775">
      <c r="B775" s="20"/>
      <c r="C775" s="20"/>
      <c r="E775" s="139"/>
      <c r="F775" s="139"/>
      <c r="G775" s="139"/>
      <c r="H775" s="139"/>
      <c r="I775" s="139"/>
      <c r="J775" s="139"/>
      <c r="K775" s="139"/>
      <c r="N775" s="139"/>
    </row>
    <row r="776">
      <c r="B776" s="20"/>
      <c r="C776" s="20"/>
      <c r="E776" s="139"/>
      <c r="F776" s="139"/>
      <c r="G776" s="139"/>
      <c r="H776" s="139"/>
      <c r="I776" s="139"/>
      <c r="J776" s="139"/>
      <c r="K776" s="139"/>
      <c r="N776" s="139"/>
    </row>
    <row r="777">
      <c r="B777" s="20"/>
      <c r="C777" s="20"/>
      <c r="E777" s="139"/>
      <c r="F777" s="139"/>
      <c r="G777" s="139"/>
      <c r="H777" s="139"/>
      <c r="I777" s="139"/>
      <c r="J777" s="139"/>
      <c r="K777" s="139"/>
      <c r="N777" s="139"/>
    </row>
    <row r="778">
      <c r="B778" s="20"/>
      <c r="C778" s="20"/>
      <c r="E778" s="139"/>
      <c r="F778" s="139"/>
      <c r="G778" s="139"/>
      <c r="H778" s="139"/>
      <c r="I778" s="139"/>
      <c r="J778" s="139"/>
      <c r="K778" s="139"/>
      <c r="N778" s="139"/>
    </row>
    <row r="779">
      <c r="B779" s="20"/>
      <c r="C779" s="20"/>
      <c r="E779" s="139"/>
      <c r="F779" s="139"/>
      <c r="G779" s="139"/>
      <c r="H779" s="139"/>
      <c r="I779" s="139"/>
      <c r="J779" s="139"/>
      <c r="K779" s="139"/>
      <c r="N779" s="139"/>
    </row>
    <row r="780">
      <c r="B780" s="20"/>
      <c r="C780" s="20"/>
      <c r="E780" s="139"/>
      <c r="F780" s="139"/>
      <c r="G780" s="139"/>
      <c r="H780" s="139"/>
      <c r="I780" s="139"/>
      <c r="J780" s="139"/>
      <c r="K780" s="139"/>
      <c r="N780" s="139"/>
    </row>
    <row r="781">
      <c r="B781" s="20"/>
      <c r="C781" s="20"/>
      <c r="E781" s="139"/>
      <c r="F781" s="139"/>
      <c r="G781" s="139"/>
      <c r="H781" s="139"/>
      <c r="I781" s="139"/>
      <c r="J781" s="139"/>
      <c r="K781" s="139"/>
      <c r="N781" s="139"/>
    </row>
    <row r="782">
      <c r="B782" s="20"/>
      <c r="C782" s="20"/>
      <c r="E782" s="139"/>
      <c r="F782" s="139"/>
      <c r="G782" s="139"/>
      <c r="H782" s="139"/>
      <c r="I782" s="139"/>
      <c r="J782" s="139"/>
      <c r="K782" s="139"/>
      <c r="N782" s="139"/>
    </row>
    <row r="783">
      <c r="B783" s="20"/>
      <c r="C783" s="20"/>
      <c r="E783" s="139"/>
      <c r="F783" s="139"/>
      <c r="G783" s="139"/>
      <c r="H783" s="139"/>
      <c r="I783" s="139"/>
      <c r="J783" s="139"/>
      <c r="K783" s="139"/>
      <c r="N783" s="139"/>
    </row>
    <row r="784">
      <c r="B784" s="20"/>
      <c r="C784" s="20"/>
      <c r="E784" s="139"/>
      <c r="F784" s="139"/>
      <c r="G784" s="139"/>
      <c r="H784" s="139"/>
      <c r="I784" s="139"/>
      <c r="J784" s="139"/>
      <c r="K784" s="139"/>
      <c r="N784" s="139"/>
    </row>
    <row r="785">
      <c r="B785" s="20"/>
      <c r="C785" s="20"/>
      <c r="E785" s="139"/>
      <c r="F785" s="139"/>
      <c r="G785" s="139"/>
      <c r="H785" s="139"/>
      <c r="I785" s="139"/>
      <c r="J785" s="139"/>
      <c r="K785" s="139"/>
      <c r="N785" s="139"/>
    </row>
    <row r="786">
      <c r="B786" s="20"/>
      <c r="C786" s="20"/>
      <c r="E786" s="139"/>
      <c r="F786" s="139"/>
      <c r="G786" s="139"/>
      <c r="H786" s="139"/>
      <c r="I786" s="139"/>
      <c r="J786" s="139"/>
      <c r="K786" s="139"/>
      <c r="N786" s="139"/>
    </row>
    <row r="787">
      <c r="B787" s="20"/>
      <c r="C787" s="20"/>
      <c r="E787" s="139"/>
      <c r="F787" s="139"/>
      <c r="G787" s="139"/>
      <c r="H787" s="139"/>
      <c r="I787" s="139"/>
      <c r="J787" s="139"/>
      <c r="K787" s="139"/>
      <c r="N787" s="139"/>
    </row>
    <row r="788">
      <c r="B788" s="20"/>
      <c r="C788" s="20"/>
      <c r="E788" s="139"/>
      <c r="F788" s="139"/>
      <c r="G788" s="139"/>
      <c r="H788" s="139"/>
      <c r="I788" s="139"/>
      <c r="J788" s="139"/>
      <c r="K788" s="139"/>
      <c r="N788" s="139"/>
    </row>
    <row r="789">
      <c r="B789" s="20"/>
      <c r="C789" s="20"/>
      <c r="E789" s="139"/>
      <c r="F789" s="139"/>
      <c r="G789" s="139"/>
      <c r="H789" s="139"/>
      <c r="I789" s="139"/>
      <c r="J789" s="139"/>
      <c r="K789" s="139"/>
      <c r="N789" s="139"/>
    </row>
    <row r="790">
      <c r="B790" s="20"/>
      <c r="C790" s="20"/>
      <c r="E790" s="139"/>
      <c r="F790" s="139"/>
      <c r="G790" s="139"/>
      <c r="H790" s="139"/>
      <c r="I790" s="139"/>
      <c r="J790" s="139"/>
      <c r="K790" s="139"/>
      <c r="N790" s="139"/>
    </row>
    <row r="791">
      <c r="B791" s="20"/>
      <c r="C791" s="20"/>
      <c r="E791" s="139"/>
      <c r="F791" s="139"/>
      <c r="G791" s="139"/>
      <c r="H791" s="139"/>
      <c r="I791" s="139"/>
      <c r="J791" s="139"/>
      <c r="K791" s="139"/>
      <c r="N791" s="139"/>
    </row>
    <row r="792">
      <c r="B792" s="20"/>
      <c r="C792" s="20"/>
      <c r="E792" s="139"/>
      <c r="F792" s="139"/>
      <c r="G792" s="139"/>
      <c r="H792" s="139"/>
      <c r="I792" s="139"/>
      <c r="J792" s="139"/>
      <c r="K792" s="139"/>
      <c r="N792" s="139"/>
    </row>
    <row r="793">
      <c r="B793" s="20"/>
      <c r="C793" s="20"/>
      <c r="E793" s="139"/>
      <c r="F793" s="139"/>
      <c r="G793" s="139"/>
      <c r="H793" s="139"/>
      <c r="I793" s="139"/>
      <c r="J793" s="139"/>
      <c r="K793" s="139"/>
      <c r="N793" s="139"/>
    </row>
    <row r="794">
      <c r="B794" s="20"/>
      <c r="C794" s="20"/>
      <c r="E794" s="139"/>
      <c r="F794" s="139"/>
      <c r="G794" s="139"/>
      <c r="H794" s="139"/>
      <c r="I794" s="139"/>
      <c r="J794" s="139"/>
      <c r="K794" s="139"/>
      <c r="N794" s="139"/>
    </row>
    <row r="795">
      <c r="B795" s="20"/>
      <c r="C795" s="20"/>
      <c r="E795" s="139"/>
      <c r="F795" s="139"/>
      <c r="G795" s="139"/>
      <c r="H795" s="139"/>
      <c r="I795" s="139"/>
      <c r="J795" s="139"/>
      <c r="K795" s="139"/>
      <c r="N795" s="139"/>
    </row>
    <row r="796">
      <c r="B796" s="20"/>
      <c r="C796" s="20"/>
      <c r="E796" s="139"/>
      <c r="F796" s="139"/>
      <c r="G796" s="139"/>
      <c r="H796" s="139"/>
      <c r="I796" s="139"/>
      <c r="J796" s="139"/>
      <c r="K796" s="139"/>
      <c r="N796" s="139"/>
    </row>
    <row r="797">
      <c r="B797" s="20"/>
      <c r="C797" s="20"/>
      <c r="E797" s="139"/>
      <c r="F797" s="139"/>
      <c r="G797" s="139"/>
      <c r="H797" s="139"/>
      <c r="I797" s="139"/>
      <c r="J797" s="139"/>
      <c r="K797" s="139"/>
      <c r="N797" s="139"/>
    </row>
    <row r="798">
      <c r="B798" s="20"/>
      <c r="C798" s="20"/>
      <c r="E798" s="139"/>
      <c r="F798" s="139"/>
      <c r="G798" s="139"/>
      <c r="H798" s="139"/>
      <c r="I798" s="139"/>
      <c r="J798" s="139"/>
      <c r="K798" s="139"/>
      <c r="N798" s="139"/>
    </row>
    <row r="799">
      <c r="B799" s="20"/>
      <c r="C799" s="20"/>
      <c r="E799" s="139"/>
      <c r="F799" s="139"/>
      <c r="G799" s="139"/>
      <c r="H799" s="139"/>
      <c r="I799" s="139"/>
      <c r="J799" s="139"/>
      <c r="K799" s="139"/>
      <c r="N799" s="139"/>
    </row>
    <row r="800">
      <c r="B800" s="20"/>
      <c r="C800" s="20"/>
      <c r="E800" s="139"/>
      <c r="F800" s="139"/>
      <c r="G800" s="139"/>
      <c r="H800" s="139"/>
      <c r="I800" s="139"/>
      <c r="J800" s="139"/>
      <c r="K800" s="139"/>
      <c r="N800" s="139"/>
    </row>
    <row r="801">
      <c r="B801" s="20"/>
      <c r="C801" s="20"/>
      <c r="E801" s="139"/>
      <c r="F801" s="139"/>
      <c r="G801" s="139"/>
      <c r="H801" s="139"/>
      <c r="I801" s="139"/>
      <c r="J801" s="139"/>
      <c r="K801" s="139"/>
      <c r="N801" s="139"/>
    </row>
    <row r="802">
      <c r="B802" s="20"/>
      <c r="C802" s="20"/>
      <c r="E802" s="139"/>
      <c r="F802" s="139"/>
      <c r="G802" s="139"/>
      <c r="H802" s="139"/>
      <c r="I802" s="139"/>
      <c r="J802" s="139"/>
      <c r="K802" s="139"/>
      <c r="N802" s="139"/>
    </row>
    <row r="803">
      <c r="B803" s="20"/>
      <c r="C803" s="20"/>
      <c r="E803" s="139"/>
      <c r="F803" s="139"/>
      <c r="G803" s="139"/>
      <c r="H803" s="139"/>
      <c r="I803" s="139"/>
      <c r="J803" s="139"/>
      <c r="K803" s="139"/>
      <c r="N803" s="139"/>
    </row>
    <row r="804">
      <c r="B804" s="20"/>
      <c r="C804" s="20"/>
      <c r="E804" s="139"/>
      <c r="F804" s="139"/>
      <c r="G804" s="139"/>
      <c r="H804" s="139"/>
      <c r="I804" s="139"/>
      <c r="J804" s="139"/>
      <c r="K804" s="139"/>
      <c r="N804" s="139"/>
    </row>
    <row r="805">
      <c r="B805" s="20"/>
      <c r="C805" s="20"/>
      <c r="E805" s="139"/>
      <c r="F805" s="139"/>
      <c r="G805" s="139"/>
      <c r="H805" s="139"/>
      <c r="I805" s="139"/>
      <c r="J805" s="139"/>
      <c r="K805" s="139"/>
      <c r="N805" s="139"/>
    </row>
    <row r="806">
      <c r="B806" s="20"/>
      <c r="C806" s="20"/>
      <c r="E806" s="139"/>
      <c r="F806" s="139"/>
      <c r="G806" s="139"/>
      <c r="H806" s="139"/>
      <c r="I806" s="139"/>
      <c r="J806" s="139"/>
      <c r="K806" s="139"/>
      <c r="N806" s="139"/>
    </row>
    <row r="807">
      <c r="B807" s="20"/>
      <c r="C807" s="20"/>
      <c r="E807" s="139"/>
      <c r="F807" s="139"/>
      <c r="G807" s="139"/>
      <c r="H807" s="139"/>
      <c r="I807" s="139"/>
      <c r="J807" s="139"/>
      <c r="K807" s="139"/>
      <c r="N807" s="139"/>
    </row>
    <row r="808">
      <c r="B808" s="20"/>
      <c r="C808" s="20"/>
      <c r="E808" s="139"/>
      <c r="F808" s="139"/>
      <c r="G808" s="139"/>
      <c r="H808" s="139"/>
      <c r="I808" s="139"/>
      <c r="J808" s="139"/>
      <c r="K808" s="139"/>
      <c r="N808" s="139"/>
    </row>
    <row r="809">
      <c r="B809" s="20"/>
      <c r="C809" s="20"/>
      <c r="E809" s="139"/>
      <c r="F809" s="139"/>
      <c r="G809" s="139"/>
      <c r="H809" s="139"/>
      <c r="I809" s="139"/>
      <c r="J809" s="139"/>
      <c r="K809" s="139"/>
      <c r="N809" s="139"/>
    </row>
    <row r="810">
      <c r="B810" s="20"/>
      <c r="C810" s="20"/>
      <c r="E810" s="139"/>
      <c r="F810" s="139"/>
      <c r="G810" s="139"/>
      <c r="H810" s="139"/>
      <c r="I810" s="139"/>
      <c r="J810" s="139"/>
      <c r="K810" s="139"/>
      <c r="N810" s="139"/>
    </row>
    <row r="811">
      <c r="B811" s="20"/>
      <c r="C811" s="20"/>
      <c r="E811" s="139"/>
      <c r="F811" s="139"/>
      <c r="G811" s="139"/>
      <c r="H811" s="139"/>
      <c r="I811" s="139"/>
      <c r="J811" s="139"/>
      <c r="K811" s="139"/>
      <c r="N811" s="139"/>
    </row>
    <row r="812">
      <c r="B812" s="20"/>
      <c r="C812" s="20"/>
      <c r="E812" s="139"/>
      <c r="F812" s="139"/>
      <c r="G812" s="139"/>
      <c r="H812" s="139"/>
      <c r="I812" s="139"/>
      <c r="J812" s="139"/>
      <c r="K812" s="139"/>
      <c r="N812" s="139"/>
    </row>
    <row r="813">
      <c r="B813" s="20"/>
      <c r="C813" s="20"/>
      <c r="E813" s="139"/>
      <c r="F813" s="139"/>
      <c r="G813" s="139"/>
      <c r="H813" s="139"/>
      <c r="I813" s="139"/>
      <c r="J813" s="139"/>
      <c r="K813" s="139"/>
      <c r="N813" s="139"/>
    </row>
    <row r="814">
      <c r="B814" s="20"/>
      <c r="C814" s="20"/>
      <c r="E814" s="139"/>
      <c r="F814" s="139"/>
      <c r="G814" s="139"/>
      <c r="H814" s="139"/>
      <c r="I814" s="139"/>
      <c r="J814" s="139"/>
      <c r="K814" s="139"/>
      <c r="N814" s="139"/>
    </row>
    <row r="815">
      <c r="B815" s="20"/>
      <c r="C815" s="20"/>
      <c r="E815" s="139"/>
      <c r="F815" s="139"/>
      <c r="G815" s="139"/>
      <c r="H815" s="139"/>
      <c r="I815" s="139"/>
      <c r="J815" s="139"/>
      <c r="K815" s="139"/>
      <c r="N815" s="139"/>
    </row>
    <row r="816">
      <c r="B816" s="20"/>
      <c r="C816" s="20"/>
      <c r="E816" s="139"/>
      <c r="F816" s="139"/>
      <c r="G816" s="139"/>
      <c r="H816" s="139"/>
      <c r="I816" s="139"/>
      <c r="J816" s="139"/>
      <c r="K816" s="139"/>
      <c r="N816" s="139"/>
    </row>
    <row r="817">
      <c r="B817" s="20"/>
      <c r="C817" s="20"/>
      <c r="E817" s="139"/>
      <c r="F817" s="139"/>
      <c r="G817" s="139"/>
      <c r="H817" s="139"/>
      <c r="I817" s="139"/>
      <c r="J817" s="139"/>
      <c r="K817" s="139"/>
      <c r="N817" s="139"/>
    </row>
    <row r="818">
      <c r="B818" s="20"/>
      <c r="C818" s="20"/>
      <c r="E818" s="139"/>
      <c r="F818" s="139"/>
      <c r="G818" s="139"/>
      <c r="H818" s="139"/>
      <c r="I818" s="139"/>
      <c r="J818" s="139"/>
      <c r="K818" s="139"/>
      <c r="N818" s="139"/>
    </row>
    <row r="819">
      <c r="B819" s="20"/>
      <c r="C819" s="20"/>
      <c r="E819" s="139"/>
      <c r="F819" s="139"/>
      <c r="G819" s="139"/>
      <c r="H819" s="139"/>
      <c r="I819" s="139"/>
      <c r="J819" s="139"/>
      <c r="K819" s="139"/>
      <c r="N819" s="139"/>
    </row>
    <row r="820">
      <c r="B820" s="20"/>
      <c r="C820" s="20"/>
      <c r="E820" s="139"/>
      <c r="F820" s="139"/>
      <c r="G820" s="139"/>
      <c r="H820" s="139"/>
      <c r="I820" s="139"/>
      <c r="J820" s="139"/>
      <c r="K820" s="139"/>
      <c r="N820" s="139"/>
    </row>
    <row r="821">
      <c r="B821" s="20"/>
      <c r="C821" s="20"/>
      <c r="E821" s="139"/>
      <c r="F821" s="139"/>
      <c r="G821" s="139"/>
      <c r="H821" s="139"/>
      <c r="I821" s="139"/>
      <c r="J821" s="139"/>
      <c r="K821" s="139"/>
      <c r="N821" s="139"/>
    </row>
    <row r="822">
      <c r="B822" s="20"/>
      <c r="C822" s="20"/>
      <c r="E822" s="139"/>
      <c r="F822" s="139"/>
      <c r="G822" s="139"/>
      <c r="H822" s="139"/>
      <c r="I822" s="139"/>
      <c r="J822" s="139"/>
      <c r="K822" s="139"/>
      <c r="N822" s="139"/>
    </row>
    <row r="823">
      <c r="B823" s="20"/>
      <c r="C823" s="20"/>
      <c r="E823" s="139"/>
      <c r="F823" s="139"/>
      <c r="G823" s="139"/>
      <c r="H823" s="139"/>
      <c r="I823" s="139"/>
      <c r="J823" s="139"/>
      <c r="K823" s="139"/>
      <c r="N823" s="139"/>
    </row>
    <row r="824">
      <c r="B824" s="20"/>
      <c r="C824" s="20"/>
      <c r="E824" s="139"/>
      <c r="F824" s="139"/>
      <c r="G824" s="139"/>
      <c r="H824" s="139"/>
      <c r="I824" s="139"/>
      <c r="J824" s="139"/>
      <c r="K824" s="139"/>
      <c r="N824" s="139"/>
    </row>
    <row r="825">
      <c r="B825" s="20"/>
      <c r="C825" s="20"/>
      <c r="E825" s="139"/>
      <c r="F825" s="139"/>
      <c r="G825" s="139"/>
      <c r="H825" s="139"/>
      <c r="I825" s="139"/>
      <c r="J825" s="139"/>
      <c r="K825" s="139"/>
      <c r="N825" s="139"/>
    </row>
    <row r="826">
      <c r="B826" s="20"/>
      <c r="C826" s="20"/>
      <c r="E826" s="139"/>
      <c r="F826" s="139"/>
      <c r="G826" s="139"/>
      <c r="H826" s="139"/>
      <c r="I826" s="139"/>
      <c r="J826" s="139"/>
      <c r="K826" s="139"/>
      <c r="N826" s="139"/>
    </row>
    <row r="827">
      <c r="B827" s="20"/>
      <c r="C827" s="20"/>
      <c r="E827" s="139"/>
      <c r="F827" s="139"/>
      <c r="G827" s="139"/>
      <c r="H827" s="139"/>
      <c r="I827" s="139"/>
      <c r="J827" s="139"/>
      <c r="K827" s="139"/>
      <c r="N827" s="139"/>
    </row>
    <row r="828">
      <c r="B828" s="20"/>
      <c r="C828" s="20"/>
      <c r="E828" s="139"/>
      <c r="F828" s="139"/>
      <c r="G828" s="139"/>
      <c r="H828" s="139"/>
      <c r="I828" s="139"/>
      <c r="J828" s="139"/>
      <c r="K828" s="139"/>
      <c r="N828" s="139"/>
    </row>
    <row r="829">
      <c r="B829" s="20"/>
      <c r="C829" s="20"/>
      <c r="E829" s="139"/>
      <c r="F829" s="139"/>
      <c r="G829" s="139"/>
      <c r="H829" s="139"/>
      <c r="I829" s="139"/>
      <c r="J829" s="139"/>
      <c r="K829" s="139"/>
      <c r="N829" s="139"/>
    </row>
    <row r="830">
      <c r="B830" s="20"/>
      <c r="C830" s="20"/>
      <c r="E830" s="139"/>
      <c r="F830" s="139"/>
      <c r="G830" s="139"/>
      <c r="H830" s="139"/>
      <c r="I830" s="139"/>
      <c r="J830" s="139"/>
      <c r="K830" s="139"/>
      <c r="N830" s="139"/>
    </row>
    <row r="831">
      <c r="B831" s="20"/>
      <c r="C831" s="20"/>
      <c r="E831" s="139"/>
      <c r="F831" s="139"/>
      <c r="G831" s="139"/>
      <c r="H831" s="139"/>
      <c r="I831" s="139"/>
      <c r="J831" s="139"/>
      <c r="K831" s="139"/>
      <c r="N831" s="139"/>
    </row>
    <row r="832">
      <c r="B832" s="20"/>
      <c r="C832" s="20"/>
      <c r="E832" s="139"/>
      <c r="F832" s="139"/>
      <c r="G832" s="139"/>
      <c r="H832" s="139"/>
      <c r="I832" s="139"/>
      <c r="J832" s="139"/>
      <c r="K832" s="139"/>
      <c r="N832" s="139"/>
    </row>
    <row r="833">
      <c r="B833" s="20"/>
      <c r="C833" s="20"/>
      <c r="E833" s="139"/>
      <c r="F833" s="139"/>
      <c r="G833" s="139"/>
      <c r="H833" s="139"/>
      <c r="I833" s="139"/>
      <c r="J833" s="139"/>
      <c r="K833" s="139"/>
      <c r="N833" s="139"/>
    </row>
    <row r="834">
      <c r="B834" s="20"/>
      <c r="C834" s="20"/>
      <c r="E834" s="139"/>
      <c r="F834" s="139"/>
      <c r="G834" s="139"/>
      <c r="H834" s="139"/>
      <c r="I834" s="139"/>
      <c r="J834" s="139"/>
      <c r="K834" s="139"/>
      <c r="N834" s="139"/>
    </row>
    <row r="835">
      <c r="B835" s="20"/>
      <c r="C835" s="20"/>
      <c r="E835" s="139"/>
      <c r="F835" s="139"/>
      <c r="G835" s="139"/>
      <c r="H835" s="139"/>
      <c r="I835" s="139"/>
      <c r="J835" s="139"/>
      <c r="K835" s="139"/>
      <c r="N835" s="139"/>
    </row>
    <row r="836">
      <c r="B836" s="20"/>
      <c r="C836" s="20"/>
      <c r="E836" s="139"/>
      <c r="F836" s="139"/>
      <c r="G836" s="139"/>
      <c r="H836" s="139"/>
      <c r="I836" s="139"/>
      <c r="J836" s="139"/>
      <c r="K836" s="139"/>
      <c r="N836" s="139"/>
    </row>
    <row r="837">
      <c r="B837" s="20"/>
      <c r="C837" s="20"/>
      <c r="E837" s="139"/>
      <c r="F837" s="139"/>
      <c r="G837" s="139"/>
      <c r="H837" s="139"/>
      <c r="I837" s="139"/>
      <c r="J837" s="139"/>
      <c r="K837" s="139"/>
      <c r="N837" s="139"/>
    </row>
    <row r="838">
      <c r="B838" s="20"/>
      <c r="C838" s="20"/>
      <c r="E838" s="139"/>
      <c r="F838" s="139"/>
      <c r="G838" s="139"/>
      <c r="H838" s="139"/>
      <c r="I838" s="139"/>
      <c r="J838" s="139"/>
      <c r="K838" s="139"/>
      <c r="N838" s="139"/>
    </row>
    <row r="839">
      <c r="B839" s="20"/>
      <c r="C839" s="20"/>
      <c r="E839" s="139"/>
      <c r="F839" s="139"/>
      <c r="G839" s="139"/>
      <c r="H839" s="139"/>
      <c r="I839" s="139"/>
      <c r="J839" s="139"/>
      <c r="K839" s="139"/>
      <c r="N839" s="139"/>
    </row>
    <row r="840">
      <c r="B840" s="20"/>
      <c r="C840" s="20"/>
      <c r="E840" s="139"/>
      <c r="F840" s="139"/>
      <c r="G840" s="139"/>
      <c r="H840" s="139"/>
      <c r="I840" s="139"/>
      <c r="J840" s="139"/>
      <c r="K840" s="139"/>
      <c r="N840" s="139"/>
    </row>
    <row r="841">
      <c r="B841" s="20"/>
      <c r="C841" s="20"/>
      <c r="E841" s="139"/>
      <c r="F841" s="139"/>
      <c r="G841" s="139"/>
      <c r="H841" s="139"/>
      <c r="I841" s="139"/>
      <c r="J841" s="139"/>
      <c r="K841" s="139"/>
      <c r="N841" s="139"/>
    </row>
    <row r="842">
      <c r="B842" s="20"/>
      <c r="C842" s="20"/>
      <c r="E842" s="139"/>
      <c r="F842" s="139"/>
      <c r="G842" s="139"/>
      <c r="H842" s="139"/>
      <c r="I842" s="139"/>
      <c r="J842" s="139"/>
      <c r="K842" s="139"/>
      <c r="N842" s="139"/>
    </row>
    <row r="843">
      <c r="B843" s="20"/>
      <c r="C843" s="20"/>
      <c r="E843" s="139"/>
      <c r="F843" s="139"/>
      <c r="G843" s="139"/>
      <c r="H843" s="139"/>
      <c r="I843" s="139"/>
      <c r="J843" s="139"/>
      <c r="K843" s="139"/>
      <c r="N843" s="139"/>
    </row>
    <row r="844">
      <c r="B844" s="20"/>
      <c r="C844" s="20"/>
      <c r="E844" s="139"/>
      <c r="F844" s="139"/>
      <c r="G844" s="139"/>
      <c r="H844" s="139"/>
      <c r="I844" s="139"/>
      <c r="J844" s="139"/>
      <c r="K844" s="139"/>
      <c r="N844" s="139"/>
    </row>
    <row r="845">
      <c r="B845" s="20"/>
      <c r="C845" s="20"/>
      <c r="E845" s="139"/>
      <c r="F845" s="139"/>
      <c r="G845" s="139"/>
      <c r="H845" s="139"/>
      <c r="I845" s="139"/>
      <c r="J845" s="139"/>
      <c r="K845" s="139"/>
      <c r="N845" s="139"/>
    </row>
    <row r="846">
      <c r="B846" s="20"/>
      <c r="C846" s="20"/>
      <c r="E846" s="139"/>
      <c r="F846" s="139"/>
      <c r="G846" s="139"/>
      <c r="H846" s="139"/>
      <c r="I846" s="139"/>
      <c r="J846" s="139"/>
      <c r="K846" s="139"/>
      <c r="N846" s="139"/>
    </row>
    <row r="847">
      <c r="B847" s="20"/>
      <c r="C847" s="20"/>
      <c r="E847" s="139"/>
      <c r="F847" s="139"/>
      <c r="G847" s="139"/>
      <c r="H847" s="139"/>
      <c r="I847" s="139"/>
      <c r="J847" s="139"/>
      <c r="K847" s="139"/>
      <c r="N847" s="139"/>
    </row>
    <row r="848">
      <c r="B848" s="20"/>
      <c r="C848" s="20"/>
      <c r="E848" s="139"/>
      <c r="F848" s="139"/>
      <c r="G848" s="139"/>
      <c r="H848" s="139"/>
      <c r="I848" s="139"/>
      <c r="J848" s="139"/>
      <c r="K848" s="139"/>
      <c r="N848" s="139"/>
    </row>
    <row r="849">
      <c r="B849" s="20"/>
      <c r="C849" s="20"/>
      <c r="E849" s="139"/>
      <c r="F849" s="139"/>
      <c r="G849" s="139"/>
      <c r="H849" s="139"/>
      <c r="I849" s="139"/>
      <c r="J849" s="139"/>
      <c r="K849" s="139"/>
      <c r="N849" s="139"/>
    </row>
    <row r="850">
      <c r="B850" s="20"/>
      <c r="C850" s="20"/>
      <c r="E850" s="139"/>
      <c r="F850" s="139"/>
      <c r="G850" s="139"/>
      <c r="H850" s="139"/>
      <c r="I850" s="139"/>
      <c r="J850" s="139"/>
      <c r="K850" s="139"/>
      <c r="N850" s="139"/>
    </row>
    <row r="851">
      <c r="B851" s="20"/>
      <c r="C851" s="20"/>
      <c r="E851" s="139"/>
      <c r="F851" s="139"/>
      <c r="G851" s="139"/>
      <c r="H851" s="139"/>
      <c r="I851" s="139"/>
      <c r="J851" s="139"/>
      <c r="K851" s="139"/>
      <c r="N851" s="139"/>
    </row>
    <row r="852">
      <c r="B852" s="20"/>
      <c r="C852" s="20"/>
      <c r="E852" s="139"/>
      <c r="F852" s="139"/>
      <c r="G852" s="139"/>
      <c r="H852" s="139"/>
      <c r="I852" s="139"/>
      <c r="J852" s="139"/>
      <c r="K852" s="139"/>
      <c r="N852" s="139"/>
    </row>
    <row r="853">
      <c r="B853" s="20"/>
      <c r="C853" s="20"/>
      <c r="E853" s="139"/>
      <c r="F853" s="139"/>
      <c r="G853" s="139"/>
      <c r="H853" s="139"/>
      <c r="I853" s="139"/>
      <c r="J853" s="139"/>
      <c r="K853" s="139"/>
      <c r="N853" s="139"/>
    </row>
    <row r="854">
      <c r="B854" s="20"/>
      <c r="C854" s="20"/>
      <c r="E854" s="139"/>
      <c r="F854" s="139"/>
      <c r="G854" s="139"/>
      <c r="H854" s="139"/>
      <c r="I854" s="139"/>
      <c r="J854" s="139"/>
      <c r="K854" s="139"/>
      <c r="N854" s="139"/>
    </row>
    <row r="855">
      <c r="B855" s="20"/>
      <c r="C855" s="20"/>
      <c r="E855" s="139"/>
      <c r="F855" s="139"/>
      <c r="G855" s="139"/>
      <c r="H855" s="139"/>
      <c r="I855" s="139"/>
      <c r="J855" s="139"/>
      <c r="K855" s="139"/>
      <c r="N855" s="139"/>
    </row>
    <row r="856">
      <c r="B856" s="20"/>
      <c r="C856" s="20"/>
      <c r="E856" s="139"/>
      <c r="F856" s="139"/>
      <c r="G856" s="139"/>
      <c r="H856" s="139"/>
      <c r="I856" s="139"/>
      <c r="J856" s="139"/>
      <c r="K856" s="139"/>
      <c r="N856" s="139"/>
    </row>
    <row r="857">
      <c r="B857" s="20"/>
      <c r="C857" s="20"/>
      <c r="E857" s="139"/>
      <c r="F857" s="139"/>
      <c r="G857" s="139"/>
      <c r="H857" s="139"/>
      <c r="I857" s="139"/>
      <c r="J857" s="139"/>
      <c r="K857" s="139"/>
      <c r="N857" s="139"/>
    </row>
    <row r="858">
      <c r="B858" s="20"/>
      <c r="C858" s="20"/>
      <c r="E858" s="139"/>
      <c r="F858" s="139"/>
      <c r="G858" s="139"/>
      <c r="H858" s="139"/>
      <c r="I858" s="139"/>
      <c r="J858" s="139"/>
      <c r="K858" s="139"/>
      <c r="N858" s="139"/>
    </row>
    <row r="859">
      <c r="B859" s="20"/>
      <c r="C859" s="20"/>
      <c r="E859" s="139"/>
      <c r="F859" s="139"/>
      <c r="G859" s="139"/>
      <c r="H859" s="139"/>
      <c r="I859" s="139"/>
      <c r="J859" s="139"/>
      <c r="K859" s="139"/>
      <c r="N859" s="139"/>
    </row>
    <row r="860">
      <c r="B860" s="20"/>
      <c r="C860" s="20"/>
      <c r="E860" s="139"/>
      <c r="F860" s="139"/>
      <c r="G860" s="139"/>
      <c r="H860" s="139"/>
      <c r="I860" s="139"/>
      <c r="J860" s="139"/>
      <c r="K860" s="139"/>
      <c r="N860" s="139"/>
    </row>
    <row r="861">
      <c r="B861" s="20"/>
      <c r="C861" s="20"/>
      <c r="E861" s="139"/>
      <c r="F861" s="139"/>
      <c r="G861" s="139"/>
      <c r="H861" s="139"/>
      <c r="I861" s="139"/>
      <c r="J861" s="139"/>
      <c r="K861" s="139"/>
      <c r="N861" s="139"/>
    </row>
    <row r="862">
      <c r="B862" s="20"/>
      <c r="C862" s="20"/>
      <c r="E862" s="139"/>
      <c r="F862" s="139"/>
      <c r="G862" s="139"/>
      <c r="H862" s="139"/>
      <c r="I862" s="139"/>
      <c r="J862" s="139"/>
      <c r="K862" s="139"/>
      <c r="N862" s="139"/>
    </row>
    <row r="863">
      <c r="B863" s="20"/>
      <c r="C863" s="20"/>
      <c r="E863" s="139"/>
      <c r="F863" s="139"/>
      <c r="G863" s="139"/>
      <c r="H863" s="139"/>
      <c r="I863" s="139"/>
      <c r="J863" s="139"/>
      <c r="K863" s="139"/>
      <c r="N863" s="139"/>
    </row>
    <row r="864">
      <c r="B864" s="20"/>
      <c r="C864" s="20"/>
      <c r="E864" s="139"/>
      <c r="F864" s="139"/>
      <c r="G864" s="139"/>
      <c r="H864" s="139"/>
      <c r="I864" s="139"/>
      <c r="J864" s="139"/>
      <c r="K864" s="139"/>
      <c r="N864" s="139"/>
    </row>
    <row r="865">
      <c r="B865" s="20"/>
      <c r="C865" s="20"/>
      <c r="E865" s="139"/>
      <c r="F865" s="139"/>
      <c r="G865" s="139"/>
      <c r="H865" s="139"/>
      <c r="I865" s="139"/>
      <c r="J865" s="139"/>
      <c r="K865" s="139"/>
      <c r="N865" s="139"/>
    </row>
    <row r="866">
      <c r="B866" s="20"/>
      <c r="C866" s="20"/>
      <c r="E866" s="139"/>
      <c r="F866" s="139"/>
      <c r="G866" s="139"/>
      <c r="H866" s="139"/>
      <c r="I866" s="139"/>
      <c r="J866" s="139"/>
      <c r="K866" s="139"/>
      <c r="N866" s="139"/>
    </row>
    <row r="867">
      <c r="B867" s="20"/>
      <c r="C867" s="20"/>
      <c r="E867" s="139"/>
      <c r="F867" s="139"/>
      <c r="G867" s="139"/>
      <c r="H867" s="139"/>
      <c r="I867" s="139"/>
      <c r="J867" s="139"/>
      <c r="K867" s="139"/>
      <c r="N867" s="139"/>
    </row>
    <row r="868">
      <c r="B868" s="20"/>
      <c r="C868" s="20"/>
      <c r="E868" s="139"/>
      <c r="F868" s="139"/>
      <c r="G868" s="139"/>
      <c r="H868" s="139"/>
      <c r="I868" s="139"/>
      <c r="J868" s="139"/>
      <c r="K868" s="139"/>
      <c r="N868" s="139"/>
    </row>
    <row r="869">
      <c r="B869" s="20"/>
      <c r="C869" s="20"/>
      <c r="E869" s="139"/>
      <c r="F869" s="139"/>
      <c r="G869" s="139"/>
      <c r="H869" s="139"/>
      <c r="I869" s="139"/>
      <c r="J869" s="139"/>
      <c r="K869" s="139"/>
      <c r="N869" s="139"/>
    </row>
    <row r="870">
      <c r="B870" s="20"/>
      <c r="C870" s="20"/>
      <c r="E870" s="139"/>
      <c r="F870" s="139"/>
      <c r="G870" s="139"/>
      <c r="H870" s="139"/>
      <c r="I870" s="139"/>
      <c r="J870" s="139"/>
      <c r="K870" s="139"/>
      <c r="N870" s="139"/>
    </row>
    <row r="871">
      <c r="B871" s="20"/>
      <c r="C871" s="20"/>
      <c r="E871" s="139"/>
      <c r="F871" s="139"/>
      <c r="G871" s="139"/>
      <c r="H871" s="139"/>
      <c r="I871" s="139"/>
      <c r="J871" s="139"/>
      <c r="K871" s="139"/>
      <c r="N871" s="139"/>
    </row>
    <row r="872">
      <c r="B872" s="20"/>
      <c r="C872" s="20"/>
      <c r="E872" s="139"/>
      <c r="F872" s="139"/>
      <c r="G872" s="139"/>
      <c r="H872" s="139"/>
      <c r="I872" s="139"/>
      <c r="J872" s="139"/>
      <c r="K872" s="139"/>
      <c r="N872" s="139"/>
    </row>
    <row r="873">
      <c r="B873" s="20"/>
      <c r="C873" s="20"/>
      <c r="E873" s="139"/>
      <c r="F873" s="139"/>
      <c r="G873" s="139"/>
      <c r="H873" s="139"/>
      <c r="I873" s="139"/>
      <c r="J873" s="139"/>
      <c r="K873" s="139"/>
      <c r="N873" s="139"/>
    </row>
    <row r="874">
      <c r="B874" s="20"/>
      <c r="C874" s="20"/>
      <c r="E874" s="139"/>
      <c r="F874" s="139"/>
      <c r="G874" s="139"/>
      <c r="H874" s="139"/>
      <c r="I874" s="139"/>
      <c r="J874" s="139"/>
      <c r="K874" s="139"/>
      <c r="N874" s="139"/>
    </row>
    <row r="875">
      <c r="B875" s="20"/>
      <c r="C875" s="20"/>
      <c r="E875" s="139"/>
      <c r="F875" s="139"/>
      <c r="G875" s="139"/>
      <c r="H875" s="139"/>
      <c r="I875" s="139"/>
      <c r="J875" s="139"/>
      <c r="K875" s="139"/>
      <c r="N875" s="139"/>
    </row>
    <row r="876">
      <c r="B876" s="20"/>
      <c r="C876" s="20"/>
      <c r="E876" s="139"/>
      <c r="F876" s="139"/>
      <c r="G876" s="139"/>
      <c r="H876" s="139"/>
      <c r="I876" s="139"/>
      <c r="J876" s="139"/>
      <c r="K876" s="139"/>
      <c r="N876" s="139"/>
    </row>
    <row r="877">
      <c r="B877" s="20"/>
      <c r="C877" s="20"/>
      <c r="E877" s="139"/>
      <c r="F877" s="139"/>
      <c r="G877" s="139"/>
      <c r="H877" s="139"/>
      <c r="I877" s="139"/>
      <c r="J877" s="139"/>
      <c r="K877" s="139"/>
      <c r="N877" s="139"/>
    </row>
    <row r="878">
      <c r="B878" s="20"/>
      <c r="C878" s="20"/>
      <c r="E878" s="139"/>
      <c r="F878" s="139"/>
      <c r="G878" s="139"/>
      <c r="H878" s="139"/>
      <c r="I878" s="139"/>
      <c r="J878" s="139"/>
      <c r="K878" s="139"/>
      <c r="N878" s="139"/>
    </row>
    <row r="879">
      <c r="B879" s="20"/>
      <c r="C879" s="20"/>
      <c r="E879" s="139"/>
      <c r="F879" s="139"/>
      <c r="G879" s="139"/>
      <c r="H879" s="139"/>
      <c r="I879" s="139"/>
      <c r="J879" s="139"/>
      <c r="K879" s="139"/>
      <c r="N879" s="139"/>
    </row>
    <row r="880">
      <c r="B880" s="20"/>
      <c r="C880" s="20"/>
      <c r="E880" s="139"/>
      <c r="F880" s="139"/>
      <c r="G880" s="139"/>
      <c r="H880" s="139"/>
      <c r="I880" s="139"/>
      <c r="J880" s="139"/>
      <c r="K880" s="139"/>
      <c r="N880" s="139"/>
    </row>
    <row r="881">
      <c r="B881" s="20"/>
      <c r="C881" s="20"/>
      <c r="E881" s="139"/>
      <c r="F881" s="139"/>
      <c r="G881" s="139"/>
      <c r="H881" s="139"/>
      <c r="I881" s="139"/>
      <c r="J881" s="139"/>
      <c r="K881" s="139"/>
      <c r="N881" s="139"/>
    </row>
    <row r="882">
      <c r="B882" s="20"/>
      <c r="C882" s="20"/>
      <c r="E882" s="139"/>
      <c r="F882" s="139"/>
      <c r="G882" s="139"/>
      <c r="H882" s="139"/>
      <c r="I882" s="139"/>
      <c r="J882" s="139"/>
      <c r="K882" s="139"/>
      <c r="N882" s="139"/>
    </row>
    <row r="883">
      <c r="B883" s="20"/>
      <c r="C883" s="20"/>
      <c r="E883" s="139"/>
      <c r="F883" s="139"/>
      <c r="G883" s="139"/>
      <c r="H883" s="139"/>
      <c r="I883" s="139"/>
      <c r="J883" s="139"/>
      <c r="K883" s="139"/>
      <c r="N883" s="139"/>
    </row>
    <row r="884">
      <c r="B884" s="20"/>
      <c r="C884" s="20"/>
      <c r="E884" s="139"/>
      <c r="F884" s="139"/>
      <c r="G884" s="139"/>
      <c r="H884" s="139"/>
      <c r="I884" s="139"/>
      <c r="J884" s="139"/>
      <c r="K884" s="139"/>
      <c r="N884" s="139"/>
    </row>
    <row r="885">
      <c r="B885" s="20"/>
      <c r="C885" s="20"/>
      <c r="E885" s="139"/>
      <c r="F885" s="139"/>
      <c r="G885" s="139"/>
      <c r="H885" s="139"/>
      <c r="I885" s="139"/>
      <c r="J885" s="139"/>
      <c r="K885" s="139"/>
      <c r="N885" s="139"/>
    </row>
    <row r="886">
      <c r="B886" s="20"/>
      <c r="C886" s="20"/>
      <c r="E886" s="139"/>
      <c r="F886" s="139"/>
      <c r="G886" s="139"/>
      <c r="H886" s="139"/>
      <c r="I886" s="139"/>
      <c r="J886" s="139"/>
      <c r="K886" s="139"/>
      <c r="N886" s="139"/>
    </row>
    <row r="887">
      <c r="B887" s="20"/>
      <c r="C887" s="20"/>
      <c r="E887" s="139"/>
      <c r="F887" s="139"/>
      <c r="G887" s="139"/>
      <c r="H887" s="139"/>
      <c r="I887" s="139"/>
      <c r="J887" s="139"/>
      <c r="K887" s="139"/>
      <c r="N887" s="139"/>
    </row>
    <row r="888">
      <c r="B888" s="20"/>
      <c r="C888" s="20"/>
      <c r="E888" s="139"/>
      <c r="F888" s="139"/>
      <c r="G888" s="139"/>
      <c r="H888" s="139"/>
      <c r="I888" s="139"/>
      <c r="J888" s="139"/>
      <c r="K888" s="139"/>
      <c r="N888" s="139"/>
    </row>
    <row r="889">
      <c r="B889" s="20"/>
      <c r="C889" s="20"/>
      <c r="E889" s="139"/>
      <c r="F889" s="139"/>
      <c r="G889" s="139"/>
      <c r="H889" s="139"/>
      <c r="I889" s="139"/>
      <c r="J889" s="139"/>
      <c r="K889" s="139"/>
      <c r="N889" s="139"/>
    </row>
    <row r="890">
      <c r="B890" s="20"/>
      <c r="C890" s="20"/>
      <c r="E890" s="139"/>
      <c r="F890" s="139"/>
      <c r="G890" s="139"/>
      <c r="H890" s="139"/>
      <c r="I890" s="139"/>
      <c r="J890" s="139"/>
      <c r="K890" s="139"/>
      <c r="N890" s="139"/>
    </row>
    <row r="891">
      <c r="B891" s="20"/>
      <c r="C891" s="20"/>
      <c r="E891" s="139"/>
      <c r="F891" s="139"/>
      <c r="G891" s="139"/>
      <c r="H891" s="139"/>
      <c r="I891" s="139"/>
      <c r="J891" s="139"/>
      <c r="K891" s="139"/>
      <c r="N891" s="139"/>
    </row>
    <row r="892">
      <c r="B892" s="20"/>
      <c r="C892" s="20"/>
      <c r="E892" s="139"/>
      <c r="F892" s="139"/>
      <c r="G892" s="139"/>
      <c r="H892" s="139"/>
      <c r="I892" s="139"/>
      <c r="J892" s="139"/>
      <c r="K892" s="139"/>
      <c r="N892" s="139"/>
    </row>
    <row r="893">
      <c r="B893" s="20"/>
      <c r="C893" s="20"/>
      <c r="E893" s="139"/>
      <c r="F893" s="139"/>
      <c r="G893" s="139"/>
      <c r="H893" s="139"/>
      <c r="I893" s="139"/>
      <c r="J893" s="139"/>
      <c r="K893" s="139"/>
      <c r="N893" s="139"/>
    </row>
    <row r="894">
      <c r="B894" s="20"/>
      <c r="C894" s="20"/>
      <c r="E894" s="139"/>
      <c r="F894" s="139"/>
      <c r="G894" s="139"/>
      <c r="H894" s="139"/>
      <c r="I894" s="139"/>
      <c r="J894" s="139"/>
      <c r="K894" s="139"/>
      <c r="N894" s="139"/>
    </row>
    <row r="895">
      <c r="B895" s="20"/>
      <c r="C895" s="20"/>
      <c r="E895" s="139"/>
      <c r="F895" s="139"/>
      <c r="G895" s="139"/>
      <c r="H895" s="139"/>
      <c r="I895" s="139"/>
      <c r="J895" s="139"/>
      <c r="K895" s="139"/>
      <c r="N895" s="139"/>
    </row>
    <row r="896">
      <c r="B896" s="20"/>
      <c r="C896" s="20"/>
      <c r="E896" s="139"/>
      <c r="F896" s="139"/>
      <c r="G896" s="139"/>
      <c r="H896" s="139"/>
      <c r="I896" s="139"/>
      <c r="J896" s="139"/>
      <c r="K896" s="139"/>
      <c r="N896" s="139"/>
    </row>
    <row r="897">
      <c r="B897" s="20"/>
      <c r="C897" s="20"/>
      <c r="E897" s="139"/>
      <c r="F897" s="139"/>
      <c r="G897" s="139"/>
      <c r="H897" s="139"/>
      <c r="I897" s="139"/>
      <c r="J897" s="139"/>
      <c r="K897" s="139"/>
      <c r="N897" s="139"/>
    </row>
    <row r="898">
      <c r="B898" s="20"/>
      <c r="C898" s="20"/>
      <c r="E898" s="139"/>
      <c r="F898" s="139"/>
      <c r="G898" s="139"/>
      <c r="H898" s="139"/>
      <c r="I898" s="139"/>
      <c r="J898" s="139"/>
      <c r="K898" s="139"/>
      <c r="N898" s="139"/>
    </row>
    <row r="899">
      <c r="B899" s="20"/>
      <c r="C899" s="20"/>
      <c r="E899" s="139"/>
      <c r="F899" s="139"/>
      <c r="G899" s="139"/>
      <c r="H899" s="139"/>
      <c r="I899" s="139"/>
      <c r="J899" s="139"/>
      <c r="K899" s="139"/>
      <c r="N899" s="139"/>
    </row>
    <row r="900">
      <c r="B900" s="20"/>
      <c r="C900" s="20"/>
      <c r="E900" s="139"/>
      <c r="F900" s="139"/>
      <c r="G900" s="139"/>
      <c r="H900" s="139"/>
      <c r="I900" s="139"/>
      <c r="J900" s="139"/>
      <c r="K900" s="139"/>
      <c r="N900" s="139"/>
    </row>
    <row r="901">
      <c r="B901" s="20"/>
      <c r="C901" s="20"/>
      <c r="E901" s="139"/>
      <c r="F901" s="139"/>
      <c r="G901" s="139"/>
      <c r="H901" s="139"/>
      <c r="I901" s="139"/>
      <c r="J901" s="139"/>
      <c r="K901" s="139"/>
      <c r="N901" s="139"/>
    </row>
    <row r="902">
      <c r="B902" s="20"/>
      <c r="C902" s="20"/>
      <c r="E902" s="139"/>
      <c r="F902" s="139"/>
      <c r="G902" s="139"/>
      <c r="H902" s="139"/>
      <c r="I902" s="139"/>
      <c r="J902" s="139"/>
      <c r="K902" s="139"/>
      <c r="N902" s="139"/>
    </row>
    <row r="903">
      <c r="B903" s="20"/>
      <c r="C903" s="20"/>
      <c r="E903" s="139"/>
      <c r="F903" s="139"/>
      <c r="G903" s="139"/>
      <c r="H903" s="139"/>
      <c r="I903" s="139"/>
      <c r="J903" s="139"/>
      <c r="K903" s="139"/>
      <c r="N903" s="139"/>
    </row>
    <row r="904">
      <c r="B904" s="20"/>
      <c r="C904" s="20"/>
      <c r="E904" s="139"/>
      <c r="F904" s="139"/>
      <c r="G904" s="139"/>
      <c r="H904" s="139"/>
      <c r="I904" s="139"/>
      <c r="J904" s="139"/>
      <c r="K904" s="139"/>
      <c r="N904" s="139"/>
    </row>
    <row r="905">
      <c r="B905" s="20"/>
      <c r="C905" s="20"/>
      <c r="E905" s="139"/>
      <c r="F905" s="139"/>
      <c r="G905" s="139"/>
      <c r="H905" s="139"/>
      <c r="I905" s="139"/>
      <c r="J905" s="139"/>
      <c r="K905" s="139"/>
      <c r="N905" s="139"/>
    </row>
    <row r="906">
      <c r="B906" s="20"/>
      <c r="C906" s="20"/>
      <c r="E906" s="139"/>
      <c r="F906" s="139"/>
      <c r="G906" s="139"/>
      <c r="H906" s="139"/>
      <c r="I906" s="139"/>
      <c r="J906" s="139"/>
      <c r="K906" s="139"/>
      <c r="N906" s="139"/>
    </row>
    <row r="907">
      <c r="B907" s="20"/>
      <c r="C907" s="20"/>
      <c r="E907" s="139"/>
      <c r="F907" s="139"/>
      <c r="G907" s="139"/>
      <c r="H907" s="139"/>
      <c r="I907" s="139"/>
      <c r="J907" s="139"/>
      <c r="K907" s="139"/>
      <c r="N907" s="139"/>
    </row>
    <row r="908">
      <c r="B908" s="20"/>
      <c r="C908" s="20"/>
      <c r="E908" s="139"/>
      <c r="F908" s="139"/>
      <c r="G908" s="139"/>
      <c r="H908" s="139"/>
      <c r="I908" s="139"/>
      <c r="J908" s="139"/>
      <c r="K908" s="139"/>
      <c r="N908" s="139"/>
    </row>
    <row r="909">
      <c r="B909" s="20"/>
      <c r="C909" s="20"/>
      <c r="E909" s="139"/>
      <c r="F909" s="139"/>
      <c r="G909" s="139"/>
      <c r="H909" s="139"/>
      <c r="I909" s="139"/>
      <c r="J909" s="139"/>
      <c r="K909" s="139"/>
      <c r="N909" s="139"/>
    </row>
    <row r="910">
      <c r="B910" s="20"/>
      <c r="C910" s="20"/>
      <c r="E910" s="139"/>
      <c r="F910" s="139"/>
      <c r="G910" s="139"/>
      <c r="H910" s="139"/>
      <c r="I910" s="139"/>
      <c r="J910" s="139"/>
      <c r="K910" s="139"/>
      <c r="N910" s="139"/>
    </row>
    <row r="911">
      <c r="B911" s="20"/>
      <c r="C911" s="20"/>
      <c r="E911" s="139"/>
      <c r="F911" s="139"/>
      <c r="G911" s="139"/>
      <c r="H911" s="139"/>
      <c r="I911" s="139"/>
      <c r="J911" s="139"/>
      <c r="K911" s="139"/>
      <c r="N911" s="139"/>
    </row>
    <row r="912">
      <c r="B912" s="20"/>
      <c r="C912" s="20"/>
      <c r="E912" s="139"/>
      <c r="F912" s="139"/>
      <c r="G912" s="139"/>
      <c r="H912" s="139"/>
      <c r="I912" s="139"/>
      <c r="J912" s="139"/>
      <c r="K912" s="139"/>
      <c r="N912" s="139"/>
    </row>
    <row r="913">
      <c r="B913" s="20"/>
      <c r="C913" s="20"/>
      <c r="E913" s="139"/>
      <c r="F913" s="139"/>
      <c r="G913" s="139"/>
      <c r="H913" s="139"/>
      <c r="I913" s="139"/>
      <c r="J913" s="139"/>
      <c r="K913" s="139"/>
      <c r="N913" s="139"/>
    </row>
    <row r="914">
      <c r="B914" s="20"/>
      <c r="C914" s="20"/>
      <c r="E914" s="139"/>
      <c r="F914" s="139"/>
      <c r="G914" s="139"/>
      <c r="H914" s="139"/>
      <c r="I914" s="139"/>
      <c r="J914" s="139"/>
      <c r="K914" s="139"/>
      <c r="N914" s="139"/>
    </row>
    <row r="915">
      <c r="B915" s="20"/>
      <c r="C915" s="20"/>
      <c r="E915" s="139"/>
      <c r="F915" s="139"/>
      <c r="G915" s="139"/>
      <c r="H915" s="139"/>
      <c r="I915" s="139"/>
      <c r="J915" s="139"/>
      <c r="K915" s="139"/>
      <c r="N915" s="139"/>
    </row>
    <row r="916">
      <c r="B916" s="20"/>
      <c r="C916" s="20"/>
      <c r="E916" s="139"/>
      <c r="F916" s="139"/>
      <c r="G916" s="139"/>
      <c r="H916" s="139"/>
      <c r="I916" s="139"/>
      <c r="J916" s="139"/>
      <c r="K916" s="139"/>
      <c r="N916" s="139"/>
    </row>
    <row r="917">
      <c r="B917" s="20"/>
      <c r="C917" s="20"/>
      <c r="E917" s="139"/>
      <c r="F917" s="139"/>
      <c r="G917" s="139"/>
      <c r="H917" s="139"/>
      <c r="I917" s="139"/>
      <c r="J917" s="139"/>
      <c r="K917" s="139"/>
      <c r="N917" s="139"/>
    </row>
    <row r="918">
      <c r="B918" s="20"/>
      <c r="C918" s="20"/>
      <c r="E918" s="139"/>
      <c r="F918" s="139"/>
      <c r="G918" s="139"/>
      <c r="H918" s="139"/>
      <c r="I918" s="139"/>
      <c r="J918" s="139"/>
      <c r="K918" s="139"/>
      <c r="N918" s="139"/>
    </row>
    <row r="919">
      <c r="B919" s="20"/>
      <c r="C919" s="20"/>
      <c r="E919" s="139"/>
      <c r="F919" s="139"/>
      <c r="G919" s="139"/>
      <c r="H919" s="139"/>
      <c r="I919" s="139"/>
      <c r="J919" s="139"/>
      <c r="K919" s="139"/>
      <c r="N919" s="139"/>
    </row>
    <row r="920">
      <c r="B920" s="20"/>
      <c r="C920" s="20"/>
      <c r="E920" s="139"/>
      <c r="F920" s="139"/>
      <c r="G920" s="139"/>
      <c r="H920" s="139"/>
      <c r="I920" s="139"/>
      <c r="J920" s="139"/>
      <c r="K920" s="139"/>
      <c r="N920" s="139"/>
    </row>
    <row r="921">
      <c r="B921" s="20"/>
      <c r="C921" s="20"/>
      <c r="E921" s="139"/>
      <c r="F921" s="139"/>
      <c r="G921" s="139"/>
      <c r="H921" s="139"/>
      <c r="I921" s="139"/>
      <c r="J921" s="139"/>
      <c r="K921" s="139"/>
      <c r="N921" s="139"/>
    </row>
    <row r="922">
      <c r="B922" s="20"/>
      <c r="C922" s="20"/>
      <c r="E922" s="139"/>
      <c r="F922" s="139"/>
      <c r="G922" s="139"/>
      <c r="H922" s="139"/>
      <c r="I922" s="139"/>
      <c r="J922" s="139"/>
      <c r="K922" s="139"/>
      <c r="N922" s="139"/>
    </row>
    <row r="923">
      <c r="B923" s="20"/>
      <c r="C923" s="20"/>
      <c r="E923" s="139"/>
      <c r="F923" s="139"/>
      <c r="G923" s="139"/>
      <c r="H923" s="139"/>
      <c r="I923" s="139"/>
      <c r="J923" s="139"/>
      <c r="K923" s="139"/>
      <c r="N923" s="139"/>
    </row>
    <row r="924">
      <c r="B924" s="20"/>
      <c r="C924" s="20"/>
      <c r="E924" s="139"/>
      <c r="F924" s="139"/>
      <c r="G924" s="139"/>
      <c r="H924" s="139"/>
      <c r="I924" s="139"/>
      <c r="J924" s="139"/>
      <c r="K924" s="139"/>
      <c r="N924" s="139"/>
    </row>
    <row r="925">
      <c r="B925" s="20"/>
      <c r="C925" s="20"/>
      <c r="E925" s="139"/>
      <c r="F925" s="139"/>
      <c r="G925" s="139"/>
      <c r="H925" s="139"/>
      <c r="I925" s="139"/>
      <c r="J925" s="139"/>
      <c r="K925" s="139"/>
      <c r="N925" s="139"/>
    </row>
    <row r="926">
      <c r="B926" s="20"/>
      <c r="C926" s="20"/>
      <c r="E926" s="139"/>
      <c r="F926" s="139"/>
      <c r="G926" s="139"/>
      <c r="H926" s="139"/>
      <c r="I926" s="139"/>
      <c r="J926" s="139"/>
      <c r="K926" s="139"/>
      <c r="N926" s="139"/>
    </row>
    <row r="927">
      <c r="B927" s="20"/>
      <c r="C927" s="20"/>
      <c r="E927" s="139"/>
      <c r="F927" s="139"/>
      <c r="G927" s="139"/>
      <c r="H927" s="139"/>
      <c r="I927" s="139"/>
      <c r="J927" s="139"/>
      <c r="K927" s="139"/>
      <c r="N927" s="139"/>
    </row>
    <row r="928">
      <c r="B928" s="20"/>
      <c r="C928" s="20"/>
      <c r="E928" s="139"/>
      <c r="F928" s="139"/>
      <c r="G928" s="139"/>
      <c r="H928" s="139"/>
      <c r="I928" s="139"/>
      <c r="J928" s="139"/>
      <c r="K928" s="139"/>
      <c r="N928" s="139"/>
    </row>
    <row r="929">
      <c r="B929" s="20"/>
      <c r="C929" s="20"/>
      <c r="E929" s="139"/>
      <c r="F929" s="139"/>
      <c r="G929" s="139"/>
      <c r="H929" s="139"/>
      <c r="I929" s="139"/>
      <c r="J929" s="139"/>
      <c r="K929" s="139"/>
      <c r="N929" s="139"/>
    </row>
    <row r="930">
      <c r="B930" s="20"/>
      <c r="C930" s="20"/>
      <c r="E930" s="139"/>
      <c r="F930" s="139"/>
      <c r="G930" s="139"/>
      <c r="H930" s="139"/>
      <c r="I930" s="139"/>
      <c r="J930" s="139"/>
      <c r="K930" s="139"/>
      <c r="N930" s="139"/>
    </row>
    <row r="931">
      <c r="B931" s="20"/>
      <c r="C931" s="20"/>
      <c r="E931" s="139"/>
      <c r="F931" s="139"/>
      <c r="G931" s="139"/>
      <c r="H931" s="139"/>
      <c r="I931" s="139"/>
      <c r="J931" s="139"/>
      <c r="K931" s="139"/>
      <c r="N931" s="139"/>
    </row>
    <row r="932">
      <c r="B932" s="20"/>
      <c r="C932" s="20"/>
      <c r="E932" s="139"/>
      <c r="F932" s="139"/>
      <c r="G932" s="139"/>
      <c r="H932" s="139"/>
      <c r="I932" s="139"/>
      <c r="J932" s="139"/>
      <c r="K932" s="139"/>
      <c r="N932" s="139"/>
    </row>
    <row r="933">
      <c r="B933" s="20"/>
      <c r="C933" s="20"/>
      <c r="E933" s="139"/>
      <c r="F933" s="139"/>
      <c r="G933" s="139"/>
      <c r="H933" s="139"/>
      <c r="I933" s="139"/>
      <c r="J933" s="139"/>
      <c r="K933" s="139"/>
      <c r="N933" s="139"/>
    </row>
    <row r="934">
      <c r="B934" s="20"/>
      <c r="C934" s="20"/>
      <c r="E934" s="139"/>
      <c r="F934" s="139"/>
      <c r="G934" s="139"/>
      <c r="H934" s="139"/>
      <c r="I934" s="139"/>
      <c r="J934" s="139"/>
      <c r="K934" s="139"/>
      <c r="N934" s="139"/>
    </row>
    <row r="935">
      <c r="B935" s="20"/>
      <c r="C935" s="20"/>
      <c r="E935" s="139"/>
      <c r="F935" s="139"/>
      <c r="G935" s="139"/>
      <c r="H935" s="139"/>
      <c r="I935" s="139"/>
      <c r="J935" s="139"/>
      <c r="K935" s="139"/>
      <c r="N935" s="139"/>
    </row>
    <row r="936">
      <c r="B936" s="20"/>
      <c r="C936" s="20"/>
      <c r="E936" s="139"/>
      <c r="F936" s="139"/>
      <c r="G936" s="139"/>
      <c r="H936" s="139"/>
      <c r="I936" s="139"/>
      <c r="J936" s="139"/>
      <c r="K936" s="139"/>
      <c r="N936" s="139"/>
    </row>
    <row r="937">
      <c r="B937" s="20"/>
      <c r="C937" s="20"/>
      <c r="E937" s="139"/>
      <c r="F937" s="139"/>
      <c r="G937" s="139"/>
      <c r="H937" s="139"/>
      <c r="I937" s="139"/>
      <c r="J937" s="139"/>
      <c r="K937" s="139"/>
      <c r="N937" s="139"/>
    </row>
    <row r="938">
      <c r="B938" s="20"/>
      <c r="C938" s="20"/>
      <c r="E938" s="139"/>
      <c r="F938" s="139"/>
      <c r="G938" s="139"/>
      <c r="H938" s="139"/>
      <c r="I938" s="139"/>
      <c r="J938" s="139"/>
      <c r="K938" s="139"/>
      <c r="N938" s="139"/>
    </row>
    <row r="939">
      <c r="B939" s="20"/>
      <c r="C939" s="20"/>
      <c r="E939" s="139"/>
      <c r="F939" s="139"/>
      <c r="G939" s="139"/>
      <c r="H939" s="139"/>
      <c r="I939" s="139"/>
      <c r="J939" s="139"/>
      <c r="K939" s="139"/>
      <c r="N939" s="139"/>
    </row>
    <row r="940">
      <c r="B940" s="20"/>
      <c r="C940" s="20"/>
      <c r="E940" s="139"/>
      <c r="F940" s="139"/>
      <c r="G940" s="139"/>
      <c r="H940" s="139"/>
      <c r="I940" s="139"/>
      <c r="J940" s="139"/>
      <c r="K940" s="139"/>
      <c r="N940" s="139"/>
    </row>
    <row r="941">
      <c r="B941" s="20"/>
      <c r="C941" s="20"/>
      <c r="E941" s="139"/>
      <c r="F941" s="139"/>
      <c r="G941" s="139"/>
      <c r="H941" s="139"/>
      <c r="I941" s="139"/>
      <c r="J941" s="139"/>
      <c r="K941" s="139"/>
      <c r="N941" s="139"/>
    </row>
    <row r="942">
      <c r="B942" s="20"/>
      <c r="C942" s="20"/>
      <c r="E942" s="139"/>
      <c r="F942" s="139"/>
      <c r="G942" s="139"/>
      <c r="H942" s="139"/>
      <c r="I942" s="139"/>
      <c r="J942" s="139"/>
      <c r="K942" s="139"/>
      <c r="N942" s="139"/>
    </row>
    <row r="943">
      <c r="B943" s="20"/>
      <c r="C943" s="20"/>
      <c r="E943" s="139"/>
      <c r="F943" s="139"/>
      <c r="G943" s="139"/>
      <c r="H943" s="139"/>
      <c r="I943" s="139"/>
      <c r="J943" s="139"/>
      <c r="K943" s="139"/>
      <c r="N943" s="139"/>
    </row>
    <row r="944">
      <c r="B944" s="20"/>
      <c r="C944" s="20"/>
      <c r="E944" s="139"/>
      <c r="F944" s="139"/>
      <c r="G944" s="139"/>
      <c r="H944" s="139"/>
      <c r="I944" s="139"/>
      <c r="J944" s="139"/>
      <c r="K944" s="139"/>
      <c r="N944" s="139"/>
    </row>
    <row r="945">
      <c r="B945" s="20"/>
      <c r="C945" s="20"/>
      <c r="E945" s="139"/>
      <c r="F945" s="139"/>
      <c r="G945" s="139"/>
      <c r="H945" s="139"/>
      <c r="I945" s="139"/>
      <c r="J945" s="139"/>
      <c r="K945" s="139"/>
      <c r="N945" s="139"/>
    </row>
    <row r="946">
      <c r="B946" s="20"/>
      <c r="C946" s="20"/>
      <c r="E946" s="139"/>
      <c r="F946" s="139"/>
      <c r="G946" s="139"/>
      <c r="H946" s="139"/>
      <c r="I946" s="139"/>
      <c r="J946" s="139"/>
      <c r="K946" s="139"/>
      <c r="N946" s="139"/>
    </row>
    <row r="947">
      <c r="B947" s="20"/>
      <c r="C947" s="20"/>
      <c r="E947" s="139"/>
      <c r="F947" s="139"/>
      <c r="G947" s="139"/>
      <c r="H947" s="139"/>
      <c r="I947" s="139"/>
      <c r="J947" s="139"/>
      <c r="K947" s="139"/>
      <c r="N947" s="139"/>
    </row>
    <row r="948">
      <c r="B948" s="20"/>
      <c r="C948" s="20"/>
      <c r="E948" s="139"/>
      <c r="F948" s="139"/>
      <c r="G948" s="139"/>
      <c r="H948" s="139"/>
      <c r="I948" s="139"/>
      <c r="J948" s="139"/>
      <c r="K948" s="139"/>
      <c r="N948" s="139"/>
    </row>
    <row r="949">
      <c r="B949" s="20"/>
      <c r="C949" s="20"/>
      <c r="E949" s="139"/>
      <c r="F949" s="139"/>
      <c r="G949" s="139"/>
      <c r="H949" s="139"/>
      <c r="I949" s="139"/>
      <c r="J949" s="139"/>
      <c r="K949" s="139"/>
      <c r="N949" s="139"/>
    </row>
    <row r="950">
      <c r="B950" s="20"/>
      <c r="C950" s="20"/>
      <c r="E950" s="139"/>
      <c r="F950" s="139"/>
      <c r="G950" s="139"/>
      <c r="H950" s="139"/>
      <c r="I950" s="139"/>
      <c r="J950" s="139"/>
      <c r="K950" s="139"/>
      <c r="N950" s="139"/>
    </row>
    <row r="951">
      <c r="B951" s="20"/>
      <c r="C951" s="20"/>
      <c r="E951" s="139"/>
      <c r="F951" s="139"/>
      <c r="G951" s="139"/>
      <c r="H951" s="139"/>
      <c r="I951" s="139"/>
      <c r="J951" s="139"/>
      <c r="K951" s="139"/>
      <c r="N951" s="139"/>
    </row>
    <row r="952">
      <c r="B952" s="20"/>
      <c r="C952" s="20"/>
      <c r="E952" s="139"/>
      <c r="F952" s="139"/>
      <c r="G952" s="139"/>
      <c r="H952" s="139"/>
      <c r="I952" s="139"/>
      <c r="J952" s="139"/>
      <c r="K952" s="139"/>
      <c r="N952" s="139"/>
    </row>
    <row r="953">
      <c r="B953" s="20"/>
      <c r="C953" s="20"/>
      <c r="E953" s="139"/>
      <c r="F953" s="139"/>
      <c r="G953" s="139"/>
      <c r="H953" s="139"/>
      <c r="I953" s="139"/>
      <c r="J953" s="139"/>
      <c r="K953" s="139"/>
      <c r="N953" s="139"/>
    </row>
    <row r="954">
      <c r="B954" s="20"/>
      <c r="C954" s="20"/>
      <c r="E954" s="139"/>
      <c r="F954" s="139"/>
      <c r="G954" s="139"/>
      <c r="H954" s="139"/>
      <c r="I954" s="139"/>
      <c r="J954" s="139"/>
      <c r="K954" s="139"/>
      <c r="N954" s="139"/>
    </row>
    <row r="955">
      <c r="B955" s="20"/>
      <c r="C955" s="20"/>
      <c r="E955" s="139"/>
      <c r="F955" s="139"/>
      <c r="G955" s="139"/>
      <c r="H955" s="139"/>
      <c r="I955" s="139"/>
      <c r="J955" s="139"/>
      <c r="K955" s="139"/>
      <c r="N955" s="139"/>
    </row>
    <row r="956">
      <c r="B956" s="20"/>
      <c r="C956" s="20"/>
      <c r="E956" s="139"/>
      <c r="F956" s="139"/>
      <c r="G956" s="139"/>
      <c r="H956" s="139"/>
      <c r="I956" s="139"/>
      <c r="J956" s="139"/>
      <c r="K956" s="139"/>
      <c r="N956" s="139"/>
    </row>
    <row r="957">
      <c r="B957" s="20"/>
      <c r="C957" s="20"/>
      <c r="E957" s="139"/>
      <c r="F957" s="139"/>
      <c r="G957" s="139"/>
      <c r="H957" s="139"/>
      <c r="I957" s="139"/>
      <c r="J957" s="139"/>
      <c r="K957" s="139"/>
      <c r="N957" s="139"/>
    </row>
    <row r="958">
      <c r="B958" s="20"/>
      <c r="C958" s="20"/>
      <c r="E958" s="139"/>
      <c r="F958" s="139"/>
      <c r="G958" s="139"/>
      <c r="H958" s="139"/>
      <c r="I958" s="139"/>
      <c r="J958" s="139"/>
      <c r="K958" s="139"/>
      <c r="N958" s="139"/>
    </row>
    <row r="959">
      <c r="B959" s="20"/>
      <c r="C959" s="20"/>
      <c r="E959" s="139"/>
      <c r="F959" s="139"/>
      <c r="G959" s="139"/>
      <c r="H959" s="139"/>
      <c r="I959" s="139"/>
      <c r="J959" s="139"/>
      <c r="K959" s="139"/>
      <c r="N959" s="139"/>
    </row>
    <row r="960">
      <c r="B960" s="20"/>
      <c r="C960" s="20"/>
      <c r="E960" s="139"/>
      <c r="F960" s="139"/>
      <c r="G960" s="139"/>
      <c r="H960" s="139"/>
      <c r="I960" s="139"/>
      <c r="J960" s="139"/>
      <c r="K960" s="139"/>
      <c r="N960" s="139"/>
    </row>
    <row r="961">
      <c r="B961" s="20"/>
      <c r="C961" s="20"/>
      <c r="E961" s="139"/>
      <c r="F961" s="139"/>
      <c r="G961" s="139"/>
      <c r="H961" s="139"/>
      <c r="I961" s="139"/>
      <c r="J961" s="139"/>
      <c r="K961" s="139"/>
      <c r="N961" s="139"/>
    </row>
    <row r="962">
      <c r="B962" s="20"/>
      <c r="C962" s="20"/>
      <c r="E962" s="139"/>
      <c r="F962" s="139"/>
      <c r="G962" s="139"/>
      <c r="H962" s="139"/>
      <c r="I962" s="139"/>
      <c r="J962" s="139"/>
      <c r="K962" s="139"/>
      <c r="N962" s="139"/>
    </row>
    <row r="963">
      <c r="B963" s="20"/>
      <c r="C963" s="20"/>
      <c r="E963" s="139"/>
      <c r="F963" s="139"/>
      <c r="G963" s="139"/>
      <c r="H963" s="139"/>
      <c r="I963" s="139"/>
      <c r="J963" s="139"/>
      <c r="K963" s="139"/>
      <c r="N963" s="139"/>
    </row>
    <row r="964">
      <c r="B964" s="20"/>
      <c r="C964" s="20"/>
      <c r="E964" s="139"/>
      <c r="F964" s="139"/>
      <c r="G964" s="139"/>
      <c r="H964" s="139"/>
      <c r="I964" s="139"/>
      <c r="J964" s="139"/>
      <c r="K964" s="139"/>
      <c r="N964" s="139"/>
    </row>
    <row r="965">
      <c r="B965" s="20"/>
      <c r="C965" s="20"/>
      <c r="E965" s="139"/>
      <c r="F965" s="139"/>
      <c r="G965" s="139"/>
      <c r="H965" s="139"/>
      <c r="I965" s="139"/>
      <c r="J965" s="139"/>
      <c r="K965" s="139"/>
      <c r="N965" s="139"/>
    </row>
    <row r="966">
      <c r="B966" s="20"/>
      <c r="C966" s="20"/>
      <c r="E966" s="139"/>
      <c r="F966" s="139"/>
      <c r="G966" s="139"/>
      <c r="H966" s="139"/>
      <c r="I966" s="139"/>
      <c r="J966" s="139"/>
      <c r="K966" s="139"/>
      <c r="N966" s="139"/>
    </row>
    <row r="967">
      <c r="B967" s="20"/>
      <c r="C967" s="20"/>
      <c r="E967" s="139"/>
      <c r="F967" s="139"/>
      <c r="G967" s="139"/>
      <c r="H967" s="139"/>
      <c r="I967" s="139"/>
      <c r="J967" s="139"/>
      <c r="K967" s="139"/>
      <c r="N967" s="139"/>
    </row>
    <row r="968">
      <c r="B968" s="20"/>
      <c r="C968" s="20"/>
      <c r="E968" s="139"/>
      <c r="F968" s="139"/>
      <c r="G968" s="139"/>
      <c r="H968" s="139"/>
      <c r="I968" s="139"/>
      <c r="J968" s="139"/>
      <c r="K968" s="139"/>
      <c r="N968" s="139"/>
    </row>
    <row r="969">
      <c r="B969" s="20"/>
      <c r="C969" s="20"/>
      <c r="E969" s="139"/>
      <c r="F969" s="139"/>
      <c r="G969" s="139"/>
      <c r="H969" s="139"/>
      <c r="I969" s="139"/>
      <c r="J969" s="139"/>
      <c r="K969" s="139"/>
      <c r="N969" s="139"/>
    </row>
    <row r="970">
      <c r="B970" s="20"/>
      <c r="C970" s="20"/>
      <c r="E970" s="139"/>
      <c r="F970" s="139"/>
      <c r="G970" s="139"/>
      <c r="H970" s="139"/>
      <c r="I970" s="139"/>
      <c r="J970" s="139"/>
      <c r="K970" s="139"/>
      <c r="N970" s="139"/>
    </row>
    <row r="971">
      <c r="B971" s="20"/>
      <c r="C971" s="20"/>
      <c r="E971" s="139"/>
      <c r="F971" s="139"/>
      <c r="G971" s="139"/>
      <c r="H971" s="139"/>
      <c r="I971" s="139"/>
      <c r="J971" s="139"/>
      <c r="K971" s="139"/>
      <c r="N971" s="139"/>
    </row>
    <row r="972">
      <c r="B972" s="20"/>
      <c r="C972" s="20"/>
      <c r="E972" s="139"/>
      <c r="F972" s="139"/>
      <c r="G972" s="139"/>
      <c r="H972" s="139"/>
      <c r="I972" s="139"/>
      <c r="J972" s="139"/>
      <c r="K972" s="139"/>
      <c r="N972" s="139"/>
    </row>
    <row r="973">
      <c r="B973" s="20"/>
      <c r="C973" s="20"/>
      <c r="E973" s="139"/>
      <c r="F973" s="139"/>
      <c r="G973" s="139"/>
      <c r="H973" s="139"/>
      <c r="I973" s="139"/>
      <c r="J973" s="139"/>
      <c r="K973" s="139"/>
      <c r="N973" s="139"/>
    </row>
    <row r="974">
      <c r="B974" s="20"/>
      <c r="C974" s="20"/>
      <c r="E974" s="139"/>
      <c r="F974" s="139"/>
      <c r="G974" s="139"/>
      <c r="H974" s="139"/>
      <c r="I974" s="139"/>
      <c r="J974" s="139"/>
      <c r="K974" s="139"/>
      <c r="N974" s="139"/>
    </row>
    <row r="975">
      <c r="B975" s="20"/>
      <c r="C975" s="20"/>
      <c r="E975" s="139"/>
      <c r="F975" s="139"/>
      <c r="G975" s="139"/>
      <c r="H975" s="139"/>
      <c r="I975" s="139"/>
      <c r="J975" s="139"/>
      <c r="K975" s="139"/>
      <c r="N975" s="139"/>
    </row>
    <row r="976">
      <c r="B976" s="20"/>
      <c r="C976" s="20"/>
      <c r="E976" s="139"/>
      <c r="F976" s="139"/>
      <c r="G976" s="139"/>
      <c r="H976" s="139"/>
      <c r="I976" s="139"/>
      <c r="J976" s="139"/>
      <c r="K976" s="139"/>
      <c r="N976" s="139"/>
    </row>
    <row r="977">
      <c r="B977" s="20"/>
      <c r="C977" s="20"/>
      <c r="E977" s="139"/>
      <c r="F977" s="139"/>
      <c r="G977" s="139"/>
      <c r="H977" s="139"/>
      <c r="I977" s="139"/>
      <c r="J977" s="139"/>
      <c r="K977" s="139"/>
      <c r="N977" s="139"/>
    </row>
    <row r="978">
      <c r="B978" s="20"/>
      <c r="C978" s="20"/>
      <c r="E978" s="139"/>
      <c r="F978" s="139"/>
      <c r="G978" s="139"/>
      <c r="H978" s="139"/>
      <c r="I978" s="139"/>
      <c r="J978" s="139"/>
      <c r="K978" s="139"/>
      <c r="N978" s="139"/>
    </row>
    <row r="979">
      <c r="B979" s="20"/>
      <c r="C979" s="20"/>
      <c r="E979" s="139"/>
      <c r="F979" s="139"/>
      <c r="G979" s="139"/>
      <c r="H979" s="139"/>
      <c r="I979" s="139"/>
      <c r="J979" s="139"/>
      <c r="K979" s="139"/>
      <c r="N979" s="139"/>
    </row>
    <row r="980">
      <c r="B980" s="20"/>
      <c r="C980" s="20"/>
      <c r="E980" s="139"/>
      <c r="F980" s="139"/>
      <c r="G980" s="139"/>
      <c r="H980" s="139"/>
      <c r="I980" s="139"/>
      <c r="J980" s="139"/>
      <c r="K980" s="139"/>
      <c r="N980" s="139"/>
    </row>
    <row r="981">
      <c r="B981" s="20"/>
      <c r="C981" s="20"/>
      <c r="E981" s="139"/>
      <c r="F981" s="139"/>
      <c r="G981" s="139"/>
      <c r="H981" s="139"/>
      <c r="I981" s="139"/>
      <c r="J981" s="139"/>
      <c r="K981" s="139"/>
      <c r="N981" s="139"/>
    </row>
    <row r="982">
      <c r="B982" s="20"/>
      <c r="C982" s="20"/>
      <c r="E982" s="139"/>
      <c r="F982" s="139"/>
      <c r="G982" s="139"/>
      <c r="H982" s="139"/>
      <c r="I982" s="139"/>
      <c r="J982" s="139"/>
      <c r="K982" s="139"/>
      <c r="N982" s="139"/>
    </row>
    <row r="983">
      <c r="B983" s="20"/>
      <c r="C983" s="20"/>
      <c r="E983" s="139"/>
      <c r="F983" s="139"/>
      <c r="G983" s="139"/>
      <c r="H983" s="139"/>
      <c r="I983" s="139"/>
      <c r="J983" s="139"/>
      <c r="K983" s="139"/>
      <c r="N983" s="139"/>
    </row>
    <row r="984">
      <c r="B984" s="20"/>
      <c r="C984" s="20"/>
      <c r="E984" s="139"/>
      <c r="F984" s="139"/>
      <c r="G984" s="139"/>
      <c r="H984" s="139"/>
      <c r="I984" s="139"/>
      <c r="J984" s="139"/>
      <c r="K984" s="139"/>
      <c r="N984" s="139"/>
    </row>
    <row r="985">
      <c r="B985" s="20"/>
      <c r="C985" s="20"/>
      <c r="E985" s="139"/>
      <c r="F985" s="139"/>
      <c r="G985" s="139"/>
      <c r="H985" s="139"/>
      <c r="I985" s="139"/>
      <c r="J985" s="139"/>
      <c r="K985" s="139"/>
      <c r="N985" s="139"/>
    </row>
    <row r="986">
      <c r="B986" s="20"/>
      <c r="C986" s="20"/>
      <c r="E986" s="139"/>
      <c r="F986" s="139"/>
      <c r="G986" s="139"/>
      <c r="H986" s="139"/>
      <c r="I986" s="139"/>
      <c r="J986" s="139"/>
      <c r="K986" s="139"/>
      <c r="N986" s="139"/>
    </row>
    <row r="987">
      <c r="B987" s="20"/>
      <c r="C987" s="20"/>
      <c r="E987" s="139"/>
      <c r="F987" s="139"/>
      <c r="G987" s="139"/>
      <c r="H987" s="139"/>
      <c r="I987" s="139"/>
      <c r="J987" s="139"/>
      <c r="K987" s="139"/>
      <c r="N987" s="139"/>
    </row>
    <row r="988">
      <c r="B988" s="20"/>
      <c r="C988" s="20"/>
      <c r="E988" s="139"/>
      <c r="F988" s="139"/>
      <c r="G988" s="139"/>
      <c r="H988" s="139"/>
      <c r="I988" s="139"/>
      <c r="J988" s="139"/>
      <c r="K988" s="139"/>
      <c r="N988" s="139"/>
    </row>
    <row r="989">
      <c r="B989" s="20"/>
      <c r="C989" s="20"/>
      <c r="E989" s="139"/>
      <c r="F989" s="139"/>
      <c r="G989" s="139"/>
      <c r="H989" s="139"/>
      <c r="I989" s="139"/>
      <c r="J989" s="139"/>
      <c r="K989" s="139"/>
      <c r="N989" s="139"/>
    </row>
    <row r="990">
      <c r="B990" s="20"/>
      <c r="C990" s="20"/>
      <c r="E990" s="139"/>
      <c r="F990" s="139"/>
      <c r="G990" s="139"/>
      <c r="H990" s="139"/>
      <c r="I990" s="139"/>
      <c r="J990" s="139"/>
      <c r="K990" s="139"/>
      <c r="N990" s="139"/>
    </row>
    <row r="991">
      <c r="B991" s="20"/>
      <c r="C991" s="20"/>
      <c r="E991" s="139"/>
      <c r="F991" s="139"/>
      <c r="G991" s="139"/>
      <c r="H991" s="139"/>
      <c r="I991" s="139"/>
      <c r="J991" s="139"/>
      <c r="K991" s="139"/>
      <c r="N991" s="139"/>
    </row>
    <row r="992">
      <c r="B992" s="20"/>
      <c r="C992" s="20"/>
      <c r="E992" s="139"/>
      <c r="F992" s="139"/>
      <c r="G992" s="139"/>
      <c r="H992" s="139"/>
      <c r="I992" s="139"/>
      <c r="J992" s="139"/>
      <c r="K992" s="139"/>
      <c r="N992" s="139"/>
    </row>
    <row r="993">
      <c r="B993" s="20"/>
      <c r="C993" s="20"/>
      <c r="E993" s="139"/>
      <c r="F993" s="139"/>
      <c r="G993" s="139"/>
      <c r="H993" s="139"/>
      <c r="I993" s="139"/>
      <c r="J993" s="139"/>
      <c r="K993" s="139"/>
      <c r="N993" s="139"/>
    </row>
    <row r="994">
      <c r="B994" s="20"/>
      <c r="C994" s="20"/>
      <c r="E994" s="139"/>
      <c r="F994" s="139"/>
      <c r="G994" s="139"/>
      <c r="H994" s="139"/>
      <c r="I994" s="139"/>
      <c r="J994" s="139"/>
      <c r="K994" s="139"/>
      <c r="N994" s="139"/>
    </row>
    <row r="995">
      <c r="B995" s="20"/>
      <c r="C995" s="20"/>
      <c r="E995" s="139"/>
      <c r="F995" s="139"/>
      <c r="G995" s="139"/>
      <c r="H995" s="139"/>
      <c r="I995" s="139"/>
      <c r="J995" s="139"/>
      <c r="K995" s="139"/>
      <c r="N995" s="139"/>
    </row>
    <row r="996">
      <c r="B996" s="20"/>
      <c r="C996" s="20"/>
      <c r="E996" s="139"/>
      <c r="F996" s="139"/>
      <c r="G996" s="139"/>
      <c r="H996" s="139"/>
      <c r="I996" s="139"/>
      <c r="J996" s="139"/>
      <c r="K996" s="139"/>
      <c r="N996" s="139"/>
    </row>
    <row r="997">
      <c r="B997" s="20"/>
      <c r="C997" s="20"/>
      <c r="E997" s="139"/>
      <c r="F997" s="139"/>
      <c r="G997" s="139"/>
      <c r="H997" s="139"/>
      <c r="I997" s="139"/>
      <c r="J997" s="139"/>
      <c r="K997" s="139"/>
      <c r="N997" s="139"/>
    </row>
    <row r="998">
      <c r="B998" s="20"/>
      <c r="C998" s="20"/>
      <c r="E998" s="139"/>
      <c r="F998" s="139"/>
      <c r="G998" s="139"/>
      <c r="H998" s="139"/>
      <c r="I998" s="139"/>
      <c r="J998" s="139"/>
      <c r="K998" s="139"/>
      <c r="N998" s="139"/>
    </row>
    <row r="999">
      <c r="B999" s="20"/>
      <c r="C999" s="20"/>
      <c r="E999" s="139"/>
      <c r="F999" s="139"/>
      <c r="G999" s="139"/>
      <c r="H999" s="139"/>
      <c r="I999" s="139"/>
      <c r="J999" s="139"/>
      <c r="K999" s="139"/>
      <c r="N999" s="139"/>
    </row>
    <row r="1000">
      <c r="B1000" s="20"/>
      <c r="C1000" s="20"/>
      <c r="E1000" s="139"/>
      <c r="F1000" s="139"/>
      <c r="G1000" s="139"/>
      <c r="H1000" s="139"/>
      <c r="I1000" s="139"/>
      <c r="J1000" s="139"/>
      <c r="K1000" s="139"/>
      <c r="N1000" s="139"/>
    </row>
    <row r="1001">
      <c r="B1001" s="20"/>
      <c r="C1001" s="20"/>
      <c r="E1001" s="139"/>
      <c r="F1001" s="139"/>
      <c r="G1001" s="139"/>
      <c r="H1001" s="139"/>
      <c r="I1001" s="139"/>
      <c r="J1001" s="139"/>
      <c r="K1001" s="139"/>
      <c r="N1001" s="139"/>
    </row>
    <row r="1002">
      <c r="B1002" s="20"/>
      <c r="C1002" s="20"/>
      <c r="E1002" s="139"/>
      <c r="F1002" s="139"/>
      <c r="G1002" s="139"/>
      <c r="H1002" s="139"/>
      <c r="I1002" s="139"/>
      <c r="J1002" s="139"/>
      <c r="K1002" s="139"/>
      <c r="N1002" s="139"/>
    </row>
  </sheetData>
  <drawing r:id="rId4"/>
  <legacyDrawing r:id="rId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2" t="s">
        <v>1292</v>
      </c>
      <c r="B2" s="2">
        <v>1.159</v>
      </c>
      <c r="C2" s="2" t="s">
        <v>1293</v>
      </c>
    </row>
    <row r="3">
      <c r="A3" s="2" t="s">
        <v>1294</v>
      </c>
      <c r="B3" s="2">
        <v>0.982</v>
      </c>
      <c r="C3" s="2" t="s">
        <v>1295</v>
      </c>
    </row>
    <row r="4">
      <c r="A4" s="2" t="s">
        <v>1296</v>
      </c>
      <c r="B4" s="2">
        <v>0.03507</v>
      </c>
      <c r="C4" s="2" t="s">
        <v>1297</v>
      </c>
      <c r="D4" s="216" t="s">
        <v>1298</v>
      </c>
    </row>
    <row r="5">
      <c r="A5" s="2" t="s">
        <v>1299</v>
      </c>
      <c r="B5" s="2">
        <v>21.04</v>
      </c>
      <c r="C5" s="2" t="s">
        <v>1300</v>
      </c>
      <c r="D5" s="216" t="s">
        <v>1301</v>
      </c>
    </row>
    <row r="6">
      <c r="A6" s="2" t="s">
        <v>1302</v>
      </c>
      <c r="B6" s="142">
        <f>1/3600</f>
        <v>0.0002777777778</v>
      </c>
    </row>
    <row r="8">
      <c r="A8" s="2" t="s">
        <v>1303</v>
      </c>
      <c r="B8" s="424">
        <v>1.760831955</v>
      </c>
      <c r="C8" s="2" t="s">
        <v>1304</v>
      </c>
    </row>
    <row r="9">
      <c r="A9" s="2" t="s">
        <v>1305</v>
      </c>
      <c r="B9" s="2">
        <v>5.323</v>
      </c>
      <c r="C9" s="2" t="s">
        <v>1304</v>
      </c>
    </row>
  </sheetData>
  <hyperlinks>
    <hyperlink r:id="rId1" ref="D4"/>
    <hyperlink r:id="rId2" ref="D5"/>
  </hyperlinks>
  <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88"/>
    <col customWidth="1" min="2" max="2" width="16.38"/>
  </cols>
  <sheetData>
    <row r="1">
      <c r="A1" s="214"/>
      <c r="B1" s="214"/>
    </row>
    <row r="2">
      <c r="A2" s="214"/>
      <c r="B2" s="425" t="s">
        <v>1306</v>
      </c>
      <c r="C2" s="426"/>
      <c r="D2" s="426"/>
      <c r="E2" s="426"/>
      <c r="F2" s="426"/>
      <c r="G2" s="426"/>
      <c r="H2" s="426"/>
      <c r="I2" s="426"/>
      <c r="J2" s="426"/>
      <c r="K2" s="426"/>
      <c r="L2" s="427"/>
    </row>
    <row r="3" ht="27.75" customHeight="1">
      <c r="A3" s="428"/>
      <c r="B3" s="429"/>
      <c r="C3" s="428" t="s">
        <v>1307</v>
      </c>
      <c r="D3" s="428" t="s">
        <v>1308</v>
      </c>
      <c r="E3" s="428" t="s">
        <v>1309</v>
      </c>
      <c r="F3" s="428" t="s">
        <v>1310</v>
      </c>
      <c r="G3" s="428" t="s">
        <v>1311</v>
      </c>
      <c r="H3" s="428" t="s">
        <v>1312</v>
      </c>
      <c r="I3" s="428" t="s">
        <v>1313</v>
      </c>
      <c r="J3" s="428" t="s">
        <v>1314</v>
      </c>
      <c r="K3" s="428" t="s">
        <v>1315</v>
      </c>
      <c r="L3" s="430" t="s">
        <v>1316</v>
      </c>
      <c r="N3" s="431"/>
      <c r="O3" s="431"/>
      <c r="P3" s="431"/>
      <c r="Q3" s="431"/>
      <c r="R3" s="431"/>
      <c r="S3" s="431"/>
      <c r="T3" s="431"/>
      <c r="U3" s="431"/>
      <c r="V3" s="431"/>
      <c r="W3" s="431"/>
      <c r="X3" s="431"/>
      <c r="Y3" s="431"/>
      <c r="Z3" s="431"/>
      <c r="AA3" s="431"/>
      <c r="AB3" s="431"/>
    </row>
    <row r="4">
      <c r="A4" s="2"/>
      <c r="B4" s="432" t="s">
        <v>1317</v>
      </c>
      <c r="C4" s="115">
        <v>210000.0</v>
      </c>
      <c r="D4" s="153">
        <f t="shared" ref="D4:L4" si="1">C12</f>
        <v>190478.4586</v>
      </c>
      <c r="E4" s="153">
        <f t="shared" si="1"/>
        <v>194365.7741</v>
      </c>
      <c r="F4" s="153">
        <f t="shared" si="1"/>
        <v>961483.7919</v>
      </c>
      <c r="G4" s="153">
        <f t="shared" si="1"/>
        <v>588857430.1</v>
      </c>
      <c r="H4" s="153">
        <f t="shared" si="1"/>
        <v>654286033.5</v>
      </c>
      <c r="I4" s="153">
        <f t="shared" si="1"/>
        <v>688722140.5</v>
      </c>
      <c r="J4" s="153">
        <f t="shared" si="1"/>
        <v>765246822.8</v>
      </c>
      <c r="K4" s="153">
        <f t="shared" si="1"/>
        <v>765246822.8</v>
      </c>
      <c r="L4" s="433">
        <f t="shared" si="1"/>
        <v>48468583831</v>
      </c>
    </row>
    <row r="5" ht="27.75" customHeight="1">
      <c r="A5" s="428"/>
      <c r="B5" s="429" t="s">
        <v>1318</v>
      </c>
      <c r="C5" s="428" t="s">
        <v>1319</v>
      </c>
      <c r="D5" s="428" t="s">
        <v>1320</v>
      </c>
      <c r="E5" s="428" t="s">
        <v>1321</v>
      </c>
      <c r="F5" s="428" t="s">
        <v>1322</v>
      </c>
      <c r="G5" s="428" t="s">
        <v>490</v>
      </c>
      <c r="H5" s="428" t="s">
        <v>465</v>
      </c>
      <c r="I5" s="428" t="s">
        <v>464</v>
      </c>
      <c r="J5" s="431"/>
      <c r="K5" s="431"/>
      <c r="L5" s="434"/>
      <c r="N5" s="431"/>
      <c r="O5" s="431"/>
      <c r="P5" s="431"/>
      <c r="Q5" s="431"/>
      <c r="R5" s="431"/>
      <c r="S5" s="431"/>
      <c r="T5" s="431"/>
      <c r="U5" s="431"/>
      <c r="V5" s="431"/>
      <c r="W5" s="431"/>
      <c r="X5" s="431"/>
      <c r="Y5" s="431"/>
      <c r="Z5" s="431"/>
      <c r="AA5" s="431"/>
      <c r="AB5" s="431"/>
    </row>
    <row r="6">
      <c r="A6" s="2"/>
      <c r="B6" s="435" t="s">
        <v>431</v>
      </c>
      <c r="C6" s="119">
        <v>0.995</v>
      </c>
      <c r="D6" s="119">
        <v>0.98</v>
      </c>
      <c r="E6" s="119">
        <v>1.0</v>
      </c>
      <c r="F6" s="119">
        <v>0.95</v>
      </c>
      <c r="G6" s="119">
        <v>0.9</v>
      </c>
      <c r="H6" s="119">
        <v>0.95</v>
      </c>
      <c r="I6" s="119">
        <v>0.9</v>
      </c>
      <c r="J6" s="119">
        <v>1.0</v>
      </c>
      <c r="K6" s="119">
        <v>0.56</v>
      </c>
      <c r="L6" s="436">
        <v>1.0</v>
      </c>
    </row>
    <row r="7" ht="27.75" customHeight="1">
      <c r="A7" s="428"/>
      <c r="B7" s="429" t="s">
        <v>1323</v>
      </c>
      <c r="C7" s="5">
        <v>1.0</v>
      </c>
      <c r="D7" s="428">
        <v>1.0</v>
      </c>
      <c r="E7" s="428">
        <f>319.4/1580</f>
        <v>0.2021518987</v>
      </c>
      <c r="F7" s="5">
        <f>1/(10^6*1118*0.188)</f>
        <v>0.000000004757736079</v>
      </c>
      <c r="G7" s="428">
        <v>1.0</v>
      </c>
      <c r="H7" s="428">
        <v>1.0</v>
      </c>
      <c r="I7" s="428">
        <v>1.0</v>
      </c>
      <c r="J7" s="428">
        <v>1.0</v>
      </c>
      <c r="K7" s="428">
        <v>1.0</v>
      </c>
      <c r="L7" s="430">
        <v>1.0</v>
      </c>
      <c r="M7" s="431"/>
      <c r="N7" s="431"/>
      <c r="O7" s="431"/>
      <c r="P7" s="431"/>
      <c r="Q7" s="431"/>
      <c r="R7" s="431"/>
      <c r="S7" s="431"/>
      <c r="T7" s="431"/>
      <c r="U7" s="431"/>
      <c r="V7" s="431"/>
      <c r="W7" s="431"/>
      <c r="X7" s="431"/>
      <c r="Y7" s="431"/>
      <c r="Z7" s="431"/>
      <c r="AA7" s="431"/>
      <c r="AB7" s="431"/>
    </row>
    <row r="8" ht="27.75" customHeight="1">
      <c r="A8" s="428"/>
      <c r="B8" s="429" t="s">
        <v>1324</v>
      </c>
      <c r="C8" s="428">
        <v>0.7</v>
      </c>
      <c r="D8" s="428">
        <v>1.0</v>
      </c>
      <c r="E8" s="428">
        <v>1.0</v>
      </c>
      <c r="F8" s="428">
        <f>F18/0.2</f>
        <v>361250</v>
      </c>
      <c r="G8" s="428">
        <v>1.0</v>
      </c>
      <c r="H8" s="428">
        <v>1.0</v>
      </c>
      <c r="I8" s="428">
        <v>1.0</v>
      </c>
      <c r="J8" s="428">
        <v>1.0</v>
      </c>
      <c r="K8" s="428">
        <f>K18/I18</f>
        <v>0.02819377163</v>
      </c>
      <c r="L8" s="430">
        <v>1.0</v>
      </c>
      <c r="M8" s="431"/>
      <c r="N8" s="431"/>
      <c r="O8" s="431"/>
      <c r="P8" s="431"/>
      <c r="Q8" s="431"/>
      <c r="R8" s="431"/>
      <c r="S8" s="431"/>
      <c r="T8" s="431"/>
      <c r="U8" s="431"/>
      <c r="V8" s="431"/>
      <c r="W8" s="431"/>
      <c r="X8" s="431"/>
      <c r="Y8" s="431"/>
      <c r="Z8" s="431"/>
      <c r="AA8" s="431"/>
      <c r="AB8" s="431"/>
    </row>
    <row r="9">
      <c r="A9" s="2"/>
      <c r="B9" s="437" t="s">
        <v>1325</v>
      </c>
      <c r="C9" s="142">
        <f t="shared" ref="C9:L9" si="2">C4/C6/C7/C8</f>
        <v>301507.5377</v>
      </c>
      <c r="D9" s="142">
        <f t="shared" si="2"/>
        <v>194365.7741</v>
      </c>
      <c r="E9" s="142">
        <f t="shared" si="2"/>
        <v>961483.7919</v>
      </c>
      <c r="F9" s="142">
        <f t="shared" si="2"/>
        <v>588857430.1</v>
      </c>
      <c r="G9" s="142">
        <f t="shared" si="2"/>
        <v>654286033.5</v>
      </c>
      <c r="H9" s="142">
        <f t="shared" si="2"/>
        <v>688722140.5</v>
      </c>
      <c r="I9" s="142">
        <f t="shared" si="2"/>
        <v>765246822.8</v>
      </c>
      <c r="J9" s="142">
        <f t="shared" si="2"/>
        <v>765246822.8</v>
      </c>
      <c r="K9" s="142">
        <f t="shared" si="2"/>
        <v>48468583831</v>
      </c>
      <c r="L9" s="438">
        <f t="shared" si="2"/>
        <v>48468583831</v>
      </c>
    </row>
    <row r="10">
      <c r="A10" s="2"/>
      <c r="B10" s="437" t="s">
        <v>1326</v>
      </c>
      <c r="C10" s="428" t="s">
        <v>1327</v>
      </c>
      <c r="D10" s="428" t="s">
        <v>1328</v>
      </c>
      <c r="E10" s="428" t="s">
        <v>1087</v>
      </c>
      <c r="F10" s="428" t="s">
        <v>490</v>
      </c>
      <c r="G10" s="428" t="s">
        <v>1329</v>
      </c>
      <c r="H10" s="428" t="s">
        <v>1330</v>
      </c>
      <c r="I10" s="428" t="s">
        <v>1331</v>
      </c>
      <c r="J10" s="428"/>
      <c r="K10" s="428"/>
      <c r="L10" s="438"/>
    </row>
    <row r="11" ht="27.75" customHeight="1">
      <c r="A11" s="428"/>
      <c r="B11" s="429" t="s">
        <v>1332</v>
      </c>
      <c r="C11" s="428">
        <f>1/(0.7/2.11+0.3/1)</f>
        <v>1.582895724</v>
      </c>
      <c r="D11" s="428">
        <v>1.0</v>
      </c>
      <c r="E11" s="18">
        <v>1.0</v>
      </c>
      <c r="F11" s="428">
        <v>1.0</v>
      </c>
      <c r="G11" s="428">
        <v>1.0</v>
      </c>
      <c r="H11" s="428">
        <v>1.0</v>
      </c>
      <c r="I11" s="428">
        <v>1.0</v>
      </c>
      <c r="J11" s="428">
        <v>1.0</v>
      </c>
      <c r="K11" s="428">
        <v>1.0</v>
      </c>
      <c r="L11" s="430">
        <v>1.0</v>
      </c>
      <c r="M11" s="431"/>
      <c r="N11" s="431"/>
      <c r="O11" s="431"/>
      <c r="P11" s="431"/>
      <c r="Q11" s="431"/>
      <c r="R11" s="431"/>
      <c r="S11" s="431"/>
      <c r="T11" s="431"/>
      <c r="U11" s="431"/>
      <c r="V11" s="431"/>
      <c r="W11" s="431"/>
      <c r="X11" s="431"/>
      <c r="Y11" s="431"/>
      <c r="Z11" s="431"/>
      <c r="AA11" s="431"/>
      <c r="AB11" s="431"/>
    </row>
    <row r="12">
      <c r="A12" s="2"/>
      <c r="B12" s="437" t="s">
        <v>1333</v>
      </c>
      <c r="C12" s="142">
        <f t="shared" ref="C12:L12" si="3">C9/C11</f>
        <v>190478.4586</v>
      </c>
      <c r="D12" s="142">
        <f t="shared" si="3"/>
        <v>194365.7741</v>
      </c>
      <c r="E12" s="142">
        <f t="shared" si="3"/>
        <v>961483.7919</v>
      </c>
      <c r="F12" s="142">
        <f t="shared" si="3"/>
        <v>588857430.1</v>
      </c>
      <c r="G12" s="142">
        <f t="shared" si="3"/>
        <v>654286033.5</v>
      </c>
      <c r="H12" s="142">
        <f t="shared" si="3"/>
        <v>688722140.5</v>
      </c>
      <c r="I12" s="142">
        <f t="shared" si="3"/>
        <v>765246822.8</v>
      </c>
      <c r="J12" s="142">
        <f t="shared" si="3"/>
        <v>765246822.8</v>
      </c>
      <c r="K12" s="142">
        <f t="shared" si="3"/>
        <v>48468583831</v>
      </c>
      <c r="L12" s="438">
        <f t="shared" si="3"/>
        <v>48468583831</v>
      </c>
    </row>
    <row r="13" ht="27.75" customHeight="1">
      <c r="A13" s="2"/>
      <c r="B13" s="437" t="s">
        <v>1334</v>
      </c>
      <c r="C13" s="428" t="s">
        <v>1335</v>
      </c>
      <c r="D13" s="428" t="s">
        <v>1321</v>
      </c>
      <c r="E13" s="431" t="s">
        <v>1336</v>
      </c>
      <c r="F13" s="428" t="s">
        <v>490</v>
      </c>
      <c r="G13" s="428" t="s">
        <v>1337</v>
      </c>
      <c r="H13" s="428" t="s">
        <v>1338</v>
      </c>
      <c r="I13" s="428" t="s">
        <v>1339</v>
      </c>
      <c r="L13" s="438"/>
    </row>
    <row r="14">
      <c r="B14" s="439"/>
      <c r="L14" s="438"/>
    </row>
    <row r="15">
      <c r="A15" s="428"/>
      <c r="B15" s="440" t="s">
        <v>1340</v>
      </c>
      <c r="C15" s="441">
        <v>301507.537688442</v>
      </c>
      <c r="D15" s="441">
        <v>194352.970779095</v>
      </c>
      <c r="E15" s="441">
        <v>961191.744703737</v>
      </c>
      <c r="F15" s="442">
        <v>5.88398583291367E8</v>
      </c>
      <c r="G15" s="442">
        <v>6.53776203657074E8</v>
      </c>
      <c r="H15" s="442">
        <v>6.88185477533763E8</v>
      </c>
      <c r="I15" s="442">
        <v>7.6465053059307E8</v>
      </c>
      <c r="J15" s="173">
        <v>7.6465053059307E8</v>
      </c>
      <c r="K15" s="173">
        <v>4.84308163575192E10</v>
      </c>
      <c r="L15" s="443">
        <v>4.84308163575192E10</v>
      </c>
    </row>
    <row r="16">
      <c r="A16" s="428"/>
      <c r="B16" s="440" t="s">
        <v>1341</v>
      </c>
      <c r="C16" s="444" t="b">
        <f t="shared" ref="C16:L16" si="4">ABS((C9-C15)/C9)&lt;=0.01</f>
        <v>1</v>
      </c>
      <c r="D16" s="444" t="b">
        <f t="shared" si="4"/>
        <v>1</v>
      </c>
      <c r="E16" s="445" t="b">
        <f t="shared" si="4"/>
        <v>1</v>
      </c>
      <c r="F16" s="446" t="b">
        <f t="shared" si="4"/>
        <v>1</v>
      </c>
      <c r="G16" s="446" t="b">
        <f t="shared" si="4"/>
        <v>1</v>
      </c>
      <c r="H16" s="446" t="b">
        <f t="shared" si="4"/>
        <v>1</v>
      </c>
      <c r="I16" s="446" t="b">
        <f t="shared" si="4"/>
        <v>1</v>
      </c>
      <c r="J16" s="446" t="b">
        <f t="shared" si="4"/>
        <v>1</v>
      </c>
      <c r="K16" s="446" t="b">
        <f t="shared" si="4"/>
        <v>1</v>
      </c>
      <c r="L16" s="447" t="b">
        <f t="shared" si="4"/>
        <v>1</v>
      </c>
    </row>
    <row r="17">
      <c r="B17" s="440"/>
      <c r="C17" s="351"/>
      <c r="D17" s="351"/>
      <c r="E17" s="351"/>
      <c r="F17" s="351"/>
      <c r="G17" s="351"/>
      <c r="H17" s="351"/>
      <c r="I17" s="351"/>
      <c r="J17" s="351"/>
      <c r="K17" s="351"/>
      <c r="L17" s="448"/>
    </row>
    <row r="18">
      <c r="B18" s="449" t="s">
        <v>1342</v>
      </c>
      <c r="C18" s="441">
        <v>0.7</v>
      </c>
      <c r="D18" s="441">
        <v>0.7</v>
      </c>
      <c r="E18" s="441">
        <v>0.2</v>
      </c>
      <c r="F18" s="441">
        <v>72250.0</v>
      </c>
      <c r="G18" s="441">
        <v>72250.0</v>
      </c>
      <c r="H18" s="441">
        <v>72250.0</v>
      </c>
      <c r="I18" s="441">
        <v>72250.0</v>
      </c>
      <c r="J18" s="441">
        <v>72250.0</v>
      </c>
      <c r="K18" s="162">
        <v>2037.0</v>
      </c>
      <c r="L18" s="443">
        <v>2037.0</v>
      </c>
    </row>
    <row r="19">
      <c r="B19" s="449" t="s">
        <v>1343</v>
      </c>
      <c r="C19" s="162" t="s">
        <v>1344</v>
      </c>
      <c r="D19" s="162" t="s">
        <v>1344</v>
      </c>
      <c r="E19" s="162" t="s">
        <v>1344</v>
      </c>
      <c r="F19" s="162" t="s">
        <v>1345</v>
      </c>
      <c r="G19" s="162" t="s">
        <v>1345</v>
      </c>
      <c r="H19" s="162" t="s">
        <v>1345</v>
      </c>
      <c r="I19" s="162" t="s">
        <v>1345</v>
      </c>
      <c r="J19" s="162" t="s">
        <v>1345</v>
      </c>
      <c r="K19" s="162" t="s">
        <v>1345</v>
      </c>
      <c r="L19" s="443" t="s">
        <v>1345</v>
      </c>
    </row>
    <row r="20">
      <c r="B20" s="450" t="s">
        <v>1346</v>
      </c>
      <c r="C20" s="451">
        <f>C11</f>
        <v>1.582895724</v>
      </c>
      <c r="D20" s="451">
        <f>1/(0.7/2.11+0.3/1)</f>
        <v>1.582895724</v>
      </c>
      <c r="E20" s="451">
        <f>1/(0.2/2.11+0.8/1)</f>
        <v>1.117584746</v>
      </c>
      <c r="F20" s="452"/>
      <c r="G20" s="452"/>
      <c r="H20" s="452"/>
      <c r="I20" s="452"/>
      <c r="J20" s="452"/>
      <c r="K20" s="452"/>
      <c r="L20" s="453"/>
    </row>
    <row r="21">
      <c r="B21" s="450" t="s">
        <v>1347</v>
      </c>
      <c r="C21" s="454">
        <f>C18*C15/5.323</f>
        <v>39649.68559</v>
      </c>
      <c r="D21" s="454">
        <f>D18*D9/5.323*D20</f>
        <v>40458.86284</v>
      </c>
      <c r="E21" s="454">
        <f>E18*E15/5.323*E20</f>
        <v>40361.196</v>
      </c>
      <c r="F21" s="454">
        <f t="shared" ref="F21:L21" si="5">F18*F15/10^9</f>
        <v>42511.79764</v>
      </c>
      <c r="G21" s="454">
        <f t="shared" si="5"/>
        <v>47235.33071</v>
      </c>
      <c r="H21" s="454">
        <f t="shared" si="5"/>
        <v>49721.40075</v>
      </c>
      <c r="I21" s="454">
        <f t="shared" si="5"/>
        <v>55246.00084</v>
      </c>
      <c r="J21" s="454">
        <f t="shared" si="5"/>
        <v>55246.00084</v>
      </c>
      <c r="K21" s="454">
        <f t="shared" si="5"/>
        <v>98653.57292</v>
      </c>
      <c r="L21" s="455">
        <f t="shared" si="5"/>
        <v>98653.57292</v>
      </c>
    </row>
    <row r="22">
      <c r="B22" s="456" t="s">
        <v>1348</v>
      </c>
      <c r="C22" s="2"/>
      <c r="D22" s="2">
        <f t="shared" ref="D22:L22" si="6">C21/D21</f>
        <v>0.98</v>
      </c>
      <c r="E22" s="2">
        <f t="shared" si="6"/>
        <v>1.00241982</v>
      </c>
      <c r="F22" s="2">
        <f t="shared" si="6"/>
        <v>0.9494116514</v>
      </c>
      <c r="G22" s="2">
        <f t="shared" si="6"/>
        <v>0.9</v>
      </c>
      <c r="H22" s="2">
        <f t="shared" si="6"/>
        <v>0.95</v>
      </c>
      <c r="I22" s="2">
        <f t="shared" si="6"/>
        <v>0.9</v>
      </c>
      <c r="J22" s="2">
        <f t="shared" si="6"/>
        <v>1</v>
      </c>
      <c r="K22" s="2">
        <f t="shared" si="6"/>
        <v>0.56</v>
      </c>
      <c r="L22" s="455">
        <f t="shared" si="6"/>
        <v>1</v>
      </c>
    </row>
    <row r="23">
      <c r="B23" s="457"/>
      <c r="C23" s="458"/>
      <c r="D23" s="458"/>
      <c r="E23" s="458"/>
      <c r="F23" s="459"/>
      <c r="G23" s="459"/>
      <c r="H23" s="459"/>
      <c r="I23" s="459"/>
      <c r="J23" s="459"/>
      <c r="K23" s="459"/>
      <c r="L23" s="460"/>
    </row>
    <row r="24">
      <c r="F24" s="136"/>
    </row>
    <row r="26">
      <c r="B26" s="425" t="s">
        <v>1349</v>
      </c>
      <c r="C26" s="426"/>
      <c r="D26" s="426"/>
      <c r="E26" s="426"/>
      <c r="F26" s="426"/>
      <c r="G26" s="426"/>
      <c r="H26" s="426"/>
      <c r="I26" s="426"/>
      <c r="J26" s="426"/>
      <c r="K26" s="427"/>
    </row>
    <row r="27" ht="28.5" customHeight="1">
      <c r="B27" s="429"/>
      <c r="C27" s="428" t="s">
        <v>1307</v>
      </c>
      <c r="D27" s="428" t="s">
        <v>1308</v>
      </c>
      <c r="E27" s="428" t="s">
        <v>1309</v>
      </c>
      <c r="F27" s="428" t="s">
        <v>1310</v>
      </c>
      <c r="G27" s="428" t="s">
        <v>1350</v>
      </c>
      <c r="H27" s="428" t="s">
        <v>1351</v>
      </c>
      <c r="I27" s="428" t="s">
        <v>1314</v>
      </c>
      <c r="J27" s="428" t="s">
        <v>1352</v>
      </c>
      <c r="K27" s="430" t="s">
        <v>1353</v>
      </c>
    </row>
    <row r="28">
      <c r="B28" s="432" t="s">
        <v>1317</v>
      </c>
      <c r="C28" s="115">
        <v>6000.0</v>
      </c>
      <c r="D28" s="461">
        <f t="shared" ref="D28:K28" si="7">C36</f>
        <v>5415.030467</v>
      </c>
      <c r="E28" s="461">
        <f t="shared" si="7"/>
        <v>5469.727745</v>
      </c>
      <c r="F28" s="461">
        <f t="shared" si="7"/>
        <v>27388.63575</v>
      </c>
      <c r="G28" s="461">
        <f t="shared" si="7"/>
        <v>146380711.9</v>
      </c>
      <c r="H28" s="461">
        <f t="shared" si="7"/>
        <v>147855571.3</v>
      </c>
      <c r="I28" s="461">
        <f t="shared" si="7"/>
        <v>147855571.3</v>
      </c>
      <c r="J28" s="461">
        <f t="shared" si="7"/>
        <v>147855571.3</v>
      </c>
      <c r="K28" s="462">
        <f t="shared" si="7"/>
        <v>26836783917</v>
      </c>
    </row>
    <row r="29">
      <c r="B29" s="429" t="s">
        <v>1318</v>
      </c>
      <c r="C29" s="428" t="s">
        <v>1319</v>
      </c>
      <c r="D29" s="428" t="s">
        <v>1320</v>
      </c>
      <c r="E29" s="428" t="s">
        <v>1321</v>
      </c>
      <c r="F29" s="428" t="s">
        <v>1322</v>
      </c>
      <c r="G29" s="428" t="s">
        <v>490</v>
      </c>
      <c r="H29" s="428" t="s">
        <v>1354</v>
      </c>
      <c r="I29" s="428" t="s">
        <v>465</v>
      </c>
      <c r="J29" s="428" t="s">
        <v>1331</v>
      </c>
      <c r="K29" s="430" t="s">
        <v>1355</v>
      </c>
    </row>
    <row r="30">
      <c r="B30" s="435" t="s">
        <v>431</v>
      </c>
      <c r="C30" s="119">
        <v>1.0</v>
      </c>
      <c r="D30" s="119">
        <v>0.99</v>
      </c>
      <c r="E30" s="119">
        <v>0.99</v>
      </c>
      <c r="F30" s="119">
        <v>0.97</v>
      </c>
      <c r="G30" s="119">
        <v>0.995</v>
      </c>
      <c r="H30" s="119">
        <v>1.0</v>
      </c>
      <c r="I30" s="119">
        <v>1.0</v>
      </c>
      <c r="J30" s="119">
        <v>0.444</v>
      </c>
      <c r="K30" s="436">
        <v>1.0</v>
      </c>
    </row>
    <row r="31">
      <c r="B31" s="429" t="s">
        <v>1323</v>
      </c>
      <c r="C31" s="5">
        <v>0.7</v>
      </c>
      <c r="D31" s="428">
        <v>1.0</v>
      </c>
      <c r="E31" s="141">
        <f>0.2 * (1/(0.2/2.11 + 0.8/1)) / (0.7 * 1/(0.7/2.11+0.3/1))</f>
        <v>0.2017251816</v>
      </c>
      <c r="F31" s="92">
        <f>1/1000</f>
        <v>0.001</v>
      </c>
      <c r="G31" s="428">
        <v>1.0</v>
      </c>
      <c r="H31" s="428">
        <v>1.0</v>
      </c>
      <c r="I31" s="428">
        <v>1.0</v>
      </c>
      <c r="J31" s="428">
        <f>(2.44*365)</f>
        <v>890.6</v>
      </c>
      <c r="K31" s="430">
        <v>1.0</v>
      </c>
    </row>
    <row r="32">
      <c r="B32" s="429" t="s">
        <v>1324</v>
      </c>
      <c r="C32" s="428">
        <v>1.0</v>
      </c>
      <c r="D32" s="428">
        <v>1.0</v>
      </c>
      <c r="E32" s="428">
        <v>1.0</v>
      </c>
      <c r="F32" s="463">
        <f>(F46*F47)/(F44*F45)/F31</f>
        <v>0.1928922642</v>
      </c>
      <c r="G32" s="428">
        <v>0.995</v>
      </c>
      <c r="H32" s="428">
        <v>1.0</v>
      </c>
      <c r="I32" s="428">
        <v>1.0</v>
      </c>
      <c r="J32" s="463">
        <f>(J46*J47)/(J44*J45)/J31</f>
        <v>0.01240864198</v>
      </c>
      <c r="K32" s="430">
        <v>1.0</v>
      </c>
    </row>
    <row r="33">
      <c r="B33" s="437" t="s">
        <v>1325</v>
      </c>
      <c r="C33" s="136">
        <f t="shared" ref="C33:K33" si="8">C28/C30/C31/C32</f>
        <v>8571.428571</v>
      </c>
      <c r="D33" s="136">
        <f t="shared" si="8"/>
        <v>5469.727745</v>
      </c>
      <c r="E33" s="136">
        <f t="shared" si="8"/>
        <v>27388.63575</v>
      </c>
      <c r="F33" s="136">
        <f t="shared" si="8"/>
        <v>146380711.9</v>
      </c>
      <c r="G33" s="136">
        <f t="shared" si="8"/>
        <v>147855571.3</v>
      </c>
      <c r="H33" s="136">
        <f t="shared" si="8"/>
        <v>147855571.3</v>
      </c>
      <c r="I33" s="136">
        <f t="shared" si="8"/>
        <v>147855571.3</v>
      </c>
      <c r="J33" s="136">
        <f t="shared" si="8"/>
        <v>30133375.16</v>
      </c>
      <c r="K33" s="464">
        <f t="shared" si="8"/>
        <v>26836783917</v>
      </c>
    </row>
    <row r="34">
      <c r="B34" s="437" t="s">
        <v>1326</v>
      </c>
      <c r="C34" s="428" t="s">
        <v>1327</v>
      </c>
      <c r="D34" s="428" t="s">
        <v>1328</v>
      </c>
      <c r="E34" s="428" t="s">
        <v>1087</v>
      </c>
      <c r="F34" s="428" t="s">
        <v>490</v>
      </c>
      <c r="G34" s="428" t="s">
        <v>1356</v>
      </c>
      <c r="H34" s="428" t="s">
        <v>1357</v>
      </c>
      <c r="I34" s="428" t="s">
        <v>1331</v>
      </c>
      <c r="J34" s="428" t="s">
        <v>1358</v>
      </c>
      <c r="K34" s="438"/>
    </row>
    <row r="35">
      <c r="B35" s="429" t="s">
        <v>1332</v>
      </c>
      <c r="C35" s="465">
        <f>1/(0.7/2.11+0.3/1)</f>
        <v>1.582895724</v>
      </c>
      <c r="D35" s="428">
        <v>1.0</v>
      </c>
      <c r="E35" s="18">
        <v>1.0</v>
      </c>
      <c r="F35" s="428">
        <v>1.0</v>
      </c>
      <c r="G35" s="428">
        <v>1.0</v>
      </c>
      <c r="H35" s="428">
        <v>1.0</v>
      </c>
      <c r="I35" s="428">
        <v>1.0</v>
      </c>
      <c r="J35" s="428">
        <f>1/J31</f>
        <v>0.001122838536</v>
      </c>
      <c r="K35" s="430">
        <v>1.0</v>
      </c>
    </row>
    <row r="36">
      <c r="B36" s="437" t="s">
        <v>1333</v>
      </c>
      <c r="C36" s="136">
        <f t="shared" ref="C36:K36" si="9">C33/C35</f>
        <v>5415.030467</v>
      </c>
      <c r="D36" s="136">
        <f t="shared" si="9"/>
        <v>5469.727745</v>
      </c>
      <c r="E36" s="136">
        <f t="shared" si="9"/>
        <v>27388.63575</v>
      </c>
      <c r="F36" s="136">
        <f t="shared" si="9"/>
        <v>146380711.9</v>
      </c>
      <c r="G36" s="136">
        <f t="shared" si="9"/>
        <v>147855571.3</v>
      </c>
      <c r="H36" s="136">
        <f t="shared" si="9"/>
        <v>147855571.3</v>
      </c>
      <c r="I36" s="136">
        <f t="shared" si="9"/>
        <v>147855571.3</v>
      </c>
      <c r="J36" s="136">
        <f t="shared" si="9"/>
        <v>26836783917</v>
      </c>
      <c r="K36" s="464">
        <f t="shared" si="9"/>
        <v>26836783917</v>
      </c>
    </row>
    <row r="37">
      <c r="B37" s="437" t="s">
        <v>1334</v>
      </c>
      <c r="C37" s="428" t="s">
        <v>1335</v>
      </c>
      <c r="D37" s="428" t="s">
        <v>1321</v>
      </c>
      <c r="E37" s="431" t="s">
        <v>1336</v>
      </c>
      <c r="F37" s="428" t="s">
        <v>490</v>
      </c>
      <c r="G37" s="428" t="s">
        <v>529</v>
      </c>
      <c r="H37" s="428" t="s">
        <v>1359</v>
      </c>
      <c r="I37" s="428" t="s">
        <v>1331</v>
      </c>
      <c r="K37" s="438"/>
    </row>
    <row r="38">
      <c r="B38" s="439"/>
      <c r="K38" s="438"/>
    </row>
    <row r="39">
      <c r="B39" s="439" t="s">
        <v>1340</v>
      </c>
      <c r="C39" s="466">
        <v>8571.42857142857</v>
      </c>
      <c r="D39" s="466">
        <v>5469.36744030869</v>
      </c>
      <c r="E39" s="466">
        <v>27390.2507489805</v>
      </c>
      <c r="F39" s="467">
        <v>147113.811894677</v>
      </c>
      <c r="G39" s="467">
        <v>147853.077281082</v>
      </c>
      <c r="H39" s="467">
        <v>147853.077281082</v>
      </c>
      <c r="I39" s="467">
        <v>147853.077281082</v>
      </c>
      <c r="J39" s="467">
        <v>26233.3193997966</v>
      </c>
      <c r="K39" s="468">
        <v>2.33633942574589E7</v>
      </c>
    </row>
    <row r="40">
      <c r="B40" s="439" t="s">
        <v>1341</v>
      </c>
      <c r="C40" s="2" t="b">
        <f t="shared" ref="C40:K40" si="10">ABS((C33-C39)/C33)&lt;=0.01</f>
        <v>1</v>
      </c>
      <c r="D40" s="2" t="b">
        <f t="shared" si="10"/>
        <v>1</v>
      </c>
      <c r="E40" s="2" t="b">
        <f t="shared" si="10"/>
        <v>1</v>
      </c>
      <c r="F40" s="469" t="b">
        <f t="shared" si="10"/>
        <v>0</v>
      </c>
      <c r="G40" s="467" t="b">
        <f t="shared" si="10"/>
        <v>0</v>
      </c>
      <c r="H40" s="467" t="b">
        <f t="shared" si="10"/>
        <v>0</v>
      </c>
      <c r="I40" s="469" t="b">
        <f t="shared" si="10"/>
        <v>0</v>
      </c>
      <c r="J40" s="469" t="b">
        <f t="shared" si="10"/>
        <v>0</v>
      </c>
      <c r="K40" s="470" t="b">
        <f t="shared" si="10"/>
        <v>0</v>
      </c>
    </row>
    <row r="41">
      <c r="B41" s="439" t="s">
        <v>1360</v>
      </c>
      <c r="C41" s="2">
        <v>5414.6737659056</v>
      </c>
      <c r="D41" s="2">
        <v>5469.36744030869</v>
      </c>
      <c r="E41" s="2">
        <v>27390.2507489805</v>
      </c>
      <c r="F41" s="469">
        <v>147113.811894677</v>
      </c>
      <c r="G41" s="467">
        <v>147853.077281082</v>
      </c>
      <c r="H41" s="467">
        <v>147853.077281082</v>
      </c>
      <c r="I41" s="469">
        <v>147853.077281082</v>
      </c>
      <c r="J41" s="469">
        <v>2.33633942574589E7</v>
      </c>
      <c r="K41" s="468">
        <v>2.33633942574589E7</v>
      </c>
    </row>
    <row r="42">
      <c r="B42" s="437" t="s">
        <v>1341</v>
      </c>
      <c r="C42" s="2" t="b">
        <f t="shared" ref="C42:K42" si="11">ABS((C36-C41)/C36)&lt;=0.01</f>
        <v>1</v>
      </c>
      <c r="D42" s="2" t="b">
        <f t="shared" si="11"/>
        <v>1</v>
      </c>
      <c r="E42" s="2" t="b">
        <f t="shared" si="11"/>
        <v>1</v>
      </c>
      <c r="F42" s="469" t="b">
        <f t="shared" si="11"/>
        <v>0</v>
      </c>
      <c r="G42" s="467" t="b">
        <f t="shared" si="11"/>
        <v>0</v>
      </c>
      <c r="H42" s="467" t="b">
        <f t="shared" si="11"/>
        <v>0</v>
      </c>
      <c r="I42" s="469" t="b">
        <f t="shared" si="11"/>
        <v>0</v>
      </c>
      <c r="J42" s="469" t="b">
        <f t="shared" si="11"/>
        <v>0</v>
      </c>
      <c r="K42" s="470" t="b">
        <f t="shared" si="11"/>
        <v>0</v>
      </c>
    </row>
    <row r="43">
      <c r="B43" s="439"/>
      <c r="C43" s="2"/>
      <c r="D43" s="2"/>
      <c r="E43" s="2"/>
      <c r="F43" s="469"/>
      <c r="G43" s="467"/>
      <c r="H43" s="467"/>
      <c r="I43" s="469"/>
      <c r="J43" s="469"/>
      <c r="K43" s="470"/>
    </row>
    <row r="44">
      <c r="B44" s="437" t="s">
        <v>1361</v>
      </c>
      <c r="C44" s="471">
        <v>0.001</v>
      </c>
      <c r="D44" s="472">
        <f t="shared" ref="D44:E44" si="12">0.7*(1/(0.7/2.11+0.3/1))/1000</f>
        <v>0.001108027007</v>
      </c>
      <c r="E44" s="472">
        <f t="shared" si="12"/>
        <v>0.001108027007</v>
      </c>
      <c r="F44" s="473">
        <f>0.2*(1/(0.2/2.11+0.8/1))/1000</f>
        <v>0.0002235169492</v>
      </c>
      <c r="G44" s="164">
        <v>1.25E-6</v>
      </c>
      <c r="H44" s="164">
        <v>1.25E-6</v>
      </c>
      <c r="I44" s="164">
        <v>1.25E-6</v>
      </c>
      <c r="J44" s="164">
        <v>1.25E-6</v>
      </c>
      <c r="K44" s="474">
        <f>1.058/10^6</f>
        <v>0.000001058</v>
      </c>
    </row>
    <row r="45">
      <c r="B45" s="437" t="s">
        <v>1362</v>
      </c>
      <c r="C45" s="217">
        <v>187871.0</v>
      </c>
      <c r="D45" s="217">
        <v>187871.0</v>
      </c>
      <c r="E45" s="217">
        <v>187871.0</v>
      </c>
      <c r="F45" s="217">
        <v>187871.0</v>
      </c>
      <c r="G45" s="475">
        <v>6480.0</v>
      </c>
      <c r="H45" s="475">
        <v>6480.0</v>
      </c>
      <c r="I45" s="476">
        <v>6480.0</v>
      </c>
      <c r="J45" s="475">
        <v>6480.0</v>
      </c>
      <c r="K45" s="477">
        <v>95.0</v>
      </c>
    </row>
    <row r="46">
      <c r="B46" s="437" t="s">
        <v>1363</v>
      </c>
      <c r="C46" s="478">
        <v>7.0E-4</v>
      </c>
      <c r="D46" s="473">
        <f>0.7*(1/(0.7/2.11+0.3/1))/1000</f>
        <v>0.001108027007</v>
      </c>
      <c r="E46" s="473">
        <f>0.2*(1/(0.2/2.11+0.8/1))/1000</f>
        <v>0.0002235169492</v>
      </c>
      <c r="F46" s="164">
        <f>1.25/10^6</f>
        <v>0.00000125</v>
      </c>
      <c r="G46" s="164">
        <v>1.25E-6</v>
      </c>
      <c r="H46" s="164">
        <v>1.25E-6</v>
      </c>
      <c r="I46" s="164">
        <v>1.25E-6</v>
      </c>
      <c r="J46" s="479">
        <f>1.058/10^6*(2.44*365)</f>
        <v>0.0009422548</v>
      </c>
      <c r="K46" s="480">
        <v>1.058E-6</v>
      </c>
    </row>
    <row r="47">
      <c r="B47" s="437" t="s">
        <v>1342</v>
      </c>
      <c r="C47" s="2">
        <v>187871.0</v>
      </c>
      <c r="D47" s="2">
        <v>187871.0</v>
      </c>
      <c r="E47" s="2">
        <v>187871.0</v>
      </c>
      <c r="F47" s="481">
        <v>6480.0</v>
      </c>
      <c r="G47" s="475">
        <v>6480.0</v>
      </c>
      <c r="H47" s="475">
        <v>6480.0</v>
      </c>
      <c r="I47" s="475">
        <v>6480.0</v>
      </c>
      <c r="J47" s="476">
        <v>95.0</v>
      </c>
      <c r="K47" s="482">
        <v>95.0</v>
      </c>
    </row>
    <row r="48">
      <c r="B48" s="450" t="s">
        <v>1364</v>
      </c>
      <c r="C48" s="483" t="s">
        <v>1365</v>
      </c>
      <c r="D48" s="483" t="s">
        <v>1365</v>
      </c>
      <c r="E48" s="483" t="s">
        <v>1365</v>
      </c>
      <c r="F48" s="483" t="s">
        <v>1366</v>
      </c>
      <c r="G48" s="484" t="s">
        <v>99</v>
      </c>
      <c r="H48" s="484" t="s">
        <v>99</v>
      </c>
      <c r="I48" s="484" t="s">
        <v>99</v>
      </c>
      <c r="J48" s="484" t="s">
        <v>99</v>
      </c>
      <c r="K48" s="485" t="s">
        <v>99</v>
      </c>
    </row>
    <row r="49">
      <c r="B49" s="450" t="s">
        <v>1367</v>
      </c>
      <c r="C49" s="486">
        <f t="shared" ref="C49:K49" si="13">C44*C45*C28</f>
        <v>1127226</v>
      </c>
      <c r="D49" s="486">
        <f t="shared" si="13"/>
        <v>1127226</v>
      </c>
      <c r="E49" s="486">
        <f t="shared" si="13"/>
        <v>1138612.121</v>
      </c>
      <c r="F49" s="486">
        <f t="shared" si="13"/>
        <v>1150113.254</v>
      </c>
      <c r="G49" s="486">
        <f t="shared" si="13"/>
        <v>1185683.767</v>
      </c>
      <c r="H49" s="486">
        <f t="shared" si="13"/>
        <v>1197630.127</v>
      </c>
      <c r="I49" s="486">
        <f t="shared" si="13"/>
        <v>1197630.127</v>
      </c>
      <c r="J49" s="486">
        <f t="shared" si="13"/>
        <v>1197630.127</v>
      </c>
      <c r="K49" s="487">
        <f t="shared" si="13"/>
        <v>2697365.152</v>
      </c>
    </row>
    <row r="50">
      <c r="B50" s="450" t="s">
        <v>1368</v>
      </c>
      <c r="C50" s="486">
        <f t="shared" ref="C50:K50" si="14">C46*C47*C33</f>
        <v>1127226</v>
      </c>
      <c r="D50" s="486">
        <f t="shared" si="14"/>
        <v>1138612.121</v>
      </c>
      <c r="E50" s="486">
        <f t="shared" si="14"/>
        <v>1150113.254</v>
      </c>
      <c r="F50" s="486">
        <f t="shared" si="14"/>
        <v>1185683.767</v>
      </c>
      <c r="G50" s="486">
        <f t="shared" si="14"/>
        <v>1197630.127</v>
      </c>
      <c r="H50" s="486">
        <f t="shared" si="14"/>
        <v>1197630.127</v>
      </c>
      <c r="I50" s="486">
        <f t="shared" si="14"/>
        <v>1197630.127</v>
      </c>
      <c r="J50" s="486">
        <f t="shared" si="14"/>
        <v>2697365.152</v>
      </c>
      <c r="K50" s="487">
        <f t="shared" si="14"/>
        <v>2697365.152</v>
      </c>
    </row>
    <row r="51">
      <c r="B51" s="456" t="s">
        <v>1348</v>
      </c>
      <c r="C51" s="145">
        <f t="shared" ref="C51:K51" si="15">C49/C50</f>
        <v>1</v>
      </c>
      <c r="D51" s="145">
        <f t="shared" si="15"/>
        <v>0.99</v>
      </c>
      <c r="E51" s="145">
        <f t="shared" si="15"/>
        <v>0.99</v>
      </c>
      <c r="F51" s="145">
        <f t="shared" si="15"/>
        <v>0.97</v>
      </c>
      <c r="G51" s="145">
        <f t="shared" si="15"/>
        <v>0.990025</v>
      </c>
      <c r="H51" s="145">
        <f t="shared" si="15"/>
        <v>1</v>
      </c>
      <c r="I51" s="145">
        <f t="shared" si="15"/>
        <v>1</v>
      </c>
      <c r="J51" s="145">
        <f t="shared" si="15"/>
        <v>0.444</v>
      </c>
      <c r="K51" s="455">
        <f t="shared" si="15"/>
        <v>1</v>
      </c>
    </row>
    <row r="52">
      <c r="B52" s="457"/>
      <c r="C52" s="458"/>
      <c r="D52" s="458"/>
      <c r="E52" s="458"/>
      <c r="F52" s="459"/>
      <c r="G52" s="459"/>
      <c r="H52" s="459"/>
      <c r="I52" s="459"/>
      <c r="J52" s="459"/>
      <c r="K52" s="488"/>
    </row>
    <row r="54">
      <c r="B54" s="425" t="s">
        <v>1369</v>
      </c>
      <c r="C54" s="426"/>
      <c r="D54" s="426"/>
      <c r="E54" s="426"/>
      <c r="F54" s="426"/>
      <c r="G54" s="426"/>
      <c r="H54" s="426"/>
      <c r="I54" s="426"/>
      <c r="J54" s="426"/>
      <c r="K54" s="426"/>
      <c r="L54" s="426"/>
      <c r="M54" s="426"/>
      <c r="N54" s="426"/>
      <c r="O54" s="426"/>
      <c r="P54" s="426"/>
      <c r="Q54" s="427"/>
    </row>
    <row r="55">
      <c r="B55" s="429"/>
      <c r="C55" s="428" t="s">
        <v>1307</v>
      </c>
      <c r="D55" s="428" t="s">
        <v>1308</v>
      </c>
      <c r="E55" s="428" t="s">
        <v>1309</v>
      </c>
      <c r="F55" s="428" t="s">
        <v>1310</v>
      </c>
      <c r="G55" s="428" t="s">
        <v>1370</v>
      </c>
      <c r="H55" s="428" t="s">
        <v>1371</v>
      </c>
      <c r="I55" s="428" t="s">
        <v>1372</v>
      </c>
      <c r="J55" s="428" t="s">
        <v>1373</v>
      </c>
      <c r="K55" s="428" t="s">
        <v>1374</v>
      </c>
      <c r="L55" s="428" t="s">
        <v>1375</v>
      </c>
      <c r="M55" s="428" t="s">
        <v>1376</v>
      </c>
      <c r="N55" s="428" t="s">
        <v>1377</v>
      </c>
      <c r="O55" s="428" t="s">
        <v>1314</v>
      </c>
      <c r="P55" s="428" t="s">
        <v>1378</v>
      </c>
      <c r="Q55" s="430" t="s">
        <v>1379</v>
      </c>
      <c r="T55" s="489"/>
    </row>
    <row r="56">
      <c r="B56" s="432" t="s">
        <v>1317</v>
      </c>
      <c r="C56" s="490">
        <v>46000.0</v>
      </c>
      <c r="D56" s="461">
        <f t="shared" ref="D56:Q56" si="16">C64</f>
        <v>41723.85285</v>
      </c>
      <c r="E56" s="461">
        <f t="shared" si="16"/>
        <v>42575.36005</v>
      </c>
      <c r="F56" s="461">
        <f t="shared" si="16"/>
        <v>211056.2485</v>
      </c>
      <c r="G56" s="461">
        <f t="shared" si="16"/>
        <v>2356223883</v>
      </c>
      <c r="H56" s="461">
        <f t="shared" si="16"/>
        <v>2368064.204</v>
      </c>
      <c r="I56" s="461">
        <f t="shared" si="16"/>
        <v>2492699.162</v>
      </c>
      <c r="J56" s="461">
        <f t="shared" si="16"/>
        <v>2602633.87</v>
      </c>
      <c r="K56" s="461">
        <f t="shared" si="16"/>
        <v>2118052.997</v>
      </c>
      <c r="L56" s="461">
        <f t="shared" si="16"/>
        <v>1757720.329</v>
      </c>
      <c r="M56" s="461">
        <f t="shared" si="16"/>
        <v>1766553.095</v>
      </c>
      <c r="N56" s="461">
        <f t="shared" si="16"/>
        <v>7549869.618</v>
      </c>
      <c r="O56" s="461">
        <f t="shared" si="16"/>
        <v>2824492.936</v>
      </c>
      <c r="P56" s="461">
        <f t="shared" si="16"/>
        <v>2824492.936</v>
      </c>
      <c r="Q56" s="462">
        <f t="shared" si="16"/>
        <v>8589101.326</v>
      </c>
      <c r="T56" s="489"/>
    </row>
    <row r="57">
      <c r="B57" s="429" t="s">
        <v>1318</v>
      </c>
      <c r="C57" s="428" t="s">
        <v>1319</v>
      </c>
      <c r="D57" s="428" t="s">
        <v>1320</v>
      </c>
      <c r="E57" s="428" t="s">
        <v>1321</v>
      </c>
      <c r="F57" s="428" t="s">
        <v>1322</v>
      </c>
      <c r="G57" s="428"/>
      <c r="H57" s="428"/>
      <c r="I57" s="428"/>
      <c r="J57" s="431"/>
      <c r="K57" s="428"/>
      <c r="L57" s="428"/>
      <c r="M57" s="428"/>
      <c r="N57" s="431"/>
      <c r="O57" s="431"/>
      <c r="P57" s="431"/>
      <c r="Q57" s="434"/>
      <c r="T57" s="489"/>
    </row>
    <row r="58">
      <c r="B58" s="435" t="s">
        <v>431</v>
      </c>
      <c r="C58" s="119">
        <v>0.995</v>
      </c>
      <c r="D58" s="119">
        <v>0.98</v>
      </c>
      <c r="E58" s="119">
        <v>1.0</v>
      </c>
      <c r="F58" s="491">
        <v>0.76</v>
      </c>
      <c r="G58" s="119">
        <v>0.995</v>
      </c>
      <c r="H58" s="491">
        <v>0.95</v>
      </c>
      <c r="I58" s="491">
        <v>0.95</v>
      </c>
      <c r="J58" s="119">
        <v>1.0</v>
      </c>
      <c r="K58" s="119">
        <v>1.0</v>
      </c>
      <c r="L58" s="119">
        <v>0.995</v>
      </c>
      <c r="M58" s="491">
        <v>0.92</v>
      </c>
      <c r="N58" s="119">
        <v>0.99</v>
      </c>
      <c r="O58" s="119">
        <v>1.0</v>
      </c>
      <c r="P58" s="491">
        <v>0.95</v>
      </c>
      <c r="Q58" s="436">
        <v>1.0</v>
      </c>
      <c r="S58" s="142">
        <f>C58*D58*E58*F58*G58*H58*I58*J58*K58*L58*M58*N58*O58*P58*Q58</f>
        <v>0.5729315626</v>
      </c>
      <c r="T58" s="142">
        <f>0.99^15</f>
        <v>0.8600583546</v>
      </c>
    </row>
    <row r="59">
      <c r="B59" s="429" t="s">
        <v>1323</v>
      </c>
      <c r="C59" s="5">
        <v>0.7</v>
      </c>
      <c r="D59" s="428">
        <v>1.0</v>
      </c>
      <c r="E59" s="428">
        <f>0.2 * (1/(0.2/2.11 + 0.8/1)) / (0.7 * 1/(0.7/2.11+0.3/1))</f>
        <v>0.2017251816</v>
      </c>
      <c r="F59" s="5">
        <v>0.001</v>
      </c>
      <c r="G59" s="428">
        <v>1000.0</v>
      </c>
      <c r="H59" s="428">
        <v>1.0</v>
      </c>
      <c r="I59" s="428">
        <v>0.869</v>
      </c>
      <c r="J59" s="428">
        <v>0.8684</v>
      </c>
      <c r="K59" s="428">
        <v>1.205</v>
      </c>
      <c r="L59" s="428">
        <v>1.0</v>
      </c>
      <c r="M59" s="244">
        <f>0.3 * (1/(0.3/2.7 + 0.7/1)) / (0.6 * 1/(0.6/2.7+0.4/1))</f>
        <v>0.3835616438</v>
      </c>
      <c r="N59" s="428">
        <v>1.0</v>
      </c>
      <c r="O59" s="428">
        <v>1.0</v>
      </c>
      <c r="P59" s="492">
        <v>0.346153846153846</v>
      </c>
      <c r="Q59" s="430">
        <v>1.0</v>
      </c>
      <c r="T59" s="489"/>
    </row>
    <row r="60">
      <c r="B60" s="429" t="s">
        <v>1324</v>
      </c>
      <c r="C60" s="465">
        <f t="shared" ref="C60:E60" si="17">C75/C73</f>
        <v>1</v>
      </c>
      <c r="D60" s="465">
        <f t="shared" si="17"/>
        <v>1</v>
      </c>
      <c r="E60" s="465">
        <f t="shared" si="17"/>
        <v>1</v>
      </c>
      <c r="F60" s="463">
        <f>(F74*F75)/(F72*F73)/F59</f>
        <v>0.1178604428</v>
      </c>
      <c r="G60" s="465">
        <f t="shared" ref="G60:H60" si="18">G75/G73</f>
        <v>1</v>
      </c>
      <c r="H60" s="465">
        <f t="shared" si="18"/>
        <v>1</v>
      </c>
      <c r="I60" s="463">
        <f>(I74*I75)/(I72*I73)/I59</f>
        <v>0.2654576012</v>
      </c>
      <c r="J60" s="465">
        <f t="shared" ref="J60:L60" si="19">J75/J73</f>
        <v>1</v>
      </c>
      <c r="K60" s="465">
        <f t="shared" si="19"/>
        <v>1</v>
      </c>
      <c r="L60" s="465">
        <f t="shared" si="19"/>
        <v>1</v>
      </c>
      <c r="M60" s="463">
        <f>(M74*M75)/(M72*M73)/M59</f>
        <v>0.2452481521</v>
      </c>
      <c r="N60" s="465">
        <f t="shared" ref="N60:Q60" si="20">N75/N73</f>
        <v>1</v>
      </c>
      <c r="O60" s="465">
        <f t="shared" si="20"/>
        <v>1</v>
      </c>
      <c r="P60" s="465">
        <f t="shared" si="20"/>
        <v>1</v>
      </c>
      <c r="Q60" s="430">
        <f t="shared" si="20"/>
        <v>1</v>
      </c>
      <c r="T60" s="489"/>
    </row>
    <row r="61">
      <c r="B61" s="437" t="s">
        <v>1325</v>
      </c>
      <c r="C61" s="136">
        <f t="shared" ref="C61:Q61" si="21">C56/C58/C59/C60</f>
        <v>66044.50826</v>
      </c>
      <c r="D61" s="136">
        <f t="shared" si="21"/>
        <v>42575.36005</v>
      </c>
      <c r="E61" s="136">
        <f t="shared" si="21"/>
        <v>211056.2485</v>
      </c>
      <c r="F61" s="136">
        <f t="shared" si="21"/>
        <v>2356223883</v>
      </c>
      <c r="G61" s="136">
        <f t="shared" si="21"/>
        <v>2368064.204</v>
      </c>
      <c r="H61" s="136">
        <f t="shared" si="21"/>
        <v>2492699.162</v>
      </c>
      <c r="I61" s="136">
        <f t="shared" si="21"/>
        <v>11374473.95</v>
      </c>
      <c r="J61" s="136">
        <f t="shared" si="21"/>
        <v>2997044.99</v>
      </c>
      <c r="K61" s="136">
        <f t="shared" si="21"/>
        <v>1757720.329</v>
      </c>
      <c r="L61" s="136">
        <f t="shared" si="21"/>
        <v>1766553.095</v>
      </c>
      <c r="M61" s="136">
        <f t="shared" si="21"/>
        <v>20412582.49</v>
      </c>
      <c r="N61" s="136">
        <f t="shared" si="21"/>
        <v>7626130.927</v>
      </c>
      <c r="O61" s="136">
        <f t="shared" si="21"/>
        <v>2824492.936</v>
      </c>
      <c r="P61" s="136">
        <f t="shared" si="21"/>
        <v>8589101.326</v>
      </c>
      <c r="Q61" s="464">
        <f t="shared" si="21"/>
        <v>8589101.326</v>
      </c>
      <c r="T61" s="489"/>
    </row>
    <row r="62">
      <c r="A62" s="431"/>
      <c r="B62" s="429" t="s">
        <v>1326</v>
      </c>
      <c r="C62" s="428" t="s">
        <v>1327</v>
      </c>
      <c r="D62" s="428" t="s">
        <v>1328</v>
      </c>
      <c r="E62" s="428" t="s">
        <v>1087</v>
      </c>
      <c r="F62" s="428" t="s">
        <v>779</v>
      </c>
      <c r="G62" s="428" t="s">
        <v>703</v>
      </c>
      <c r="H62" s="428" t="s">
        <v>702</v>
      </c>
      <c r="I62" s="428" t="s">
        <v>1380</v>
      </c>
      <c r="J62" s="428" t="s">
        <v>700</v>
      </c>
      <c r="K62" s="428" t="s">
        <v>699</v>
      </c>
      <c r="L62" s="428" t="s">
        <v>1381</v>
      </c>
      <c r="M62" s="428" t="s">
        <v>1382</v>
      </c>
      <c r="N62" s="428" t="s">
        <v>597</v>
      </c>
      <c r="O62" s="428" t="s">
        <v>713</v>
      </c>
      <c r="P62" s="428" t="s">
        <v>1383</v>
      </c>
      <c r="Q62" s="430" t="s">
        <v>421</v>
      </c>
      <c r="R62" s="431"/>
      <c r="S62" s="431"/>
      <c r="T62" s="493"/>
      <c r="U62" s="428"/>
      <c r="V62" s="431"/>
      <c r="W62" s="431"/>
      <c r="X62" s="431"/>
      <c r="Y62" s="431"/>
      <c r="Z62" s="431"/>
      <c r="AA62" s="431"/>
      <c r="AB62" s="431"/>
    </row>
    <row r="63">
      <c r="B63" s="429" t="s">
        <v>1332</v>
      </c>
      <c r="C63" s="465">
        <f>1/(0.7/2.11+0.3/1)</f>
        <v>1.582895724</v>
      </c>
      <c r="D63" s="428">
        <v>1.0</v>
      </c>
      <c r="E63" s="18">
        <v>1.0</v>
      </c>
      <c r="F63" s="428">
        <v>1.0</v>
      </c>
      <c r="G63" s="428">
        <v>1.0</v>
      </c>
      <c r="H63" s="428">
        <v>1.0</v>
      </c>
      <c r="I63" s="494">
        <f>1/(0.2*1/(0.2/2.7+0.8/1))</f>
        <v>4.37037037</v>
      </c>
      <c r="J63" s="428">
        <v>1.415</v>
      </c>
      <c r="K63" s="428">
        <v>1.0</v>
      </c>
      <c r="L63" s="428">
        <v>1.0</v>
      </c>
      <c r="M63" s="428">
        <v>2.7037</v>
      </c>
      <c r="N63" s="428">
        <v>2.7</v>
      </c>
      <c r="O63" s="428">
        <v>1.0</v>
      </c>
      <c r="P63" s="428">
        <v>1.0</v>
      </c>
      <c r="Q63" s="430">
        <v>1.0</v>
      </c>
      <c r="T63" s="489"/>
    </row>
    <row r="64">
      <c r="B64" s="437" t="s">
        <v>1333</v>
      </c>
      <c r="C64" s="136">
        <f t="shared" ref="C64:Q64" si="22">C61/C63</f>
        <v>41723.85285</v>
      </c>
      <c r="D64" s="136">
        <f t="shared" si="22"/>
        <v>42575.36005</v>
      </c>
      <c r="E64" s="136">
        <f t="shared" si="22"/>
        <v>211056.2485</v>
      </c>
      <c r="F64" s="136">
        <f t="shared" si="22"/>
        <v>2356223883</v>
      </c>
      <c r="G64" s="136">
        <f t="shared" si="22"/>
        <v>2368064.204</v>
      </c>
      <c r="H64" s="136">
        <f t="shared" si="22"/>
        <v>2492699.162</v>
      </c>
      <c r="I64" s="136">
        <f t="shared" si="22"/>
        <v>2602633.87</v>
      </c>
      <c r="J64" s="136">
        <f t="shared" si="22"/>
        <v>2118052.997</v>
      </c>
      <c r="K64" s="136">
        <f t="shared" si="22"/>
        <v>1757720.329</v>
      </c>
      <c r="L64" s="136">
        <f t="shared" si="22"/>
        <v>1766553.095</v>
      </c>
      <c r="M64" s="136">
        <f t="shared" si="22"/>
        <v>7549869.618</v>
      </c>
      <c r="N64" s="136">
        <f t="shared" si="22"/>
        <v>2824492.936</v>
      </c>
      <c r="O64" s="136">
        <f t="shared" si="22"/>
        <v>2824492.936</v>
      </c>
      <c r="P64" s="136">
        <f t="shared" si="22"/>
        <v>8589101.326</v>
      </c>
      <c r="Q64" s="464">
        <f t="shared" si="22"/>
        <v>8589101.326</v>
      </c>
      <c r="T64" s="489"/>
    </row>
    <row r="65">
      <c r="A65" s="431"/>
      <c r="B65" s="429" t="s">
        <v>1334</v>
      </c>
      <c r="C65" s="428" t="s">
        <v>1335</v>
      </c>
      <c r="D65" s="428" t="s">
        <v>1321</v>
      </c>
      <c r="E65" s="431" t="s">
        <v>1336</v>
      </c>
      <c r="F65" s="428" t="s">
        <v>779</v>
      </c>
      <c r="G65" s="428" t="s">
        <v>718</v>
      </c>
      <c r="H65" s="428" t="s">
        <v>717</v>
      </c>
      <c r="I65" s="428" t="s">
        <v>716</v>
      </c>
      <c r="J65" s="428" t="s">
        <v>1384</v>
      </c>
      <c r="K65" s="428" t="s">
        <v>1385</v>
      </c>
      <c r="L65" s="428" t="s">
        <v>1381</v>
      </c>
      <c r="M65" s="428" t="s">
        <v>597</v>
      </c>
      <c r="N65" s="428" t="s">
        <v>713</v>
      </c>
      <c r="O65" s="428" t="s">
        <v>713</v>
      </c>
      <c r="P65" s="428" t="s">
        <v>421</v>
      </c>
      <c r="Q65" s="430" t="s">
        <v>426</v>
      </c>
      <c r="R65" s="431"/>
      <c r="S65" s="431"/>
      <c r="T65" s="493"/>
      <c r="U65" s="428"/>
      <c r="V65" s="431"/>
      <c r="W65" s="431"/>
      <c r="X65" s="431"/>
      <c r="Y65" s="431"/>
      <c r="Z65" s="431"/>
      <c r="AA65" s="431"/>
      <c r="AB65" s="431"/>
    </row>
    <row r="66">
      <c r="B66" s="439"/>
      <c r="Q66" s="438"/>
      <c r="T66" s="489"/>
    </row>
    <row r="67">
      <c r="B67" s="439" t="s">
        <v>1340</v>
      </c>
      <c r="C67" s="466">
        <v>66044.5082555635</v>
      </c>
      <c r="D67" s="466">
        <v>42572.5555039923</v>
      </c>
      <c r="E67" s="466">
        <v>211068.693624156</v>
      </c>
      <c r="F67" s="481">
        <v>2.35632377269181E9</v>
      </c>
      <c r="G67" s="467">
        <v>2368164.59567016</v>
      </c>
      <c r="H67" s="467">
        <v>2492804.83754754</v>
      </c>
      <c r="I67" s="467">
        <v>7491714.64404953</v>
      </c>
      <c r="J67" s="467">
        <v>1804580.18645056</v>
      </c>
      <c r="K67" s="467">
        <v>1058358.24608921</v>
      </c>
      <c r="L67" s="467">
        <v>1063676.62923539</v>
      </c>
      <c r="M67" s="467">
        <v>1.22897735756246E7</v>
      </c>
      <c r="N67" s="467">
        <v>4591453.45365654</v>
      </c>
      <c r="O67" s="467">
        <v>1700538.31616909</v>
      </c>
      <c r="P67" s="467">
        <v>5171227.62811653</v>
      </c>
      <c r="Q67" s="468">
        <v>9143131.37282072</v>
      </c>
      <c r="T67" s="489"/>
    </row>
    <row r="68">
      <c r="B68" s="439" t="s">
        <v>1341</v>
      </c>
      <c r="C68" s="2" t="b">
        <f t="shared" ref="C68:Q68" si="23">ABS((C61-C67)/C61)&lt;=0.01</f>
        <v>1</v>
      </c>
      <c r="D68" s="2" t="b">
        <f t="shared" si="23"/>
        <v>1</v>
      </c>
      <c r="E68" s="2" t="b">
        <f t="shared" si="23"/>
        <v>1</v>
      </c>
      <c r="F68" s="469" t="b">
        <f t="shared" si="23"/>
        <v>1</v>
      </c>
      <c r="G68" s="467" t="b">
        <f t="shared" si="23"/>
        <v>1</v>
      </c>
      <c r="H68" s="467" t="b">
        <f t="shared" si="23"/>
        <v>1</v>
      </c>
      <c r="I68" s="469" t="b">
        <f t="shared" si="23"/>
        <v>0</v>
      </c>
      <c r="J68" s="469" t="b">
        <f t="shared" si="23"/>
        <v>0</v>
      </c>
      <c r="K68" s="467" t="b">
        <f t="shared" si="23"/>
        <v>0</v>
      </c>
      <c r="L68" s="467" t="b">
        <f t="shared" si="23"/>
        <v>0</v>
      </c>
      <c r="M68" s="469" t="b">
        <f t="shared" si="23"/>
        <v>0</v>
      </c>
      <c r="N68" s="469" t="b">
        <f t="shared" si="23"/>
        <v>0</v>
      </c>
      <c r="O68" s="469" t="b">
        <f t="shared" si="23"/>
        <v>0</v>
      </c>
      <c r="P68" s="469" t="b">
        <f t="shared" si="23"/>
        <v>0</v>
      </c>
      <c r="Q68" s="470" t="b">
        <f t="shared" si="23"/>
        <v>0</v>
      </c>
    </row>
    <row r="69">
      <c r="B69" s="439" t="s">
        <v>1360</v>
      </c>
      <c r="C69" s="2">
        <v>41721.1043939125</v>
      </c>
      <c r="D69" s="2">
        <v>42572.5555039923</v>
      </c>
      <c r="E69" s="2">
        <v>211068.693624156</v>
      </c>
      <c r="F69" s="469">
        <v>2.35632377269181E9</v>
      </c>
      <c r="G69" s="467">
        <v>2368164.59567016</v>
      </c>
      <c r="H69" s="469">
        <v>2492804.83754754</v>
      </c>
      <c r="I69" s="467">
        <v>1714351.17712803</v>
      </c>
      <c r="J69" s="469">
        <v>1275321.6865375</v>
      </c>
      <c r="K69" s="467">
        <v>1058358.24608921</v>
      </c>
      <c r="L69" s="467">
        <v>1063676.62923539</v>
      </c>
      <c r="M69" s="469">
        <v>4545538.91911998</v>
      </c>
      <c r="N69" s="469">
        <v>1700538.31616909</v>
      </c>
      <c r="O69" s="469">
        <v>5171227.62811653</v>
      </c>
      <c r="P69" s="469">
        <v>5171227.62811653</v>
      </c>
      <c r="Q69" s="468">
        <v>5171227.62811653</v>
      </c>
      <c r="T69" s="489"/>
    </row>
    <row r="70">
      <c r="B70" s="437" t="s">
        <v>1341</v>
      </c>
      <c r="C70" s="2" t="b">
        <f t="shared" ref="C70:Q70" si="24">ABS((C64-C69)/C64)&lt;=0.01</f>
        <v>1</v>
      </c>
      <c r="D70" s="2" t="b">
        <f t="shared" si="24"/>
        <v>1</v>
      </c>
      <c r="E70" s="2" t="b">
        <f t="shared" si="24"/>
        <v>1</v>
      </c>
      <c r="F70" s="469" t="b">
        <f t="shared" si="24"/>
        <v>1</v>
      </c>
      <c r="G70" s="467" t="b">
        <f t="shared" si="24"/>
        <v>1</v>
      </c>
      <c r="H70" s="467" t="b">
        <f t="shared" si="24"/>
        <v>1</v>
      </c>
      <c r="I70" s="469" t="b">
        <f t="shared" si="24"/>
        <v>0</v>
      </c>
      <c r="J70" s="469" t="b">
        <f t="shared" si="24"/>
        <v>0</v>
      </c>
      <c r="K70" s="467" t="b">
        <f t="shared" si="24"/>
        <v>0</v>
      </c>
      <c r="L70" s="467" t="b">
        <f t="shared" si="24"/>
        <v>0</v>
      </c>
      <c r="M70" s="469" t="b">
        <f t="shared" si="24"/>
        <v>0</v>
      </c>
      <c r="N70" s="469" t="b">
        <f t="shared" si="24"/>
        <v>0</v>
      </c>
      <c r="O70" s="469" t="b">
        <f t="shared" si="24"/>
        <v>0</v>
      </c>
      <c r="P70" s="469" t="b">
        <f t="shared" si="24"/>
        <v>0</v>
      </c>
      <c r="Q70" s="470" t="b">
        <f t="shared" si="24"/>
        <v>0</v>
      </c>
      <c r="T70" s="489"/>
    </row>
    <row r="71">
      <c r="B71" s="439"/>
      <c r="C71" s="2"/>
      <c r="D71" s="2"/>
      <c r="E71" s="2"/>
      <c r="F71" s="469"/>
      <c r="G71" s="467"/>
      <c r="H71" s="467"/>
      <c r="I71" s="469"/>
      <c r="J71" s="469"/>
      <c r="K71" s="467"/>
      <c r="L71" s="467"/>
      <c r="M71" s="469"/>
      <c r="N71" s="469"/>
      <c r="O71" s="469"/>
      <c r="P71" s="469"/>
      <c r="Q71" s="470"/>
    </row>
    <row r="72">
      <c r="B72" s="437" t="s">
        <v>1361</v>
      </c>
      <c r="C72" s="471">
        <v>0.001</v>
      </c>
      <c r="D72" s="473">
        <f t="shared" ref="D72:E72" si="25">0.7*(1/(0.7/2.11+0.3/1))/1000</f>
        <v>0.001108027007</v>
      </c>
      <c r="E72" s="473">
        <f t="shared" si="25"/>
        <v>0.001108027007</v>
      </c>
      <c r="F72" s="473">
        <f>0.2*(1/(0.2/2.11+0.8/1))/1000</f>
        <v>0.0002235169492</v>
      </c>
      <c r="G72" s="495">
        <f>0.2/(0.2/2.7+0.8/1)/10^6</f>
        <v>0.0000002288135593</v>
      </c>
      <c r="H72" s="194">
        <f>0.2/(0.2/2.7+0.8/1)/1000</f>
        <v>0.0002288135593</v>
      </c>
      <c r="I72" s="194">
        <v>2.288135593220339E-4</v>
      </c>
      <c r="J72" s="194">
        <v>6.061E-4</v>
      </c>
      <c r="K72" s="5">
        <f>0.8/10^3</f>
        <v>0.0008</v>
      </c>
      <c r="L72" s="194">
        <f>0.6/(0.6/2.7+0.4/1)/1000</f>
        <v>0.0009642857143</v>
      </c>
      <c r="M72" s="496">
        <f>(0.6*1/(0.6/2.7+0.4/1)/10^3)</f>
        <v>0.0009642857143</v>
      </c>
      <c r="N72" s="5">
        <v>0.001</v>
      </c>
      <c r="O72" s="497">
        <v>0.0027</v>
      </c>
      <c r="P72" s="497">
        <v>0.0027</v>
      </c>
      <c r="Q72" s="498">
        <v>0.001</v>
      </c>
    </row>
    <row r="73">
      <c r="B73" s="437" t="s">
        <v>1362</v>
      </c>
      <c r="C73" s="217">
        <v>187871.0</v>
      </c>
      <c r="D73" s="217">
        <v>187871.0</v>
      </c>
      <c r="E73" s="217">
        <v>187871.0</v>
      </c>
      <c r="F73" s="217">
        <v>187871.0</v>
      </c>
      <c r="G73" s="217">
        <v>21630.0</v>
      </c>
      <c r="H73" s="217">
        <v>21630.0</v>
      </c>
      <c r="I73" s="217">
        <v>21630.0</v>
      </c>
      <c r="J73" s="217">
        <v>7576.0</v>
      </c>
      <c r="K73" s="217">
        <v>7576.0</v>
      </c>
      <c r="L73" s="217">
        <v>7576.0</v>
      </c>
      <c r="M73" s="217">
        <v>7576.0</v>
      </c>
      <c r="N73" s="217">
        <v>1858.0</v>
      </c>
      <c r="O73" s="217">
        <v>2185.88235294117</v>
      </c>
      <c r="P73" s="217">
        <v>2185.88235294117</v>
      </c>
      <c r="Q73" s="499">
        <v>2185.88235294117</v>
      </c>
    </row>
    <row r="74">
      <c r="B74" s="437" t="s">
        <v>1363</v>
      </c>
      <c r="C74" s="478">
        <v>7.0E-4</v>
      </c>
      <c r="D74" s="473">
        <f>0.7*(1/(0.7/2.11+0.3/1))/1000</f>
        <v>0.001108027007</v>
      </c>
      <c r="E74" s="473">
        <f>0.2*(1/(0.2/2.11+0.8/1))/1000</f>
        <v>0.0002235169492</v>
      </c>
      <c r="F74" s="500">
        <f>0.2/(0.2/2.7+0.8/1)/10^6</f>
        <v>0.0000002288135593</v>
      </c>
      <c r="G74" s="194">
        <f t="shared" ref="G74:H74" si="26">0.2/(0.2/2.7+0.8/1)/1000</f>
        <v>0.0002288135593</v>
      </c>
      <c r="H74" s="194">
        <f t="shared" si="26"/>
        <v>0.0002288135593</v>
      </c>
      <c r="I74" s="194">
        <v>1.507E-4</v>
      </c>
      <c r="J74" s="496">
        <v>5.263E-4</v>
      </c>
      <c r="K74" s="194">
        <f t="shared" ref="K74:L74" si="27">0.6/(0.6/2.7+0.4/1)/1000</f>
        <v>0.0009642857143</v>
      </c>
      <c r="L74" s="194">
        <f t="shared" si="27"/>
        <v>0.0009642857143</v>
      </c>
      <c r="M74" s="496">
        <f>(0.3*1/(0.3/2.7+0.7/1)/10^3)</f>
        <v>0.0003698630137</v>
      </c>
      <c r="N74" s="164">
        <v>0.001</v>
      </c>
      <c r="O74" s="497">
        <v>0.0027</v>
      </c>
      <c r="P74" s="471">
        <v>0.001</v>
      </c>
      <c r="Q74" s="498">
        <v>0.001</v>
      </c>
    </row>
    <row r="75">
      <c r="B75" s="437" t="s">
        <v>1342</v>
      </c>
      <c r="C75" s="2">
        <v>187871.0</v>
      </c>
      <c r="D75" s="2">
        <v>187871.0</v>
      </c>
      <c r="E75" s="2">
        <v>187871.0</v>
      </c>
      <c r="F75" s="217">
        <v>21630.0</v>
      </c>
      <c r="G75" s="217">
        <v>21630.0</v>
      </c>
      <c r="H75" s="217">
        <v>21630.0</v>
      </c>
      <c r="I75" s="217">
        <v>7576.0</v>
      </c>
      <c r="J75" s="217">
        <v>7576.0</v>
      </c>
      <c r="K75" s="217">
        <v>7576.0</v>
      </c>
      <c r="L75" s="217">
        <v>7576.0</v>
      </c>
      <c r="M75" s="481">
        <v>1858.0</v>
      </c>
      <c r="N75" s="481">
        <v>1858.0</v>
      </c>
      <c r="O75" s="481">
        <v>2185.88235294117</v>
      </c>
      <c r="P75" s="481">
        <v>2185.88235294117</v>
      </c>
      <c r="Q75" s="499">
        <v>2185.88235294117</v>
      </c>
    </row>
    <row r="76">
      <c r="B76" s="450" t="s">
        <v>1364</v>
      </c>
      <c r="C76" s="483" t="s">
        <v>1386</v>
      </c>
      <c r="D76" s="483" t="s">
        <v>1386</v>
      </c>
      <c r="E76" s="483" t="s">
        <v>1386</v>
      </c>
      <c r="F76" s="501" t="s">
        <v>1387</v>
      </c>
      <c r="G76" s="501" t="s">
        <v>1387</v>
      </c>
      <c r="H76" s="501" t="s">
        <v>1387</v>
      </c>
      <c r="I76" s="501" t="s">
        <v>1387</v>
      </c>
      <c r="J76" s="501" t="s">
        <v>1387</v>
      </c>
      <c r="K76" s="501" t="s">
        <v>1387</v>
      </c>
      <c r="L76" s="501" t="s">
        <v>1387</v>
      </c>
      <c r="M76" s="501" t="s">
        <v>1388</v>
      </c>
      <c r="N76" s="484" t="s">
        <v>1388</v>
      </c>
      <c r="O76" s="484" t="s">
        <v>1388</v>
      </c>
      <c r="P76" s="484" t="s">
        <v>1388</v>
      </c>
      <c r="Q76" s="485" t="s">
        <v>1388</v>
      </c>
    </row>
    <row r="77">
      <c r="B77" s="450" t="s">
        <v>1367</v>
      </c>
      <c r="C77" s="486">
        <f t="shared" ref="C77:Q77" si="28">C72*C73*C56</f>
        <v>8642066</v>
      </c>
      <c r="D77" s="486">
        <f t="shared" si="28"/>
        <v>8685493.467</v>
      </c>
      <c r="E77" s="486">
        <f t="shared" si="28"/>
        <v>8862748.436</v>
      </c>
      <c r="F77" s="486">
        <f t="shared" si="28"/>
        <v>8862748.436</v>
      </c>
      <c r="G77" s="486">
        <f t="shared" si="28"/>
        <v>11661511.1</v>
      </c>
      <c r="H77" s="486">
        <f t="shared" si="28"/>
        <v>11720111.66</v>
      </c>
      <c r="I77" s="486">
        <f t="shared" si="28"/>
        <v>12336959.64</v>
      </c>
      <c r="J77" s="486">
        <f t="shared" si="28"/>
        <v>11950809.6</v>
      </c>
      <c r="K77" s="486">
        <f t="shared" si="28"/>
        <v>12837095.6</v>
      </c>
      <c r="L77" s="486">
        <f t="shared" si="28"/>
        <v>12840900.31</v>
      </c>
      <c r="M77" s="486">
        <f t="shared" si="28"/>
        <v>12905427.45</v>
      </c>
      <c r="N77" s="486">
        <f t="shared" si="28"/>
        <v>14027657.75</v>
      </c>
      <c r="O77" s="486">
        <f t="shared" si="28"/>
        <v>16669825.01</v>
      </c>
      <c r="P77" s="486">
        <f t="shared" si="28"/>
        <v>16669825.01</v>
      </c>
      <c r="Q77" s="499">
        <f t="shared" si="28"/>
        <v>18774765.02</v>
      </c>
    </row>
    <row r="78">
      <c r="B78" s="450" t="s">
        <v>1368</v>
      </c>
      <c r="C78" s="486">
        <f t="shared" ref="C78:Q78" si="29">C74*C75*C61</f>
        <v>8685493.467</v>
      </c>
      <c r="D78" s="486">
        <f t="shared" si="29"/>
        <v>8862748.436</v>
      </c>
      <c r="E78" s="486">
        <f t="shared" si="29"/>
        <v>8862748.436</v>
      </c>
      <c r="F78" s="486">
        <f t="shared" si="29"/>
        <v>11661511.1</v>
      </c>
      <c r="G78" s="486">
        <f t="shared" si="29"/>
        <v>11720111.66</v>
      </c>
      <c r="H78" s="486">
        <f t="shared" si="29"/>
        <v>12336959.64</v>
      </c>
      <c r="I78" s="486">
        <f t="shared" si="29"/>
        <v>12986273.31</v>
      </c>
      <c r="J78" s="486">
        <f t="shared" si="29"/>
        <v>11949964.04</v>
      </c>
      <c r="K78" s="486">
        <f t="shared" si="29"/>
        <v>12840900.31</v>
      </c>
      <c r="L78" s="486">
        <f t="shared" si="29"/>
        <v>12905427.45</v>
      </c>
      <c r="M78" s="486">
        <f t="shared" si="29"/>
        <v>14027638.53</v>
      </c>
      <c r="N78" s="486">
        <f t="shared" si="29"/>
        <v>14169351.26</v>
      </c>
      <c r="O78" s="486">
        <f t="shared" si="29"/>
        <v>16669825.01</v>
      </c>
      <c r="P78" s="486">
        <f t="shared" si="29"/>
        <v>18774765.02</v>
      </c>
      <c r="Q78" s="499">
        <f t="shared" si="29"/>
        <v>18774765.02</v>
      </c>
    </row>
    <row r="79">
      <c r="B79" s="456" t="s">
        <v>1348</v>
      </c>
      <c r="C79" s="145">
        <f t="shared" ref="C79:O79" si="30">C77/C78</f>
        <v>0.995</v>
      </c>
      <c r="D79" s="145">
        <f t="shared" si="30"/>
        <v>0.98</v>
      </c>
      <c r="E79" s="145">
        <f t="shared" si="30"/>
        <v>1</v>
      </c>
      <c r="F79" s="145">
        <f t="shared" si="30"/>
        <v>0.76</v>
      </c>
      <c r="G79" s="145">
        <f t="shared" si="30"/>
        <v>0.995</v>
      </c>
      <c r="H79" s="145">
        <f t="shared" si="30"/>
        <v>0.95</v>
      </c>
      <c r="I79" s="145">
        <f t="shared" si="30"/>
        <v>0.95</v>
      </c>
      <c r="J79" s="145">
        <f t="shared" si="30"/>
        <v>1.000070758</v>
      </c>
      <c r="K79" s="145">
        <f t="shared" si="30"/>
        <v>0.9997037037</v>
      </c>
      <c r="L79" s="145">
        <f t="shared" si="30"/>
        <v>0.995</v>
      </c>
      <c r="M79" s="145">
        <f t="shared" si="30"/>
        <v>0.92</v>
      </c>
      <c r="N79" s="145">
        <f t="shared" si="30"/>
        <v>0.99</v>
      </c>
      <c r="O79" s="145">
        <f t="shared" si="30"/>
        <v>1</v>
      </c>
      <c r="P79" s="502">
        <f>P77/P78/0.95</f>
        <v>0.9346153846</v>
      </c>
      <c r="Q79" s="503">
        <f>Q77/Q78</f>
        <v>1</v>
      </c>
    </row>
    <row r="80">
      <c r="B80" s="457"/>
      <c r="C80" s="458"/>
      <c r="D80" s="458"/>
      <c r="E80" s="458"/>
      <c r="F80" s="504"/>
      <c r="G80" s="459"/>
      <c r="H80" s="459"/>
      <c r="I80" s="505"/>
      <c r="J80" s="459"/>
      <c r="K80" s="459"/>
      <c r="L80" s="459"/>
      <c r="M80" s="459"/>
      <c r="N80" s="459"/>
      <c r="O80" s="459"/>
      <c r="P80" s="459"/>
      <c r="Q80" s="488"/>
    </row>
  </sheetData>
  <drawing r:id="rId2"/>
  <legacyDrawing r:id="rId3"/>
</worksheet>
</file>